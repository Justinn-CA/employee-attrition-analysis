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omePC\Documents\python folder\week8\"/>
    </mc:Choice>
  </mc:AlternateContent>
  <xr:revisionPtr revIDLastSave="0" documentId="13_ncr:1_{B2EABA1F-96EB-46A4-A610-D7AAFD286929}" xr6:coauthVersionLast="47" xr6:coauthVersionMax="47" xr10:uidLastSave="{00000000-0000-0000-0000-000000000000}"/>
  <bookViews>
    <workbookView xWindow="-110" yWindow="-110" windowWidth="19420" windowHeight="10300" firstSheet="4" activeTab="4" xr2:uid="{B1342D2E-3452-428D-A2D3-BE1E352FBDBA}"/>
  </bookViews>
  <sheets>
    <sheet name="Report Sheet" sheetId="7" r:id="rId1"/>
    <sheet name="Attrition Rate" sheetId="9" r:id="rId2"/>
    <sheet name="Estimated Cost of Attrition" sheetId="10" r:id="rId3"/>
    <sheet name="Attrition rate by Job Role" sheetId="11" r:id="rId4"/>
    <sheet name="Attrition by Monthly Income" sheetId="14" r:id="rId5"/>
    <sheet name="WA_Fn-UseC_-HR-Employee-Attriti" sheetId="1" r:id="rId6"/>
  </sheets>
  <definedNames>
    <definedName name="Slicer_Gender">#N/A</definedName>
    <definedName name="Slicer_JobFamily">#N/A</definedName>
    <definedName name="Slicer_JobLevel">#N/A</definedName>
    <definedName name="Slicer_JobRole">#N/A</definedName>
    <definedName name="Slicer_JobRole1">#N/A</definedName>
    <definedName name="Slicer_JobSatisfaction">#N/A</definedName>
  </definedNames>
  <calcPr calcId="191029"/>
  <pivotCaches>
    <pivotCache cacheId="0" r:id="rId7"/>
    <pivotCache cacheId="8"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O2" i="1" l="1" a="1"/>
  <c r="AO2" i="1"/>
  <c r="AO3" i="1" a="1"/>
  <c r="AO3" i="1" s="1"/>
  <c r="AO4" i="1" a="1"/>
  <c r="AO4" i="1"/>
  <c r="AO5" i="1" a="1"/>
  <c r="AO5" i="1" s="1"/>
  <c r="AO6" i="1" a="1"/>
  <c r="AO6" i="1"/>
  <c r="AO7" i="1" a="1"/>
  <c r="AO7" i="1" s="1"/>
  <c r="AO8" i="1" a="1"/>
  <c r="AO8" i="1"/>
  <c r="AO9" i="1" a="1"/>
  <c r="AO9" i="1" s="1"/>
  <c r="AO10" i="1" a="1"/>
  <c r="AO10" i="1"/>
  <c r="AO11" i="1" a="1"/>
  <c r="AO11" i="1" s="1"/>
  <c r="AO12" i="1" a="1"/>
  <c r="AO12" i="1"/>
  <c r="AO13" i="1" a="1"/>
  <c r="AO13" i="1" s="1"/>
  <c r="AO14" i="1" a="1"/>
  <c r="AO14" i="1"/>
  <c r="AO15" i="1" a="1"/>
  <c r="AO15" i="1" s="1"/>
  <c r="AO16" i="1" a="1"/>
  <c r="AO16" i="1"/>
  <c r="AO17" i="1" a="1"/>
  <c r="AO17" i="1" s="1"/>
  <c r="AO18" i="1" a="1"/>
  <c r="AO18" i="1"/>
  <c r="AO19" i="1" a="1"/>
  <c r="AO19" i="1" s="1"/>
  <c r="AO20" i="1" a="1"/>
  <c r="AO20" i="1"/>
  <c r="AO21" i="1" a="1"/>
  <c r="AO21" i="1" s="1"/>
  <c r="AO22" i="1" a="1"/>
  <c r="AO22" i="1"/>
  <c r="AO23" i="1" a="1"/>
  <c r="AO23" i="1" s="1"/>
  <c r="AO24" i="1" a="1"/>
  <c r="AO24" i="1"/>
  <c r="AO25" i="1" a="1"/>
  <c r="AO25" i="1" s="1"/>
  <c r="AO26" i="1" a="1"/>
  <c r="AO26" i="1"/>
  <c r="AO27" i="1" a="1"/>
  <c r="AO27" i="1" s="1"/>
  <c r="AO28" i="1" a="1"/>
  <c r="AO28" i="1"/>
  <c r="AO29" i="1" a="1"/>
  <c r="AO29" i="1" s="1"/>
  <c r="AO30" i="1" a="1"/>
  <c r="AO30" i="1"/>
  <c r="AO31" i="1" a="1"/>
  <c r="AO31" i="1" s="1"/>
  <c r="AO32" i="1" a="1"/>
  <c r="AO32" i="1"/>
  <c r="AO33" i="1" a="1"/>
  <c r="AO33" i="1" s="1"/>
  <c r="AO34" i="1" a="1"/>
  <c r="AO34" i="1"/>
  <c r="AO35" i="1" a="1"/>
  <c r="AO35" i="1" s="1"/>
  <c r="AO36" i="1" a="1"/>
  <c r="AO36" i="1"/>
  <c r="AO37" i="1" a="1"/>
  <c r="AO37" i="1" s="1"/>
  <c r="AO38" i="1" a="1"/>
  <c r="AO38" i="1"/>
  <c r="AO39" i="1" a="1"/>
  <c r="AO39" i="1" s="1"/>
  <c r="AO40" i="1" a="1"/>
  <c r="AO40" i="1"/>
  <c r="AO41" i="1" a="1"/>
  <c r="AO41" i="1" s="1"/>
  <c r="AO42" i="1" a="1"/>
  <c r="AO42" i="1"/>
  <c r="AO43" i="1" a="1"/>
  <c r="AO43" i="1" s="1"/>
  <c r="AO44" i="1" a="1"/>
  <c r="AO44" i="1"/>
  <c r="AO45" i="1" a="1"/>
  <c r="AO45" i="1" s="1"/>
  <c r="AO46" i="1" a="1"/>
  <c r="AO46" i="1"/>
  <c r="AO47" i="1" a="1"/>
  <c r="AO47" i="1" s="1"/>
  <c r="AO48" i="1" a="1"/>
  <c r="AO48" i="1"/>
  <c r="AO49" i="1" a="1"/>
  <c r="AO49" i="1" s="1"/>
  <c r="AO50" i="1" a="1"/>
  <c r="AO50" i="1"/>
  <c r="AO51" i="1" a="1"/>
  <c r="AO51" i="1" s="1"/>
  <c r="AO52" i="1" a="1"/>
  <c r="AO52" i="1"/>
  <c r="AO53" i="1" a="1"/>
  <c r="AO53" i="1" s="1"/>
  <c r="AO54" i="1" a="1"/>
  <c r="AO54" i="1"/>
  <c r="AO55" i="1" a="1"/>
  <c r="AO55" i="1" s="1"/>
  <c r="AO56" i="1" a="1"/>
  <c r="AO56" i="1"/>
  <c r="AO57" i="1" a="1"/>
  <c r="AO57" i="1" s="1"/>
  <c r="AO58" i="1" a="1"/>
  <c r="AO58" i="1"/>
  <c r="AO59" i="1" a="1"/>
  <c r="AO59" i="1" s="1"/>
  <c r="AO60" i="1" a="1"/>
  <c r="AO60" i="1"/>
  <c r="AO61" i="1" a="1"/>
  <c r="AO61" i="1" s="1"/>
  <c r="AO62" i="1" a="1"/>
  <c r="AO62" i="1"/>
  <c r="AO63" i="1" a="1"/>
  <c r="AO63" i="1" s="1"/>
  <c r="AO64" i="1" a="1"/>
  <c r="AO64" i="1"/>
  <c r="AO65" i="1" a="1"/>
  <c r="AO65" i="1" s="1"/>
  <c r="AO66" i="1" a="1"/>
  <c r="AO66" i="1"/>
  <c r="AO67" i="1" a="1"/>
  <c r="AO67" i="1" s="1"/>
  <c r="AO68" i="1" a="1"/>
  <c r="AO68" i="1"/>
  <c r="AO69" i="1" a="1"/>
  <c r="AO69" i="1" s="1"/>
  <c r="AO70" i="1" a="1"/>
  <c r="AO70" i="1"/>
  <c r="AO71" i="1" a="1"/>
  <c r="AO71" i="1" s="1"/>
  <c r="AO72" i="1" a="1"/>
  <c r="AO72" i="1"/>
  <c r="AO73" i="1" a="1"/>
  <c r="AO73" i="1" s="1"/>
  <c r="AO74" i="1" a="1"/>
  <c r="AO74" i="1"/>
  <c r="AO75" i="1" a="1"/>
  <c r="AO75" i="1" s="1"/>
  <c r="AO76" i="1" a="1"/>
  <c r="AO76" i="1"/>
  <c r="AO77" i="1" a="1"/>
  <c r="AO77" i="1" s="1"/>
  <c r="AO78" i="1" a="1"/>
  <c r="AO78" i="1"/>
  <c r="AO79" i="1" a="1"/>
  <c r="AO79" i="1" s="1"/>
  <c r="AO80" i="1" a="1"/>
  <c r="AO80" i="1"/>
  <c r="AO81" i="1" a="1"/>
  <c r="AO81" i="1" s="1"/>
  <c r="AO82" i="1" a="1"/>
  <c r="AO82" i="1"/>
  <c r="AO83" i="1" a="1"/>
  <c r="AO83" i="1" s="1"/>
  <c r="AO84" i="1" a="1"/>
  <c r="AO84" i="1"/>
  <c r="AO85" i="1" a="1"/>
  <c r="AO85" i="1" s="1"/>
  <c r="AO86" i="1" a="1"/>
  <c r="AO86" i="1"/>
  <c r="AO87" i="1" a="1"/>
  <c r="AO87" i="1" s="1"/>
  <c r="AO88" i="1" a="1"/>
  <c r="AO88" i="1"/>
  <c r="AO89" i="1" a="1"/>
  <c r="AO89" i="1" s="1"/>
  <c r="AO90" i="1" a="1"/>
  <c r="AO90" i="1"/>
  <c r="AO91" i="1" a="1"/>
  <c r="AO91" i="1" s="1"/>
  <c r="AO92" i="1" a="1"/>
  <c r="AO92" i="1"/>
  <c r="AO93" i="1" a="1"/>
  <c r="AO93" i="1" s="1"/>
  <c r="AO94" i="1" a="1"/>
  <c r="AO94" i="1"/>
  <c r="AO95" i="1" a="1"/>
  <c r="AO95" i="1" s="1"/>
  <c r="AO96" i="1" a="1"/>
  <c r="AO96" i="1"/>
  <c r="AO97" i="1" a="1"/>
  <c r="AO97" i="1" s="1"/>
  <c r="AO98" i="1" a="1"/>
  <c r="AO98" i="1"/>
  <c r="AO99" i="1" a="1"/>
  <c r="AO99" i="1" s="1"/>
  <c r="AO100" i="1" a="1"/>
  <c r="AO100" i="1"/>
  <c r="AO101" i="1" a="1"/>
  <c r="AO101" i="1" s="1"/>
  <c r="AO102" i="1" a="1"/>
  <c r="AO102" i="1"/>
  <c r="AO103" i="1" a="1"/>
  <c r="AO103" i="1" s="1"/>
  <c r="AO104" i="1" a="1"/>
  <c r="AO104" i="1"/>
  <c r="AO105" i="1" a="1"/>
  <c r="AO105" i="1" s="1"/>
  <c r="AO106" i="1" a="1"/>
  <c r="AO106" i="1"/>
  <c r="AO107" i="1" a="1"/>
  <c r="AO107" i="1" s="1"/>
  <c r="AO108" i="1" a="1"/>
  <c r="AO108" i="1"/>
  <c r="AO109" i="1" a="1"/>
  <c r="AO109" i="1" s="1"/>
  <c r="AO110" i="1" a="1"/>
  <c r="AO110" i="1"/>
  <c r="AO111" i="1" a="1"/>
  <c r="AO111" i="1" s="1"/>
  <c r="AO112" i="1" a="1"/>
  <c r="AO112" i="1"/>
  <c r="AO113" i="1" a="1"/>
  <c r="AO113" i="1" s="1"/>
  <c r="AO114" i="1" a="1"/>
  <c r="AO114" i="1"/>
  <c r="AO115" i="1" a="1"/>
  <c r="AO115" i="1" s="1"/>
  <c r="AO116" i="1" a="1"/>
  <c r="AO116" i="1"/>
  <c r="AO117" i="1" a="1"/>
  <c r="AO117" i="1" s="1"/>
  <c r="AO118" i="1" a="1"/>
  <c r="AO118" i="1"/>
  <c r="AO119" i="1" a="1"/>
  <c r="AO119" i="1" s="1"/>
  <c r="AO120" i="1" a="1"/>
  <c r="AO120" i="1"/>
  <c r="AO121" i="1" a="1"/>
  <c r="AO121" i="1" s="1"/>
  <c r="AO122" i="1" a="1"/>
  <c r="AO122" i="1"/>
  <c r="AO123" i="1" a="1"/>
  <c r="AO123" i="1" s="1"/>
  <c r="AO124" i="1" a="1"/>
  <c r="AO124" i="1"/>
  <c r="AO125" i="1" a="1"/>
  <c r="AO125" i="1" s="1"/>
  <c r="AO126" i="1" a="1"/>
  <c r="AO126" i="1"/>
  <c r="AO127" i="1" a="1"/>
  <c r="AO127" i="1" s="1"/>
  <c r="AO128" i="1" a="1"/>
  <c r="AO128" i="1"/>
  <c r="AO129" i="1" a="1"/>
  <c r="AO129" i="1" s="1"/>
  <c r="AO130" i="1" a="1"/>
  <c r="AO130" i="1"/>
  <c r="AO131" i="1" a="1"/>
  <c r="AO131" i="1" s="1"/>
  <c r="AO132" i="1" a="1"/>
  <c r="AO132" i="1"/>
  <c r="AO133" i="1" a="1"/>
  <c r="AO133" i="1" s="1"/>
  <c r="AO134" i="1" a="1"/>
  <c r="AO134" i="1"/>
  <c r="AO135" i="1" a="1"/>
  <c r="AO135" i="1" s="1"/>
  <c r="AO136" i="1" a="1"/>
  <c r="AO136" i="1" s="1"/>
  <c r="AO137" i="1" a="1"/>
  <c r="AO137" i="1"/>
  <c r="AO138" i="1" a="1"/>
  <c r="AO138" i="1" s="1"/>
  <c r="AO139" i="1" a="1"/>
  <c r="AO139" i="1"/>
  <c r="AO140" i="1" a="1"/>
  <c r="AO140" i="1" s="1"/>
  <c r="AO141" i="1" a="1"/>
  <c r="AO141" i="1" s="1"/>
  <c r="AO142" i="1" a="1"/>
  <c r="AO142" i="1" s="1"/>
  <c r="AO143" i="1" a="1"/>
  <c r="AO143" i="1"/>
  <c r="AO144" i="1" a="1"/>
  <c r="AO144" i="1" s="1"/>
  <c r="AO145" i="1" a="1"/>
  <c r="AO145" i="1" s="1"/>
  <c r="AO146" i="1" a="1"/>
  <c r="AO146" i="1" s="1"/>
  <c r="AO147" i="1" a="1"/>
  <c r="AO147" i="1"/>
  <c r="AO148" i="1" a="1"/>
  <c r="AO148" i="1" s="1"/>
  <c r="AO149" i="1" a="1"/>
  <c r="AO149" i="1" s="1"/>
  <c r="AO150" i="1" a="1"/>
  <c r="AO150" i="1" s="1"/>
  <c r="AO151" i="1" a="1"/>
  <c r="AO151" i="1" s="1"/>
  <c r="AO152" i="1" a="1"/>
  <c r="AO152" i="1" s="1"/>
  <c r="AO153" i="1" a="1"/>
  <c r="AO153" i="1"/>
  <c r="AO154" i="1" a="1"/>
  <c r="AO154" i="1" s="1"/>
  <c r="AO155" i="1" a="1"/>
  <c r="AO155" i="1"/>
  <c r="AO156" i="1" a="1"/>
  <c r="AO156" i="1" s="1"/>
  <c r="AO157" i="1" a="1"/>
  <c r="AO157" i="1" s="1"/>
  <c r="AO158" i="1" a="1"/>
  <c r="AO158" i="1" s="1"/>
  <c r="AO159" i="1" a="1"/>
  <c r="AO159" i="1"/>
  <c r="AO160" i="1" a="1"/>
  <c r="AO160" i="1" s="1"/>
  <c r="AO161" i="1" a="1"/>
  <c r="AO161" i="1" s="1"/>
  <c r="AO162" i="1" a="1"/>
  <c r="AO162" i="1" s="1"/>
  <c r="AO163" i="1" a="1"/>
  <c r="AO163" i="1"/>
  <c r="AO164" i="1" a="1"/>
  <c r="AO164" i="1" s="1"/>
  <c r="AO165" i="1" a="1"/>
  <c r="AO165" i="1" s="1"/>
  <c r="AO166" i="1" a="1"/>
  <c r="AO166" i="1" s="1"/>
  <c r="AO167" i="1" a="1"/>
  <c r="AO167" i="1" s="1"/>
  <c r="AO168" i="1" a="1"/>
  <c r="AO168" i="1" s="1"/>
  <c r="AO169" i="1" a="1"/>
  <c r="AO169" i="1" s="1"/>
  <c r="AO170" i="1" a="1"/>
  <c r="AO170" i="1" s="1"/>
  <c r="AO171" i="1" a="1"/>
  <c r="AO171" i="1"/>
  <c r="AO172" i="1" a="1"/>
  <c r="AO172" i="1" s="1"/>
  <c r="AO173" i="1" a="1"/>
  <c r="AO173" i="1" s="1"/>
  <c r="AO174" i="1" a="1"/>
  <c r="AO174" i="1" s="1"/>
  <c r="AO175" i="1" a="1"/>
  <c r="AO175" i="1" s="1"/>
  <c r="AO176" i="1" a="1"/>
  <c r="AO176" i="1" s="1"/>
  <c r="AO177" i="1" a="1"/>
  <c r="AO177" i="1" s="1"/>
  <c r="AO178" i="1" a="1"/>
  <c r="AO178" i="1" s="1"/>
  <c r="AO179" i="1" a="1"/>
  <c r="AO179" i="1"/>
  <c r="AO180" i="1" a="1"/>
  <c r="AO180" i="1" s="1"/>
  <c r="AO181" i="1" a="1"/>
  <c r="AO181" i="1" s="1"/>
  <c r="AO182" i="1" a="1"/>
  <c r="AO182" i="1" s="1"/>
  <c r="AO183" i="1" a="1"/>
  <c r="AO183" i="1" s="1"/>
  <c r="AO184" i="1" a="1"/>
  <c r="AO184" i="1" s="1"/>
  <c r="AO185" i="1" a="1"/>
  <c r="AO185" i="1"/>
  <c r="AO186" i="1" a="1"/>
  <c r="AO186" i="1" s="1"/>
  <c r="AO187" i="1" a="1"/>
  <c r="AO187" i="1"/>
  <c r="AO188" i="1" a="1"/>
  <c r="AO188" i="1" s="1"/>
  <c r="AO189" i="1" a="1"/>
  <c r="AO189" i="1" s="1"/>
  <c r="AO190" i="1" a="1"/>
  <c r="AO190" i="1" s="1"/>
  <c r="AO191" i="1" a="1"/>
  <c r="AO191" i="1"/>
  <c r="AO192" i="1" a="1"/>
  <c r="AO192" i="1" s="1"/>
  <c r="AO193" i="1" a="1"/>
  <c r="AO193" i="1" s="1"/>
  <c r="AO194" i="1" a="1"/>
  <c r="AO194" i="1" s="1"/>
  <c r="AO195" i="1" a="1"/>
  <c r="AO195" i="1"/>
  <c r="AO196" i="1" a="1"/>
  <c r="AO196" i="1" s="1"/>
  <c r="AO197" i="1" a="1"/>
  <c r="AO197" i="1" s="1"/>
  <c r="AO198" i="1" a="1"/>
  <c r="AO198" i="1" s="1"/>
  <c r="AO199" i="1" a="1"/>
  <c r="AO199" i="1" s="1"/>
  <c r="AO200" i="1" a="1"/>
  <c r="AO200" i="1" s="1"/>
  <c r="AO201" i="1" a="1"/>
  <c r="AO201" i="1"/>
  <c r="AO202" i="1" a="1"/>
  <c r="AO202" i="1" s="1"/>
  <c r="AO203" i="1" a="1"/>
  <c r="AO203" i="1"/>
  <c r="AO204" i="1" a="1"/>
  <c r="AO204" i="1" s="1"/>
  <c r="AO205" i="1" a="1"/>
  <c r="AO205" i="1" s="1"/>
  <c r="AO206" i="1" a="1"/>
  <c r="AO206" i="1" s="1"/>
  <c r="AO207" i="1" a="1"/>
  <c r="AO207" i="1"/>
  <c r="AO208" i="1" a="1"/>
  <c r="AO208" i="1" s="1"/>
  <c r="AO209" i="1" a="1"/>
  <c r="AO209" i="1" s="1"/>
  <c r="AO210" i="1" a="1"/>
  <c r="AO210" i="1" s="1"/>
  <c r="AO211" i="1" a="1"/>
  <c r="AO211" i="1"/>
  <c r="AO212" i="1" a="1"/>
  <c r="AO212" i="1" s="1"/>
  <c r="AO213" i="1" a="1"/>
  <c r="AO213" i="1" s="1"/>
  <c r="AO214" i="1" a="1"/>
  <c r="AO214" i="1" s="1"/>
  <c r="AO215" i="1" a="1"/>
  <c r="AO215" i="1" s="1"/>
  <c r="AO216" i="1" a="1"/>
  <c r="AO216" i="1" s="1"/>
  <c r="AO217" i="1" a="1"/>
  <c r="AO217" i="1"/>
  <c r="AO218" i="1" a="1"/>
  <c r="AO218" i="1" s="1"/>
  <c r="AO219" i="1" a="1"/>
  <c r="AO219" i="1"/>
  <c r="AO220" i="1" a="1"/>
  <c r="AO220" i="1" s="1"/>
  <c r="AO221" i="1" a="1"/>
  <c r="AO221" i="1" s="1"/>
  <c r="AO222" i="1" a="1"/>
  <c r="AO222" i="1" s="1"/>
  <c r="AO223" i="1" a="1"/>
  <c r="AO223" i="1"/>
  <c r="AO224" i="1" a="1"/>
  <c r="AO224" i="1" s="1"/>
  <c r="AO225" i="1" a="1"/>
  <c r="AO225" i="1" s="1"/>
  <c r="AO226" i="1" a="1"/>
  <c r="AO226" i="1" s="1"/>
  <c r="AO227" i="1" a="1"/>
  <c r="AO227" i="1"/>
  <c r="AO228" i="1" a="1"/>
  <c r="AO228" i="1" s="1"/>
  <c r="AO229" i="1" a="1"/>
  <c r="AO229" i="1" s="1"/>
  <c r="AO230" i="1" a="1"/>
  <c r="AO230" i="1" s="1"/>
  <c r="AO231" i="1" a="1"/>
  <c r="AO231" i="1" s="1"/>
  <c r="AO232" i="1" a="1"/>
  <c r="AO232" i="1" s="1"/>
  <c r="AO233" i="1" a="1"/>
  <c r="AO233" i="1"/>
  <c r="AO234" i="1" a="1"/>
  <c r="AO234" i="1" s="1"/>
  <c r="AO235" i="1" a="1"/>
  <c r="AO235" i="1"/>
  <c r="AO236" i="1" a="1"/>
  <c r="AO236" i="1" s="1"/>
  <c r="AO237" i="1" a="1"/>
  <c r="AO237" i="1" s="1"/>
  <c r="AO238" i="1" a="1"/>
  <c r="AO238" i="1" s="1"/>
  <c r="AO239" i="1" a="1"/>
  <c r="AO239" i="1"/>
  <c r="AO240" i="1" a="1"/>
  <c r="AO240" i="1" s="1"/>
  <c r="AO241" i="1" a="1"/>
  <c r="AO241" i="1"/>
  <c r="AO242" i="1" a="1"/>
  <c r="AO242" i="1" s="1"/>
  <c r="AO243" i="1" a="1"/>
  <c r="AO243" i="1"/>
  <c r="AO244" i="1" a="1"/>
  <c r="AO244" i="1" s="1"/>
  <c r="AO245" i="1" a="1"/>
  <c r="AO245" i="1" s="1"/>
  <c r="AO246" i="1" a="1"/>
  <c r="AO246" i="1" s="1"/>
  <c r="AO247" i="1" a="1"/>
  <c r="AO247" i="1"/>
  <c r="AO248" i="1" a="1"/>
  <c r="AO248" i="1" s="1"/>
  <c r="AO249" i="1" a="1"/>
  <c r="AO249" i="1"/>
  <c r="AO250" i="1" a="1"/>
  <c r="AO250" i="1" s="1"/>
  <c r="AO251" i="1" a="1"/>
  <c r="AO251" i="1"/>
  <c r="AO252" i="1" a="1"/>
  <c r="AO252" i="1" s="1"/>
  <c r="AO253" i="1" a="1"/>
  <c r="AO253" i="1" s="1"/>
  <c r="AO254" i="1" a="1"/>
  <c r="AO254" i="1" s="1"/>
  <c r="AO255" i="1" a="1"/>
  <c r="AO255" i="1"/>
  <c r="AO256" i="1" a="1"/>
  <c r="AO256" i="1" s="1"/>
  <c r="AO257" i="1" a="1"/>
  <c r="AO257" i="1" s="1"/>
  <c r="AO258" i="1" a="1"/>
  <c r="AO258" i="1" s="1"/>
  <c r="AO259" i="1" a="1"/>
  <c r="AO259" i="1"/>
  <c r="AO260" i="1" a="1"/>
  <c r="AO260" i="1" s="1"/>
  <c r="AO261" i="1" a="1"/>
  <c r="AO261" i="1" s="1"/>
  <c r="AO262" i="1" a="1"/>
  <c r="AO262" i="1" s="1"/>
  <c r="AO263" i="1" a="1"/>
  <c r="AO263" i="1" s="1"/>
  <c r="AO264" i="1" a="1"/>
  <c r="AO264" i="1" s="1"/>
  <c r="AO265" i="1" a="1"/>
  <c r="AO265" i="1"/>
  <c r="AO266" i="1" a="1"/>
  <c r="AO266" i="1" s="1"/>
  <c r="AO267" i="1" a="1"/>
  <c r="AO267" i="1"/>
  <c r="AO268" i="1" a="1"/>
  <c r="AO268" i="1" s="1"/>
  <c r="AO269" i="1" a="1"/>
  <c r="AO269" i="1" s="1"/>
  <c r="AO270" i="1" a="1"/>
  <c r="AO270" i="1" s="1"/>
  <c r="AO271" i="1" a="1"/>
  <c r="AO271" i="1"/>
  <c r="AO272" i="1" a="1"/>
  <c r="AO272" i="1" s="1"/>
  <c r="AO273" i="1" a="1"/>
  <c r="AO273" i="1" s="1"/>
  <c r="AO274" i="1" a="1"/>
  <c r="AO274" i="1" s="1"/>
  <c r="AO275" i="1" a="1"/>
  <c r="AO275" i="1"/>
  <c r="AO276" i="1" a="1"/>
  <c r="AO276" i="1" s="1"/>
  <c r="AO277" i="1" a="1"/>
  <c r="AO277" i="1" s="1"/>
  <c r="AO278" i="1" a="1"/>
  <c r="AO278" i="1" s="1"/>
  <c r="AO279" i="1" a="1"/>
  <c r="AO279" i="1" s="1"/>
  <c r="AO280" i="1" a="1"/>
  <c r="AO280" i="1" s="1"/>
  <c r="AO281" i="1" a="1"/>
  <c r="AO281" i="1"/>
  <c r="AO282" i="1" a="1"/>
  <c r="AO282" i="1" s="1"/>
  <c r="AO283" i="1" a="1"/>
  <c r="AO283" i="1"/>
  <c r="AO284" i="1" a="1"/>
  <c r="AO284" i="1" s="1"/>
  <c r="AO285" i="1" a="1"/>
  <c r="AO285" i="1" s="1"/>
  <c r="AO286" i="1" a="1"/>
  <c r="AO286" i="1" s="1"/>
  <c r="AO287" i="1" a="1"/>
  <c r="AO287" i="1"/>
  <c r="AO288" i="1" a="1"/>
  <c r="AO288" i="1" s="1"/>
  <c r="AO289" i="1" a="1"/>
  <c r="AO289" i="1" s="1"/>
  <c r="AO290" i="1" a="1"/>
  <c r="AO290" i="1" s="1"/>
  <c r="AO291" i="1" a="1"/>
  <c r="AO291" i="1"/>
  <c r="AO292" i="1" a="1"/>
  <c r="AO292" i="1" s="1"/>
  <c r="AO293" i="1" a="1"/>
  <c r="AO293" i="1" s="1"/>
  <c r="AO294" i="1" a="1"/>
  <c r="AO294" i="1" s="1"/>
  <c r="AO295" i="1" a="1"/>
  <c r="AO295" i="1" s="1"/>
  <c r="AO296" i="1" a="1"/>
  <c r="AO296" i="1" s="1"/>
  <c r="AO297" i="1" a="1"/>
  <c r="AO297" i="1" s="1"/>
  <c r="AO298" i="1" a="1"/>
  <c r="AO298" i="1" s="1"/>
  <c r="AO299" i="1" a="1"/>
  <c r="AO299" i="1"/>
  <c r="AO300" i="1" a="1"/>
  <c r="AO300" i="1" s="1"/>
  <c r="AO301" i="1" a="1"/>
  <c r="AO301" i="1" s="1"/>
  <c r="AO302" i="1" a="1"/>
  <c r="AO302" i="1" s="1"/>
  <c r="AO303" i="1" a="1"/>
  <c r="AO303" i="1" s="1"/>
  <c r="AO304" i="1" a="1"/>
  <c r="AO304" i="1" s="1"/>
  <c r="AO305" i="1" a="1"/>
  <c r="AO305" i="1" s="1"/>
  <c r="AO306" i="1" a="1"/>
  <c r="AO306" i="1" s="1"/>
  <c r="AO307" i="1" a="1"/>
  <c r="AO307" i="1"/>
  <c r="AO308" i="1" a="1"/>
  <c r="AO308" i="1" s="1"/>
  <c r="AO309" i="1" a="1"/>
  <c r="AO309" i="1" s="1"/>
  <c r="AO310" i="1" a="1"/>
  <c r="AO310" i="1" s="1"/>
  <c r="AO311" i="1" a="1"/>
  <c r="AO311" i="1" s="1"/>
  <c r="AO312" i="1" a="1"/>
  <c r="AO312" i="1" s="1"/>
  <c r="AO313" i="1" a="1"/>
  <c r="AO313" i="1"/>
  <c r="AO314" i="1" a="1"/>
  <c r="AO314" i="1" s="1"/>
  <c r="AO315" i="1" a="1"/>
  <c r="AO315" i="1"/>
  <c r="AO316" i="1" a="1"/>
  <c r="AO316" i="1" s="1"/>
  <c r="AO317" i="1" a="1"/>
  <c r="AO317" i="1" s="1"/>
  <c r="AO318" i="1" a="1"/>
  <c r="AO318" i="1" s="1"/>
  <c r="AO319" i="1" a="1"/>
  <c r="AO319" i="1"/>
  <c r="AO320" i="1" a="1"/>
  <c r="AO320" i="1" s="1"/>
  <c r="AO321" i="1" a="1"/>
  <c r="AO321" i="1" s="1"/>
  <c r="AO322" i="1" a="1"/>
  <c r="AO322" i="1" s="1"/>
  <c r="AO323" i="1" a="1"/>
  <c r="AO323" i="1"/>
  <c r="AO324" i="1" a="1"/>
  <c r="AO324" i="1" s="1"/>
  <c r="AO325" i="1" a="1"/>
  <c r="AO325" i="1" s="1"/>
  <c r="AO326" i="1" a="1"/>
  <c r="AO326" i="1" s="1"/>
  <c r="AO327" i="1" a="1"/>
  <c r="AO327" i="1" s="1"/>
  <c r="AO328" i="1" a="1"/>
  <c r="AO328" i="1" s="1"/>
  <c r="AO329" i="1" a="1"/>
  <c r="AO329" i="1"/>
  <c r="AO330" i="1" a="1"/>
  <c r="AO330" i="1" s="1"/>
  <c r="AO331" i="1" a="1"/>
  <c r="AO331" i="1"/>
  <c r="AO332" i="1" a="1"/>
  <c r="AO332" i="1" s="1"/>
  <c r="AO333" i="1" a="1"/>
  <c r="AO333" i="1" s="1"/>
  <c r="AO334" i="1" a="1"/>
  <c r="AO334" i="1" s="1"/>
  <c r="AO335" i="1" a="1"/>
  <c r="AO335" i="1"/>
  <c r="AO336" i="1" a="1"/>
  <c r="AO336" i="1" s="1"/>
  <c r="AO337" i="1" a="1"/>
  <c r="AO337" i="1"/>
  <c r="AO338" i="1" a="1"/>
  <c r="AO338" i="1" s="1"/>
  <c r="AO339" i="1" a="1"/>
  <c r="AO339" i="1"/>
  <c r="AO340" i="1" a="1"/>
  <c r="AO340" i="1" s="1"/>
  <c r="AO341" i="1" a="1"/>
  <c r="AO341" i="1" s="1"/>
  <c r="AO342" i="1" a="1"/>
  <c r="AO342" i="1" s="1"/>
  <c r="AO343" i="1" a="1"/>
  <c r="AO343" i="1"/>
  <c r="AO344" i="1" a="1"/>
  <c r="AO344" i="1" s="1"/>
  <c r="AO345" i="1" a="1"/>
  <c r="AO345" i="1"/>
  <c r="AO346" i="1" a="1"/>
  <c r="AO346" i="1" s="1"/>
  <c r="AO347" i="1" a="1"/>
  <c r="AO347" i="1"/>
  <c r="AO348" i="1" a="1"/>
  <c r="AO348" i="1" s="1"/>
  <c r="AO349" i="1" a="1"/>
  <c r="AO349" i="1" s="1"/>
  <c r="AO350" i="1" a="1"/>
  <c r="AO350" i="1" s="1"/>
  <c r="AO351" i="1" a="1"/>
  <c r="AO351" i="1"/>
  <c r="AO352" i="1" a="1"/>
  <c r="AO352" i="1" s="1"/>
  <c r="AO353" i="1" a="1"/>
  <c r="AO353" i="1" s="1"/>
  <c r="AO354" i="1" a="1"/>
  <c r="AO354" i="1" s="1"/>
  <c r="AO355" i="1" a="1"/>
  <c r="AO355" i="1"/>
  <c r="AO356" i="1" a="1"/>
  <c r="AO356" i="1" s="1"/>
  <c r="AO357" i="1" a="1"/>
  <c r="AO357" i="1" s="1"/>
  <c r="AO358" i="1" a="1"/>
  <c r="AO358" i="1" s="1"/>
  <c r="AO359" i="1" a="1"/>
  <c r="AO359" i="1" s="1"/>
  <c r="AO360" i="1" a="1"/>
  <c r="AO360" i="1" s="1"/>
  <c r="AO361" i="1" a="1"/>
  <c r="AO361" i="1" s="1"/>
  <c r="AO362" i="1" a="1"/>
  <c r="AO362" i="1" s="1"/>
  <c r="AO363" i="1" a="1"/>
  <c r="AO363" i="1"/>
  <c r="AO364" i="1" a="1"/>
  <c r="AO364" i="1" s="1"/>
  <c r="AO365" i="1" a="1"/>
  <c r="AO365" i="1" s="1"/>
  <c r="AO366" i="1" a="1"/>
  <c r="AO366" i="1" s="1"/>
  <c r="AO367" i="1" a="1"/>
  <c r="AO367" i="1" s="1"/>
  <c r="AO368" i="1" a="1"/>
  <c r="AO368" i="1" s="1"/>
  <c r="AO369" i="1" a="1"/>
  <c r="AO369" i="1" s="1"/>
  <c r="AO370" i="1" a="1"/>
  <c r="AO370" i="1" s="1"/>
  <c r="AO371" i="1" a="1"/>
  <c r="AO371" i="1"/>
  <c r="AO372" i="1" a="1"/>
  <c r="AO372" i="1" s="1"/>
  <c r="AO373" i="1" a="1"/>
  <c r="AO373" i="1" s="1"/>
  <c r="AO374" i="1" a="1"/>
  <c r="AO374" i="1" s="1"/>
  <c r="AO375" i="1" a="1"/>
  <c r="AO375" i="1" s="1"/>
  <c r="AO376" i="1" a="1"/>
  <c r="AO376" i="1" s="1"/>
  <c r="AO377" i="1" a="1"/>
  <c r="AO377" i="1"/>
  <c r="AO378" i="1" a="1"/>
  <c r="AO378" i="1" s="1"/>
  <c r="AO379" i="1" a="1"/>
  <c r="AO379" i="1"/>
  <c r="AO380" i="1" a="1"/>
  <c r="AO380" i="1" s="1"/>
  <c r="AO381" i="1" a="1"/>
  <c r="AO381" i="1" s="1"/>
  <c r="AO382" i="1" a="1"/>
  <c r="AO382" i="1" s="1"/>
  <c r="AO383" i="1" a="1"/>
  <c r="AO383" i="1"/>
  <c r="AO384" i="1" a="1"/>
  <c r="AO384" i="1" s="1"/>
  <c r="AO385" i="1" a="1"/>
  <c r="AO385" i="1"/>
  <c r="AO386" i="1" a="1"/>
  <c r="AO386" i="1" s="1"/>
  <c r="AO387" i="1" a="1"/>
  <c r="AO387" i="1"/>
  <c r="AO388" i="1" a="1"/>
  <c r="AO388" i="1" s="1"/>
  <c r="AO389" i="1" a="1"/>
  <c r="AO389" i="1" s="1"/>
  <c r="AO390" i="1" a="1"/>
  <c r="AO390" i="1" s="1"/>
  <c r="AO391" i="1" a="1"/>
  <c r="AO391" i="1"/>
  <c r="AO392" i="1" a="1"/>
  <c r="AO392" i="1" s="1"/>
  <c r="AO393" i="1" a="1"/>
  <c r="AO393" i="1" s="1"/>
  <c r="AO394" i="1" a="1"/>
  <c r="AO394" i="1" s="1"/>
  <c r="AO395" i="1" a="1"/>
  <c r="AO395" i="1"/>
  <c r="AO396" i="1" a="1"/>
  <c r="AO396" i="1" s="1"/>
  <c r="AO397" i="1" a="1"/>
  <c r="AO397" i="1" s="1"/>
  <c r="AO398" i="1" a="1"/>
  <c r="AO398" i="1" s="1"/>
  <c r="AO399" i="1" a="1"/>
  <c r="AO399" i="1" s="1"/>
  <c r="AO400" i="1" a="1"/>
  <c r="AO400" i="1" s="1"/>
  <c r="AO401" i="1" a="1"/>
  <c r="AO401" i="1" s="1"/>
  <c r="AO402" i="1" a="1"/>
  <c r="AO402" i="1" s="1"/>
  <c r="AO403" i="1" a="1"/>
  <c r="AO403" i="1"/>
  <c r="AO404" i="1" a="1"/>
  <c r="AO404" i="1" s="1"/>
  <c r="AO405" i="1" a="1"/>
  <c r="AO405" i="1" s="1"/>
  <c r="AO406" i="1" a="1"/>
  <c r="AO406" i="1" s="1"/>
  <c r="AO407" i="1" a="1"/>
  <c r="AO407" i="1" s="1"/>
  <c r="AO408" i="1" a="1"/>
  <c r="AO408" i="1" s="1"/>
  <c r="AO409" i="1" a="1"/>
  <c r="AO409" i="1"/>
  <c r="AO410" i="1" a="1"/>
  <c r="AO410" i="1" s="1"/>
  <c r="AO411" i="1" a="1"/>
  <c r="AO411" i="1"/>
  <c r="AO412" i="1" a="1"/>
  <c r="AO412" i="1" s="1"/>
  <c r="AO413" i="1" a="1"/>
  <c r="AO413" i="1" s="1"/>
  <c r="AO414" i="1" a="1"/>
  <c r="AO414" i="1" s="1"/>
  <c r="AO415" i="1" a="1"/>
  <c r="AO415" i="1"/>
  <c r="AO416" i="1" a="1"/>
  <c r="AO416" i="1" s="1"/>
  <c r="AO417" i="1" a="1"/>
  <c r="AO417" i="1"/>
  <c r="AO418" i="1" a="1"/>
  <c r="AO418" i="1" s="1"/>
  <c r="AO419" i="1" a="1"/>
  <c r="AO419" i="1"/>
  <c r="AO420" i="1" a="1"/>
  <c r="AO420" i="1" s="1"/>
  <c r="AO421" i="1" a="1"/>
  <c r="AO421" i="1" s="1"/>
  <c r="AO422" i="1" a="1"/>
  <c r="AO422" i="1" s="1"/>
  <c r="AO423" i="1" a="1"/>
  <c r="AO423" i="1"/>
  <c r="AO424" i="1" a="1"/>
  <c r="AO424" i="1" s="1"/>
  <c r="AO425" i="1" a="1"/>
  <c r="AO425" i="1" s="1"/>
  <c r="AO426" i="1" a="1"/>
  <c r="AO426" i="1" s="1"/>
  <c r="AO427" i="1" a="1"/>
  <c r="AO427" i="1"/>
  <c r="AO428" i="1" a="1"/>
  <c r="AO428" i="1" s="1"/>
  <c r="AO429" i="1" a="1"/>
  <c r="AO429" i="1" s="1"/>
  <c r="AO430" i="1" a="1"/>
  <c r="AO430" i="1" s="1"/>
  <c r="AO431" i="1" a="1"/>
  <c r="AO431" i="1" s="1"/>
  <c r="AO432" i="1" a="1"/>
  <c r="AO432" i="1" s="1"/>
  <c r="AO433" i="1" a="1"/>
  <c r="AO433" i="1" s="1"/>
  <c r="AO434" i="1" a="1"/>
  <c r="AO434" i="1" s="1"/>
  <c r="AO435" i="1" a="1"/>
  <c r="AO435" i="1"/>
  <c r="AO436" i="1" a="1"/>
  <c r="AO436" i="1" s="1"/>
  <c r="AO437" i="1" a="1"/>
  <c r="AO437" i="1"/>
  <c r="AO438" i="1" a="1"/>
  <c r="AO438" i="1" s="1"/>
  <c r="AO439" i="1" a="1"/>
  <c r="AO439" i="1" s="1"/>
  <c r="AO440" i="1" a="1"/>
  <c r="AO440" i="1" s="1"/>
  <c r="AO441" i="1" a="1"/>
  <c r="AO441" i="1"/>
  <c r="AO442" i="1" a="1"/>
  <c r="AO442" i="1" s="1"/>
  <c r="AO443" i="1" a="1"/>
  <c r="AO443" i="1" s="1"/>
  <c r="AO444" i="1" a="1"/>
  <c r="AO444" i="1" s="1"/>
  <c r="AO445" i="1" a="1"/>
  <c r="AO445" i="1"/>
  <c r="AO446" i="1" a="1"/>
  <c r="AO446" i="1" s="1"/>
  <c r="AO447" i="1" a="1"/>
  <c r="AO447" i="1" s="1"/>
  <c r="AO448" i="1" a="1"/>
  <c r="AO448" i="1" s="1"/>
  <c r="AO449" i="1" a="1"/>
  <c r="AO449" i="1" s="1"/>
  <c r="AO450" i="1" a="1"/>
  <c r="AO450" i="1" s="1"/>
  <c r="AO451" i="1" a="1"/>
  <c r="AO451" i="1"/>
  <c r="AO452" i="1" a="1"/>
  <c r="AO452" i="1" s="1"/>
  <c r="AO453" i="1" a="1"/>
  <c r="AO453" i="1"/>
  <c r="AO454" i="1" a="1"/>
  <c r="AO454" i="1" s="1"/>
  <c r="AO455" i="1" a="1"/>
  <c r="AO455" i="1" s="1"/>
  <c r="AO456" i="1" a="1"/>
  <c r="AO456" i="1" s="1"/>
  <c r="AO457" i="1" a="1"/>
  <c r="AO457" i="1"/>
  <c r="AO458" i="1" a="1"/>
  <c r="AO458" i="1" s="1"/>
  <c r="AO459" i="1" a="1"/>
  <c r="AO459" i="1" s="1"/>
  <c r="AO460" i="1" a="1"/>
  <c r="AO460" i="1" s="1"/>
  <c r="AO461" i="1" a="1"/>
  <c r="AO461" i="1"/>
  <c r="AO462" i="1" a="1"/>
  <c r="AO462" i="1" s="1"/>
  <c r="AO463" i="1" a="1"/>
  <c r="AO463" i="1" s="1"/>
  <c r="AO464" i="1" a="1"/>
  <c r="AO464" i="1" s="1"/>
  <c r="AO465" i="1" a="1"/>
  <c r="AO465" i="1" s="1"/>
  <c r="AO466" i="1" a="1"/>
  <c r="AO466" i="1" s="1"/>
  <c r="AO467" i="1" a="1"/>
  <c r="AO467" i="1"/>
  <c r="AO468" i="1" a="1"/>
  <c r="AO468" i="1" s="1"/>
  <c r="AO469" i="1" a="1"/>
  <c r="AO469" i="1"/>
  <c r="AO470" i="1" a="1"/>
  <c r="AO470" i="1" s="1"/>
  <c r="AO471" i="1" a="1"/>
  <c r="AO471" i="1" s="1"/>
  <c r="AO472" i="1" a="1"/>
  <c r="AO472" i="1" s="1"/>
  <c r="AO473" i="1" a="1"/>
  <c r="AO473" i="1"/>
  <c r="AO474" i="1" a="1"/>
  <c r="AO474" i="1" s="1"/>
  <c r="AO475" i="1" a="1"/>
  <c r="AO475" i="1" s="1"/>
  <c r="AO476" i="1" a="1"/>
  <c r="AO476" i="1" s="1"/>
  <c r="AO477" i="1" a="1"/>
  <c r="AO477" i="1"/>
  <c r="AO478" i="1" a="1"/>
  <c r="AO478" i="1" s="1"/>
  <c r="AO479" i="1" a="1"/>
  <c r="AO479" i="1" s="1"/>
  <c r="AO480" i="1" a="1"/>
  <c r="AO480" i="1" s="1"/>
  <c r="AO481" i="1" a="1"/>
  <c r="AO481" i="1" s="1"/>
  <c r="AO482" i="1" a="1"/>
  <c r="AO482" i="1" s="1"/>
  <c r="AO483" i="1" a="1"/>
  <c r="AO483" i="1"/>
  <c r="AO484" i="1" a="1"/>
  <c r="AO484" i="1" s="1"/>
  <c r="AO485" i="1" a="1"/>
  <c r="AO485" i="1"/>
  <c r="AO486" i="1" a="1"/>
  <c r="AO486" i="1" s="1"/>
  <c r="AO487" i="1" a="1"/>
  <c r="AO487" i="1" s="1"/>
  <c r="AO488" i="1" a="1"/>
  <c r="AO488" i="1" s="1"/>
  <c r="AO489" i="1" a="1"/>
  <c r="AO489" i="1"/>
  <c r="AO490" i="1" a="1"/>
  <c r="AO490" i="1" s="1"/>
  <c r="AO491" i="1" a="1"/>
  <c r="AO491" i="1" s="1"/>
  <c r="AO492" i="1" a="1"/>
  <c r="AO492" i="1" s="1"/>
  <c r="AO493" i="1" a="1"/>
  <c r="AO493" i="1"/>
  <c r="AO494" i="1" a="1"/>
  <c r="AO494" i="1" s="1"/>
  <c r="AO495" i="1" a="1"/>
  <c r="AO495" i="1" s="1"/>
  <c r="AO496" i="1" a="1"/>
  <c r="AO496" i="1" s="1"/>
  <c r="AO497" i="1" a="1"/>
  <c r="AO497" i="1" s="1"/>
  <c r="AO498" i="1" a="1"/>
  <c r="AO498" i="1" s="1"/>
  <c r="AO499" i="1" a="1"/>
  <c r="AO499" i="1"/>
  <c r="AO500" i="1" a="1"/>
  <c r="AO500" i="1" s="1"/>
  <c r="AO501" i="1" a="1"/>
  <c r="AO501" i="1"/>
  <c r="AO502" i="1" a="1"/>
  <c r="AO502" i="1" s="1"/>
  <c r="AO503" i="1" a="1"/>
  <c r="AO503" i="1" s="1"/>
  <c r="AO504" i="1" a="1"/>
  <c r="AO504" i="1" s="1"/>
  <c r="AO505" i="1" a="1"/>
  <c r="AO505" i="1"/>
  <c r="AO506" i="1" a="1"/>
  <c r="AO506" i="1" s="1"/>
  <c r="AO507" i="1" a="1"/>
  <c r="AO507" i="1" s="1"/>
  <c r="AO508" i="1" a="1"/>
  <c r="AO508" i="1" s="1"/>
  <c r="AO509" i="1" a="1"/>
  <c r="AO509" i="1"/>
  <c r="AO510" i="1" a="1"/>
  <c r="AO510" i="1" s="1"/>
  <c r="AO511" i="1" a="1"/>
  <c r="AO511" i="1" s="1"/>
  <c r="AO512" i="1" a="1"/>
  <c r="AO512" i="1" s="1"/>
  <c r="AO513" i="1" a="1"/>
  <c r="AO513" i="1" s="1"/>
  <c r="AO514" i="1" a="1"/>
  <c r="AO514" i="1" s="1"/>
  <c r="AO515" i="1" a="1"/>
  <c r="AO515" i="1"/>
  <c r="AO516" i="1" a="1"/>
  <c r="AO516" i="1" s="1"/>
  <c r="AO517" i="1" a="1"/>
  <c r="AO517" i="1"/>
  <c r="AO518" i="1" a="1"/>
  <c r="AO518" i="1" s="1"/>
  <c r="AO519" i="1" a="1"/>
  <c r="AO519" i="1" s="1"/>
  <c r="AO520" i="1" a="1"/>
  <c r="AO520" i="1" s="1"/>
  <c r="AO521" i="1" a="1"/>
  <c r="AO521" i="1"/>
  <c r="AO522" i="1" a="1"/>
  <c r="AO522" i="1" s="1"/>
  <c r="AO523" i="1" a="1"/>
  <c r="AO523" i="1" s="1"/>
  <c r="AO524" i="1" a="1"/>
  <c r="AO524" i="1" s="1"/>
  <c r="AO525" i="1" a="1"/>
  <c r="AO525" i="1"/>
  <c r="AO526" i="1" a="1"/>
  <c r="AO526" i="1" s="1"/>
  <c r="AO527" i="1" a="1"/>
  <c r="AO527" i="1" s="1"/>
  <c r="AO528" i="1" a="1"/>
  <c r="AO528" i="1" s="1"/>
  <c r="AO529" i="1" a="1"/>
  <c r="AO529" i="1" s="1"/>
  <c r="AO530" i="1" a="1"/>
  <c r="AO530" i="1" s="1"/>
  <c r="AO531" i="1" a="1"/>
  <c r="AO531" i="1"/>
  <c r="AO532" i="1" a="1"/>
  <c r="AO532" i="1" s="1"/>
  <c r="AO533" i="1" a="1"/>
  <c r="AO533" i="1"/>
  <c r="AO534" i="1" a="1"/>
  <c r="AO534" i="1" s="1"/>
  <c r="AO535" i="1" a="1"/>
  <c r="AO535" i="1" s="1"/>
  <c r="AO536" i="1" a="1"/>
  <c r="AO536" i="1" s="1"/>
  <c r="AO537" i="1" a="1"/>
  <c r="AO537" i="1"/>
  <c r="AO538" i="1" a="1"/>
  <c r="AO538" i="1" s="1"/>
  <c r="AO539" i="1" a="1"/>
  <c r="AO539" i="1" s="1"/>
  <c r="AO540" i="1" a="1"/>
  <c r="AO540" i="1" s="1"/>
  <c r="AO541" i="1" a="1"/>
  <c r="AO541" i="1"/>
  <c r="AO542" i="1" a="1"/>
  <c r="AO542" i="1" s="1"/>
  <c r="AO543" i="1" a="1"/>
  <c r="AO543" i="1" s="1"/>
  <c r="AO544" i="1" a="1"/>
  <c r="AO544" i="1" s="1"/>
  <c r="AO545" i="1" a="1"/>
  <c r="AO545" i="1" s="1"/>
  <c r="AO546" i="1" a="1"/>
  <c r="AO546" i="1" s="1"/>
  <c r="AO547" i="1" a="1"/>
  <c r="AO547" i="1"/>
  <c r="AO548" i="1" a="1"/>
  <c r="AO548" i="1" s="1"/>
  <c r="AO549" i="1" a="1"/>
  <c r="AO549" i="1"/>
  <c r="AO550" i="1" a="1"/>
  <c r="AO550" i="1" s="1"/>
  <c r="AO551" i="1" a="1"/>
  <c r="AO551" i="1" s="1"/>
  <c r="AO552" i="1" a="1"/>
  <c r="AO552" i="1" s="1"/>
  <c r="AO553" i="1" a="1"/>
  <c r="AO553" i="1"/>
  <c r="AO554" i="1" a="1"/>
  <c r="AO554" i="1" s="1"/>
  <c r="AO555" i="1" a="1"/>
  <c r="AO555" i="1" s="1"/>
  <c r="AO556" i="1" a="1"/>
  <c r="AO556" i="1" s="1"/>
  <c r="AO557" i="1" a="1"/>
  <c r="AO557" i="1"/>
  <c r="AO558" i="1" a="1"/>
  <c r="AO558" i="1" s="1"/>
  <c r="AO559" i="1" a="1"/>
  <c r="AO559" i="1" s="1"/>
  <c r="AO560" i="1" a="1"/>
  <c r="AO560" i="1" s="1"/>
  <c r="AO561" i="1" a="1"/>
  <c r="AO561" i="1" s="1"/>
  <c r="AO562" i="1" a="1"/>
  <c r="AO562" i="1" s="1"/>
  <c r="AO563" i="1" a="1"/>
  <c r="AO563" i="1"/>
  <c r="AO564" i="1" a="1"/>
  <c r="AO564" i="1" s="1"/>
  <c r="AO565" i="1" a="1"/>
  <c r="AO565" i="1"/>
  <c r="AO566" i="1" a="1"/>
  <c r="AO566" i="1" s="1"/>
  <c r="AO567" i="1" a="1"/>
  <c r="AO567" i="1" s="1"/>
  <c r="AO568" i="1" a="1"/>
  <c r="AO568" i="1" s="1"/>
  <c r="AO569" i="1" a="1"/>
  <c r="AO569" i="1" s="1"/>
  <c r="AO570" i="1" a="1"/>
  <c r="AO570" i="1"/>
  <c r="AO571" i="1" a="1"/>
  <c r="AO571" i="1" s="1"/>
  <c r="AO572" i="1" a="1"/>
  <c r="AO572" i="1" s="1"/>
  <c r="AO573" i="1" a="1"/>
  <c r="AO573" i="1" s="1"/>
  <c r="AO574" i="1" a="1"/>
  <c r="AO574" i="1"/>
  <c r="AO575" i="1" a="1"/>
  <c r="AO575" i="1" s="1"/>
  <c r="AO576" i="1" a="1"/>
  <c r="AO576" i="1" s="1"/>
  <c r="AO577" i="1" a="1"/>
  <c r="AO577" i="1" s="1"/>
  <c r="AO578" i="1" a="1"/>
  <c r="AO578" i="1"/>
  <c r="AO579" i="1" a="1"/>
  <c r="AO579" i="1" s="1"/>
  <c r="AO580" i="1" a="1"/>
  <c r="AO580" i="1" s="1"/>
  <c r="AO581" i="1" a="1"/>
  <c r="AO581" i="1" s="1"/>
  <c r="AO582" i="1" a="1"/>
  <c r="AO582" i="1"/>
  <c r="AO583" i="1" a="1"/>
  <c r="AO583" i="1" s="1"/>
  <c r="AO584" i="1" a="1"/>
  <c r="AO584" i="1" s="1"/>
  <c r="AO585" i="1" a="1"/>
  <c r="AO585" i="1" s="1"/>
  <c r="AO586" i="1" a="1"/>
  <c r="AO586" i="1"/>
  <c r="AO587" i="1" a="1"/>
  <c r="AO587" i="1" s="1"/>
  <c r="AO588" i="1" a="1"/>
  <c r="AO588" i="1" s="1"/>
  <c r="AO589" i="1" a="1"/>
  <c r="AO589" i="1" s="1"/>
  <c r="AO590" i="1" a="1"/>
  <c r="AO590" i="1"/>
  <c r="AO591" i="1" a="1"/>
  <c r="AO591" i="1" s="1"/>
  <c r="AO592" i="1" a="1"/>
  <c r="AO592" i="1" s="1"/>
  <c r="AO593" i="1" a="1"/>
  <c r="AO593" i="1" s="1"/>
  <c r="AO594" i="1" a="1"/>
  <c r="AO594" i="1"/>
  <c r="AO595" i="1" a="1"/>
  <c r="AO595" i="1" s="1"/>
  <c r="AO596" i="1" a="1"/>
  <c r="AO596" i="1" s="1"/>
  <c r="AO597" i="1" a="1"/>
  <c r="AO597" i="1" s="1"/>
  <c r="AO598" i="1" a="1"/>
  <c r="AO598" i="1"/>
  <c r="AO599" i="1" a="1"/>
  <c r="AO599" i="1" s="1"/>
  <c r="AO600" i="1" a="1"/>
  <c r="AO600" i="1" s="1"/>
  <c r="AO601" i="1" a="1"/>
  <c r="AO601" i="1" s="1"/>
  <c r="AO602" i="1" a="1"/>
  <c r="AO602" i="1"/>
  <c r="AO603" i="1" a="1"/>
  <c r="AO603" i="1" s="1"/>
  <c r="AO604" i="1" a="1"/>
  <c r="AO604" i="1" s="1"/>
  <c r="AO605" i="1" a="1"/>
  <c r="AO605" i="1" s="1"/>
  <c r="AO606" i="1" a="1"/>
  <c r="AO606" i="1"/>
  <c r="AO607" i="1" a="1"/>
  <c r="AO607" i="1" s="1"/>
  <c r="AO608" i="1" a="1"/>
  <c r="AO608" i="1" s="1"/>
  <c r="AO609" i="1" a="1"/>
  <c r="AO609" i="1" s="1"/>
  <c r="AO610" i="1" a="1"/>
  <c r="AO610" i="1"/>
  <c r="AO611" i="1" a="1"/>
  <c r="AO611" i="1" s="1"/>
  <c r="AO612" i="1" a="1"/>
  <c r="AO612" i="1" s="1"/>
  <c r="AO613" i="1" a="1"/>
  <c r="AO613" i="1" s="1"/>
  <c r="AO614" i="1" a="1"/>
  <c r="AO614" i="1"/>
  <c r="AO615" i="1" a="1"/>
  <c r="AO615" i="1" s="1"/>
  <c r="AO616" i="1" a="1"/>
  <c r="AO616" i="1" s="1"/>
  <c r="AO617" i="1" a="1"/>
  <c r="AO617" i="1" s="1"/>
  <c r="AO618" i="1" a="1"/>
  <c r="AO618" i="1"/>
  <c r="AO619" i="1" a="1"/>
  <c r="AO619" i="1" s="1"/>
  <c r="AO620" i="1" a="1"/>
  <c r="AO620" i="1" s="1"/>
  <c r="AO621" i="1" a="1"/>
  <c r="AO621" i="1" s="1"/>
  <c r="AO622" i="1" a="1"/>
  <c r="AO622" i="1"/>
  <c r="AO623" i="1" a="1"/>
  <c r="AO623" i="1" s="1"/>
  <c r="AO624" i="1" a="1"/>
  <c r="AO624" i="1" s="1"/>
  <c r="AO625" i="1" a="1"/>
  <c r="AO625" i="1" s="1"/>
  <c r="AO626" i="1" a="1"/>
  <c r="AO626" i="1"/>
  <c r="AO627" i="1" a="1"/>
  <c r="AO627" i="1" s="1"/>
  <c r="AO628" i="1" a="1"/>
  <c r="AO628" i="1" s="1"/>
  <c r="AO629" i="1" a="1"/>
  <c r="AO629" i="1" s="1"/>
  <c r="AO630" i="1" a="1"/>
  <c r="AO630" i="1"/>
  <c r="AO631" i="1" a="1"/>
  <c r="AO631" i="1" s="1"/>
  <c r="AO632" i="1" a="1"/>
  <c r="AO632" i="1" s="1"/>
  <c r="AO633" i="1" a="1"/>
  <c r="AO633" i="1" s="1"/>
  <c r="AO634" i="1" a="1"/>
  <c r="AO634" i="1"/>
  <c r="AO635" i="1" a="1"/>
  <c r="AO635" i="1" s="1"/>
  <c r="AO636" i="1" a="1"/>
  <c r="AO636" i="1" s="1"/>
  <c r="AO637" i="1" a="1"/>
  <c r="AO637" i="1" s="1"/>
  <c r="AO638" i="1" a="1"/>
  <c r="AO638" i="1"/>
  <c r="AO639" i="1" a="1"/>
  <c r="AO639" i="1" s="1"/>
  <c r="AO640" i="1" a="1"/>
  <c r="AO640" i="1" s="1"/>
  <c r="AO641" i="1" a="1"/>
  <c r="AO641" i="1" s="1"/>
  <c r="AO642" i="1" a="1"/>
  <c r="AO642" i="1"/>
  <c r="AO643" i="1" a="1"/>
  <c r="AO643" i="1" s="1"/>
  <c r="AO644" i="1" a="1"/>
  <c r="AO644" i="1" s="1"/>
  <c r="AO645" i="1" a="1"/>
  <c r="AO645" i="1" s="1"/>
  <c r="AO646" i="1" a="1"/>
  <c r="AO646" i="1"/>
  <c r="AO647" i="1" a="1"/>
  <c r="AO647" i="1" s="1"/>
  <c r="AO648" i="1" a="1"/>
  <c r="AO648" i="1" s="1"/>
  <c r="AO649" i="1" a="1"/>
  <c r="AO649" i="1" s="1"/>
  <c r="AO650" i="1" a="1"/>
  <c r="AO650" i="1"/>
  <c r="AO651" i="1" a="1"/>
  <c r="AO651" i="1" s="1"/>
  <c r="AO652" i="1" a="1"/>
  <c r="AO652" i="1" s="1"/>
  <c r="AO653" i="1" a="1"/>
  <c r="AO653" i="1" s="1"/>
  <c r="AO654" i="1" a="1"/>
  <c r="AO654" i="1"/>
  <c r="AO655" i="1" a="1"/>
  <c r="AO655" i="1" s="1"/>
  <c r="AO656" i="1" a="1"/>
  <c r="AO656" i="1" s="1"/>
  <c r="AO657" i="1" a="1"/>
  <c r="AO657" i="1" s="1"/>
  <c r="AO658" i="1" a="1"/>
  <c r="AO658" i="1"/>
  <c r="AO659" i="1" a="1"/>
  <c r="AO659" i="1" s="1"/>
  <c r="AO660" i="1" a="1"/>
  <c r="AO660" i="1" s="1"/>
  <c r="AO661" i="1" a="1"/>
  <c r="AO661" i="1" s="1"/>
  <c r="AO662" i="1" a="1"/>
  <c r="AO662" i="1"/>
  <c r="AO663" i="1" a="1"/>
  <c r="AO663" i="1" s="1"/>
  <c r="AO664" i="1" a="1"/>
  <c r="AO664" i="1" s="1"/>
  <c r="AO665" i="1" a="1"/>
  <c r="AO665" i="1" s="1"/>
  <c r="AO666" i="1" a="1"/>
  <c r="AO666" i="1"/>
  <c r="AO667" i="1" a="1"/>
  <c r="AO667" i="1" s="1"/>
  <c r="AO668" i="1" a="1"/>
  <c r="AO668" i="1" s="1"/>
  <c r="AO669" i="1" a="1"/>
  <c r="AO669" i="1" s="1"/>
  <c r="AO670" i="1" a="1"/>
  <c r="AO670" i="1"/>
  <c r="AO671" i="1" a="1"/>
  <c r="AO671" i="1" s="1"/>
  <c r="AO672" i="1" a="1"/>
  <c r="AO672" i="1" s="1"/>
  <c r="AO673" i="1" a="1"/>
  <c r="AO673" i="1" s="1"/>
  <c r="AO674" i="1" a="1"/>
  <c r="AO674" i="1"/>
  <c r="AO675" i="1" a="1"/>
  <c r="AO675" i="1" s="1"/>
  <c r="AO676" i="1" a="1"/>
  <c r="AO676" i="1" s="1"/>
  <c r="AO677" i="1" a="1"/>
  <c r="AO677" i="1" s="1"/>
  <c r="AO678" i="1" a="1"/>
  <c r="AO678" i="1"/>
  <c r="AO679" i="1" a="1"/>
  <c r="AO679" i="1" s="1"/>
  <c r="AO680" i="1" a="1"/>
  <c r="AO680" i="1" s="1"/>
  <c r="AO681" i="1" a="1"/>
  <c r="AO681" i="1" s="1"/>
  <c r="AO682" i="1" a="1"/>
  <c r="AO682" i="1"/>
  <c r="AO683" i="1" a="1"/>
  <c r="AO683" i="1" s="1"/>
  <c r="AO684" i="1" a="1"/>
  <c r="AO684" i="1" s="1"/>
  <c r="AO685" i="1" a="1"/>
  <c r="AO685" i="1" s="1"/>
  <c r="AO686" i="1" a="1"/>
  <c r="AO686" i="1"/>
  <c r="AO687" i="1" a="1"/>
  <c r="AO687" i="1" s="1"/>
  <c r="AO688" i="1" a="1"/>
  <c r="AO688" i="1" s="1"/>
  <c r="AO689" i="1" a="1"/>
  <c r="AO689" i="1" s="1"/>
  <c r="AO690" i="1" a="1"/>
  <c r="AO690" i="1"/>
  <c r="AO691" i="1" a="1"/>
  <c r="AO691" i="1" s="1"/>
  <c r="AO692" i="1" a="1"/>
  <c r="AO692" i="1" s="1"/>
  <c r="AO693" i="1" a="1"/>
  <c r="AO693" i="1" s="1"/>
  <c r="AO694" i="1" a="1"/>
  <c r="AO694" i="1"/>
  <c r="AO695" i="1" a="1"/>
  <c r="AO695" i="1" s="1"/>
  <c r="AO696" i="1" a="1"/>
  <c r="AO696" i="1" s="1"/>
  <c r="AO697" i="1" a="1"/>
  <c r="AO697" i="1" s="1"/>
  <c r="AO698" i="1" a="1"/>
  <c r="AO698" i="1"/>
  <c r="AO699" i="1" a="1"/>
  <c r="AO699" i="1" s="1"/>
  <c r="AO700" i="1" a="1"/>
  <c r="AO700" i="1" s="1"/>
  <c r="AO701" i="1" a="1"/>
  <c r="AO701" i="1" s="1"/>
  <c r="AO702" i="1" a="1"/>
  <c r="AO702" i="1"/>
  <c r="AO703" i="1" a="1"/>
  <c r="AO703" i="1" s="1"/>
  <c r="AO704" i="1" a="1"/>
  <c r="AO704" i="1" s="1"/>
  <c r="AO705" i="1" a="1"/>
  <c r="AO705" i="1" s="1"/>
  <c r="AO706" i="1" a="1"/>
  <c r="AO706" i="1"/>
  <c r="AO707" i="1" a="1"/>
  <c r="AO707" i="1" s="1"/>
  <c r="AO708" i="1" a="1"/>
  <c r="AO708" i="1" s="1"/>
  <c r="AO709" i="1" a="1"/>
  <c r="AO709" i="1" s="1"/>
  <c r="AO710" i="1" a="1"/>
  <c r="AO710" i="1"/>
  <c r="AO711" i="1" a="1"/>
  <c r="AO711" i="1" s="1"/>
  <c r="AO712" i="1" a="1"/>
  <c r="AO712" i="1" s="1"/>
  <c r="AO713" i="1" a="1"/>
  <c r="AO713" i="1" s="1"/>
  <c r="AO714" i="1" a="1"/>
  <c r="AO714" i="1"/>
  <c r="AO715" i="1" a="1"/>
  <c r="AO715" i="1" s="1"/>
  <c r="AO716" i="1" a="1"/>
  <c r="AO716" i="1" s="1"/>
  <c r="AO717" i="1" a="1"/>
  <c r="AO717" i="1" s="1"/>
  <c r="AO718" i="1" a="1"/>
  <c r="AO718" i="1"/>
  <c r="AO719" i="1" a="1"/>
  <c r="AO719" i="1" s="1"/>
  <c r="AO720" i="1" a="1"/>
  <c r="AO720" i="1" s="1"/>
  <c r="AO721" i="1" a="1"/>
  <c r="AO721" i="1" s="1"/>
  <c r="AO722" i="1" a="1"/>
  <c r="AO722" i="1"/>
  <c r="AO723" i="1" a="1"/>
  <c r="AO723" i="1" s="1"/>
  <c r="AO724" i="1" a="1"/>
  <c r="AO724" i="1" s="1"/>
  <c r="AO725" i="1" a="1"/>
  <c r="AO725" i="1" s="1"/>
  <c r="AO726" i="1" a="1"/>
  <c r="AO726" i="1"/>
  <c r="AO727" i="1" a="1"/>
  <c r="AO727" i="1" s="1"/>
  <c r="AO728" i="1" a="1"/>
  <c r="AO728" i="1" s="1"/>
  <c r="AO729" i="1" a="1"/>
  <c r="AO729" i="1" s="1"/>
  <c r="AO730" i="1" a="1"/>
  <c r="AO730" i="1"/>
  <c r="AO731" i="1" a="1"/>
  <c r="AO731" i="1" s="1"/>
  <c r="AO732" i="1" a="1"/>
  <c r="AO732" i="1" s="1"/>
  <c r="AO733" i="1" a="1"/>
  <c r="AO733" i="1" s="1"/>
  <c r="AO734" i="1" a="1"/>
  <c r="AO734" i="1"/>
  <c r="AO735" i="1" a="1"/>
  <c r="AO735" i="1" s="1"/>
  <c r="AO736" i="1" a="1"/>
  <c r="AO736" i="1" s="1"/>
  <c r="AO737" i="1" a="1"/>
  <c r="AO737" i="1" s="1"/>
  <c r="AO738" i="1" a="1"/>
  <c r="AO738" i="1"/>
  <c r="AO739" i="1" a="1"/>
  <c r="AO739" i="1" s="1"/>
  <c r="AO740" i="1" a="1"/>
  <c r="AO740" i="1" s="1"/>
  <c r="AO741" i="1" a="1"/>
  <c r="AO741" i="1" s="1"/>
  <c r="AO742" i="1" a="1"/>
  <c r="AO742" i="1"/>
  <c r="AO743" i="1" a="1"/>
  <c r="AO743" i="1" s="1"/>
  <c r="AO744" i="1" a="1"/>
  <c r="AO744" i="1" s="1"/>
  <c r="AO745" i="1" a="1"/>
  <c r="AO745" i="1" s="1"/>
  <c r="AO746" i="1" a="1"/>
  <c r="AO746" i="1"/>
  <c r="AO747" i="1" a="1"/>
  <c r="AO747" i="1" s="1"/>
  <c r="AO748" i="1" a="1"/>
  <c r="AO748" i="1" s="1"/>
  <c r="AO749" i="1" a="1"/>
  <c r="AO749" i="1" s="1"/>
  <c r="AO750" i="1" a="1"/>
  <c r="AO750" i="1"/>
  <c r="AO751" i="1" a="1"/>
  <c r="AO751" i="1" s="1"/>
  <c r="AO752" i="1" a="1"/>
  <c r="AO752" i="1" s="1"/>
  <c r="AO753" i="1" a="1"/>
  <c r="AO753" i="1" s="1"/>
  <c r="AO754" i="1" a="1"/>
  <c r="AO754" i="1"/>
  <c r="AO755" i="1" a="1"/>
  <c r="AO755" i="1" s="1"/>
  <c r="AO756" i="1" a="1"/>
  <c r="AO756" i="1" s="1"/>
  <c r="AO757" i="1" a="1"/>
  <c r="AO757" i="1" s="1"/>
  <c r="AO758" i="1" a="1"/>
  <c r="AO758" i="1"/>
  <c r="AO759" i="1" a="1"/>
  <c r="AO759" i="1" s="1"/>
  <c r="AO760" i="1" a="1"/>
  <c r="AO760" i="1" s="1"/>
  <c r="AO761" i="1" a="1"/>
  <c r="AO761" i="1" s="1"/>
  <c r="AO762" i="1" a="1"/>
  <c r="AO762" i="1"/>
  <c r="AO763" i="1" a="1"/>
  <c r="AO763" i="1" s="1"/>
  <c r="AO764" i="1" a="1"/>
  <c r="AO764" i="1" s="1"/>
  <c r="AO765" i="1" a="1"/>
  <c r="AO765" i="1" s="1"/>
  <c r="AO766" i="1" a="1"/>
  <c r="AO766" i="1"/>
  <c r="AO767" i="1" a="1"/>
  <c r="AO767" i="1" s="1"/>
  <c r="AO768" i="1" a="1"/>
  <c r="AO768" i="1" s="1"/>
  <c r="AO769" i="1" a="1"/>
  <c r="AO769" i="1" s="1"/>
  <c r="AO770" i="1" a="1"/>
  <c r="AO770" i="1"/>
  <c r="AO771" i="1" a="1"/>
  <c r="AO771" i="1" s="1"/>
  <c r="AO772" i="1" a="1"/>
  <c r="AO772" i="1" s="1"/>
  <c r="AO773" i="1" a="1"/>
  <c r="AO773" i="1" s="1"/>
  <c r="AO774" i="1" a="1"/>
  <c r="AO774" i="1"/>
  <c r="AO775" i="1" a="1"/>
  <c r="AO775" i="1" s="1"/>
  <c r="AO776" i="1" a="1"/>
  <c r="AO776" i="1" s="1"/>
  <c r="AO777" i="1" a="1"/>
  <c r="AO777" i="1" s="1"/>
  <c r="AO778" i="1" a="1"/>
  <c r="AO778" i="1"/>
  <c r="AO779" i="1" a="1"/>
  <c r="AO779" i="1" s="1"/>
  <c r="AO780" i="1" a="1"/>
  <c r="AO780" i="1" s="1"/>
  <c r="AO781" i="1" a="1"/>
  <c r="AO781" i="1" s="1"/>
  <c r="AO782" i="1" a="1"/>
  <c r="AO782" i="1"/>
  <c r="AO783" i="1" a="1"/>
  <c r="AO783" i="1" s="1"/>
  <c r="AO784" i="1" a="1"/>
  <c r="AO784" i="1" s="1"/>
  <c r="AO785" i="1" a="1"/>
  <c r="AO785" i="1" s="1"/>
  <c r="AO786" i="1" a="1"/>
  <c r="AO786" i="1"/>
  <c r="AO787" i="1" a="1"/>
  <c r="AO787" i="1" s="1"/>
  <c r="AO788" i="1" a="1"/>
  <c r="AO788" i="1" s="1"/>
  <c r="AO789" i="1" a="1"/>
  <c r="AO789" i="1" s="1"/>
  <c r="AO790" i="1" a="1"/>
  <c r="AO790" i="1"/>
  <c r="AO791" i="1" a="1"/>
  <c r="AO791" i="1" s="1"/>
  <c r="AO792" i="1" a="1"/>
  <c r="AO792" i="1" s="1"/>
  <c r="AO793" i="1" a="1"/>
  <c r="AO793" i="1" s="1"/>
  <c r="AO794" i="1" a="1"/>
  <c r="AO794" i="1"/>
  <c r="AO795" i="1" a="1"/>
  <c r="AO795" i="1" s="1"/>
  <c r="AO796" i="1" a="1"/>
  <c r="AO796" i="1" s="1"/>
  <c r="AO797" i="1" a="1"/>
  <c r="AO797" i="1" s="1"/>
  <c r="AO798" i="1" a="1"/>
  <c r="AO798" i="1"/>
  <c r="AO799" i="1" a="1"/>
  <c r="AO799" i="1" s="1"/>
  <c r="AO800" i="1" a="1"/>
  <c r="AO800" i="1" s="1"/>
  <c r="AO801" i="1" a="1"/>
  <c r="AO801" i="1" s="1"/>
  <c r="AO802" i="1" a="1"/>
  <c r="AO802" i="1"/>
  <c r="AO803" i="1" a="1"/>
  <c r="AO803" i="1" s="1"/>
  <c r="AO804" i="1" a="1"/>
  <c r="AO804" i="1" s="1"/>
  <c r="AO805" i="1" a="1"/>
  <c r="AO805" i="1" s="1"/>
  <c r="AO806" i="1" a="1"/>
  <c r="AO806" i="1"/>
  <c r="AO807" i="1" a="1"/>
  <c r="AO807" i="1" s="1"/>
  <c r="AO808" i="1" a="1"/>
  <c r="AO808" i="1" s="1"/>
  <c r="AO809" i="1" a="1"/>
  <c r="AO809" i="1" s="1"/>
  <c r="AO810" i="1" a="1"/>
  <c r="AO810" i="1"/>
  <c r="AO811" i="1" a="1"/>
  <c r="AO811" i="1" s="1"/>
  <c r="AO812" i="1" a="1"/>
  <c r="AO812" i="1" s="1"/>
  <c r="AO813" i="1" a="1"/>
  <c r="AO813" i="1" s="1"/>
  <c r="AO814" i="1" a="1"/>
  <c r="AO814" i="1"/>
  <c r="AO815" i="1" a="1"/>
  <c r="AO815" i="1" s="1"/>
  <c r="AO816" i="1" a="1"/>
  <c r="AO816" i="1" s="1"/>
  <c r="AO817" i="1" a="1"/>
  <c r="AO817" i="1" s="1"/>
  <c r="AO818" i="1" a="1"/>
  <c r="AO818" i="1"/>
  <c r="AO819" i="1" a="1"/>
  <c r="AO819" i="1" s="1"/>
  <c r="AO820" i="1" a="1"/>
  <c r="AO820" i="1" s="1"/>
  <c r="AO821" i="1" a="1"/>
  <c r="AO821" i="1" s="1"/>
  <c r="AO822" i="1" a="1"/>
  <c r="AO822" i="1"/>
  <c r="AO823" i="1" a="1"/>
  <c r="AO823" i="1" s="1"/>
  <c r="AO824" i="1" a="1"/>
  <c r="AO824" i="1" s="1"/>
  <c r="AO825" i="1" a="1"/>
  <c r="AO825" i="1" s="1"/>
  <c r="AO826" i="1" a="1"/>
  <c r="AO826" i="1"/>
  <c r="AO827" i="1" a="1"/>
  <c r="AO827" i="1" s="1"/>
  <c r="AO828" i="1" a="1"/>
  <c r="AO828" i="1" s="1"/>
  <c r="AO829" i="1" a="1"/>
  <c r="AO829" i="1" s="1"/>
  <c r="AO830" i="1" a="1"/>
  <c r="AO830" i="1"/>
  <c r="AO831" i="1" a="1"/>
  <c r="AO831" i="1" s="1"/>
  <c r="AO832" i="1" a="1"/>
  <c r="AO832" i="1" s="1"/>
  <c r="AO833" i="1" a="1"/>
  <c r="AO833" i="1" s="1"/>
  <c r="AO834" i="1" a="1"/>
  <c r="AO834" i="1"/>
  <c r="AO835" i="1" a="1"/>
  <c r="AO835" i="1" s="1"/>
  <c r="AO836" i="1" a="1"/>
  <c r="AO836" i="1" s="1"/>
  <c r="AO837" i="1" a="1"/>
  <c r="AO837" i="1" s="1"/>
  <c r="AO838" i="1" a="1"/>
  <c r="AO838" i="1"/>
  <c r="AO839" i="1" a="1"/>
  <c r="AO839" i="1" s="1"/>
  <c r="AO840" i="1" a="1"/>
  <c r="AO840" i="1" s="1"/>
  <c r="AO841" i="1" a="1"/>
  <c r="AO841" i="1" s="1"/>
  <c r="AO842" i="1" a="1"/>
  <c r="AO842" i="1"/>
  <c r="AO843" i="1" a="1"/>
  <c r="AO843" i="1" s="1"/>
  <c r="AO844" i="1" a="1"/>
  <c r="AO844" i="1" s="1"/>
  <c r="AO845" i="1" a="1"/>
  <c r="AO845" i="1" s="1"/>
  <c r="AO846" i="1" a="1"/>
  <c r="AO846" i="1"/>
  <c r="AO847" i="1" a="1"/>
  <c r="AO847" i="1" s="1"/>
  <c r="AO848" i="1" a="1"/>
  <c r="AO848" i="1" s="1"/>
  <c r="AO849" i="1" a="1"/>
  <c r="AO849" i="1" s="1"/>
  <c r="AO850" i="1" a="1"/>
  <c r="AO850" i="1"/>
  <c r="AO851" i="1" a="1"/>
  <c r="AO851" i="1" s="1"/>
  <c r="AO852" i="1" a="1"/>
  <c r="AO852" i="1" s="1"/>
  <c r="AO853" i="1" a="1"/>
  <c r="AO853" i="1" s="1"/>
  <c r="AO854" i="1" a="1"/>
  <c r="AO854" i="1"/>
  <c r="AO855" i="1" a="1"/>
  <c r="AO855" i="1"/>
  <c r="AO856" i="1" a="1"/>
  <c r="AO856" i="1"/>
  <c r="AO857" i="1" a="1"/>
  <c r="AO857" i="1"/>
  <c r="AO858" i="1" a="1"/>
  <c r="AO858" i="1"/>
  <c r="AO859" i="1" a="1"/>
  <c r="AO859" i="1"/>
  <c r="AO860" i="1" a="1"/>
  <c r="AO860" i="1"/>
  <c r="AO861" i="1" a="1"/>
  <c r="AO861" i="1"/>
  <c r="AO862" i="1" a="1"/>
  <c r="AO862" i="1"/>
  <c r="AO863" i="1" a="1"/>
  <c r="AO863" i="1"/>
  <c r="AO864" i="1" a="1"/>
  <c r="AO864" i="1"/>
  <c r="AO865" i="1" a="1"/>
  <c r="AO865" i="1"/>
  <c r="AO866" i="1" a="1"/>
  <c r="AO866" i="1"/>
  <c r="AO867" i="1" a="1"/>
  <c r="AO867" i="1"/>
  <c r="AO868" i="1" a="1"/>
  <c r="AO868" i="1"/>
  <c r="AO869" i="1" a="1"/>
  <c r="AO869" i="1"/>
  <c r="AO870" i="1" a="1"/>
  <c r="AO870" i="1"/>
  <c r="AO871" i="1" a="1"/>
  <c r="AO871" i="1"/>
  <c r="AO872" i="1" a="1"/>
  <c r="AO872" i="1"/>
  <c r="AO873" i="1" a="1"/>
  <c r="AO873" i="1"/>
  <c r="AO874" i="1" a="1"/>
  <c r="AO874" i="1"/>
  <c r="AO875" i="1" a="1"/>
  <c r="AO875" i="1"/>
  <c r="AO876" i="1" a="1"/>
  <c r="AO876" i="1"/>
  <c r="AO877" i="1" a="1"/>
  <c r="AO877" i="1"/>
  <c r="AO878" i="1" a="1"/>
  <c r="AO878" i="1"/>
  <c r="AO879" i="1" a="1"/>
  <c r="AO879" i="1"/>
  <c r="AO880" i="1" a="1"/>
  <c r="AO880" i="1"/>
  <c r="AO881" i="1" a="1"/>
  <c r="AO881" i="1"/>
  <c r="AO882" i="1" a="1"/>
  <c r="AO882" i="1"/>
  <c r="AO883" i="1" a="1"/>
  <c r="AO883" i="1"/>
  <c r="AO884" i="1" a="1"/>
  <c r="AO884" i="1"/>
  <c r="AO885" i="1" a="1"/>
  <c r="AO885" i="1"/>
  <c r="AO886" i="1" a="1"/>
  <c r="AO886" i="1"/>
  <c r="AO887" i="1" a="1"/>
  <c r="AO887" i="1"/>
  <c r="AO888" i="1" a="1"/>
  <c r="AO888" i="1"/>
  <c r="AO889" i="1" a="1"/>
  <c r="AO889" i="1"/>
  <c r="AO890" i="1" a="1"/>
  <c r="AO890" i="1"/>
  <c r="AO891" i="1" a="1"/>
  <c r="AO891" i="1"/>
  <c r="AO892" i="1" a="1"/>
  <c r="AO892" i="1"/>
  <c r="AO893" i="1" a="1"/>
  <c r="AO893" i="1"/>
  <c r="AO894" i="1" a="1"/>
  <c r="AO894" i="1"/>
  <c r="AO895" i="1" a="1"/>
  <c r="AO895" i="1"/>
  <c r="AO896" i="1" a="1"/>
  <c r="AO896" i="1"/>
  <c r="AO897" i="1" a="1"/>
  <c r="AO897" i="1"/>
  <c r="AO898" i="1" a="1"/>
  <c r="AO898" i="1"/>
  <c r="AO899" i="1" a="1"/>
  <c r="AO899" i="1"/>
  <c r="AO900" i="1" a="1"/>
  <c r="AO900" i="1"/>
  <c r="AO901" i="1" a="1"/>
  <c r="AO901" i="1"/>
  <c r="AO902" i="1" a="1"/>
  <c r="AO902" i="1"/>
  <c r="AO903" i="1" a="1"/>
  <c r="AO903" i="1"/>
  <c r="AO904" i="1" a="1"/>
  <c r="AO904" i="1"/>
  <c r="AO905" i="1" a="1"/>
  <c r="AO905" i="1"/>
  <c r="AO906" i="1" a="1"/>
  <c r="AO906" i="1"/>
  <c r="AO907" i="1" a="1"/>
  <c r="AO907" i="1"/>
  <c r="AO908" i="1" a="1"/>
  <c r="AO908" i="1"/>
  <c r="AO909" i="1" a="1"/>
  <c r="AO909" i="1"/>
  <c r="AO910" i="1" a="1"/>
  <c r="AO910" i="1"/>
  <c r="AO911" i="1" a="1"/>
  <c r="AO911" i="1"/>
  <c r="AO912" i="1" a="1"/>
  <c r="AO912" i="1"/>
  <c r="AO913" i="1" a="1"/>
  <c r="AO913" i="1"/>
  <c r="AO914" i="1" a="1"/>
  <c r="AO914" i="1"/>
  <c r="AO915" i="1" a="1"/>
  <c r="AO915" i="1"/>
  <c r="AO916" i="1" a="1"/>
  <c r="AO916" i="1"/>
  <c r="AO917" i="1" a="1"/>
  <c r="AO917" i="1"/>
  <c r="AO918" i="1" a="1"/>
  <c r="AO918" i="1"/>
  <c r="AO919" i="1" a="1"/>
  <c r="AO919" i="1"/>
  <c r="AO920" i="1" a="1"/>
  <c r="AO920" i="1"/>
  <c r="AO921" i="1" a="1"/>
  <c r="AO921" i="1"/>
  <c r="AO922" i="1" a="1"/>
  <c r="AO922" i="1"/>
  <c r="AO923" i="1" a="1"/>
  <c r="AO923" i="1"/>
  <c r="AO924" i="1" a="1"/>
  <c r="AO924" i="1"/>
  <c r="AO925" i="1" a="1"/>
  <c r="AO925" i="1"/>
  <c r="AO926" i="1" a="1"/>
  <c r="AO926" i="1"/>
  <c r="AO927" i="1" a="1"/>
  <c r="AO927" i="1"/>
  <c r="AO928" i="1" a="1"/>
  <c r="AO928" i="1"/>
  <c r="AO929" i="1" a="1"/>
  <c r="AO929" i="1"/>
  <c r="AO930" i="1" a="1"/>
  <c r="AO930" i="1"/>
  <c r="AO931" i="1" a="1"/>
  <c r="AO931" i="1"/>
  <c r="AO932" i="1" a="1"/>
  <c r="AO932" i="1"/>
  <c r="AO933" i="1" a="1"/>
  <c r="AO933" i="1"/>
  <c r="AO934" i="1" a="1"/>
  <c r="AO934" i="1"/>
  <c r="AO935" i="1" a="1"/>
  <c r="AO935" i="1"/>
  <c r="AO936" i="1" a="1"/>
  <c r="AO936" i="1"/>
  <c r="AO937" i="1" a="1"/>
  <c r="AO937" i="1"/>
  <c r="AO938" i="1" a="1"/>
  <c r="AO938" i="1"/>
  <c r="AO939" i="1" a="1"/>
  <c r="AO939" i="1"/>
  <c r="AO940" i="1" a="1"/>
  <c r="AO940" i="1"/>
  <c r="AO941" i="1" a="1"/>
  <c r="AO941" i="1"/>
  <c r="AO942" i="1" a="1"/>
  <c r="AO942" i="1"/>
  <c r="AO943" i="1" a="1"/>
  <c r="AO943" i="1"/>
  <c r="AO944" i="1" a="1"/>
  <c r="AO944" i="1"/>
  <c r="AO945" i="1" a="1"/>
  <c r="AO945" i="1"/>
  <c r="AO946" i="1" a="1"/>
  <c r="AO946" i="1"/>
  <c r="AO947" i="1" a="1"/>
  <c r="AO947" i="1"/>
  <c r="AO948" i="1" a="1"/>
  <c r="AO948" i="1"/>
  <c r="AO949" i="1" a="1"/>
  <c r="AO949" i="1"/>
  <c r="AO950" i="1" a="1"/>
  <c r="AO950" i="1"/>
  <c r="AO951" i="1" a="1"/>
  <c r="AO951" i="1"/>
  <c r="AO952" i="1" a="1"/>
  <c r="AO952" i="1"/>
  <c r="AO953" i="1" a="1"/>
  <c r="AO953" i="1"/>
  <c r="AO954" i="1" a="1"/>
  <c r="AO954" i="1"/>
  <c r="AO955" i="1" a="1"/>
  <c r="AO955" i="1"/>
  <c r="AO956" i="1" a="1"/>
  <c r="AO956" i="1"/>
  <c r="AO957" i="1" a="1"/>
  <c r="AO957" i="1"/>
  <c r="AO958" i="1" a="1"/>
  <c r="AO958" i="1"/>
  <c r="AO959" i="1" a="1"/>
  <c r="AO959" i="1"/>
  <c r="AO960" i="1" a="1"/>
  <c r="AO960" i="1"/>
  <c r="AO961" i="1" a="1"/>
  <c r="AO961" i="1"/>
  <c r="AO962" i="1" a="1"/>
  <c r="AO962" i="1"/>
  <c r="AO963" i="1" a="1"/>
  <c r="AO963" i="1"/>
  <c r="AO964" i="1" a="1"/>
  <c r="AO964" i="1"/>
  <c r="AO965" i="1" a="1"/>
  <c r="AO965" i="1"/>
  <c r="AO966" i="1" a="1"/>
  <c r="AO966" i="1"/>
  <c r="AO967" i="1" a="1"/>
  <c r="AO967" i="1"/>
  <c r="AO968" i="1" a="1"/>
  <c r="AO968" i="1"/>
  <c r="AO969" i="1" a="1"/>
  <c r="AO969" i="1"/>
  <c r="AO970" i="1" a="1"/>
  <c r="AO970" i="1"/>
  <c r="AO971" i="1" a="1"/>
  <c r="AO971" i="1"/>
  <c r="AO972" i="1" a="1"/>
  <c r="AO972" i="1"/>
  <c r="AO973" i="1" a="1"/>
  <c r="AO973" i="1"/>
  <c r="AO974" i="1" a="1"/>
  <c r="AO974" i="1"/>
  <c r="AO975" i="1" a="1"/>
  <c r="AO975" i="1"/>
  <c r="AO976" i="1" a="1"/>
  <c r="AO976" i="1"/>
  <c r="AO977" i="1" a="1"/>
  <c r="AO977" i="1"/>
  <c r="AO978" i="1" a="1"/>
  <c r="AO978" i="1"/>
  <c r="AO979" i="1" a="1"/>
  <c r="AO979" i="1"/>
  <c r="AO980" i="1" a="1"/>
  <c r="AO980" i="1"/>
  <c r="AO981" i="1" a="1"/>
  <c r="AO981" i="1"/>
  <c r="AO982" i="1" a="1"/>
  <c r="AO982" i="1"/>
  <c r="AO983" i="1" a="1"/>
  <c r="AO983" i="1"/>
  <c r="AO984" i="1" a="1"/>
  <c r="AO984" i="1"/>
  <c r="AO985" i="1" a="1"/>
  <c r="AO985" i="1"/>
  <c r="AO986" i="1" a="1"/>
  <c r="AO986" i="1"/>
  <c r="AO987" i="1" a="1"/>
  <c r="AO987" i="1"/>
  <c r="AO988" i="1" a="1"/>
  <c r="AO988" i="1"/>
  <c r="AO989" i="1" a="1"/>
  <c r="AO989" i="1"/>
  <c r="AO990" i="1" a="1"/>
  <c r="AO990" i="1"/>
  <c r="AO991" i="1" a="1"/>
  <c r="AO991" i="1"/>
  <c r="AO992" i="1" a="1"/>
  <c r="AO992" i="1"/>
  <c r="AO993" i="1" a="1"/>
  <c r="AO993" i="1"/>
  <c r="AO994" i="1" a="1"/>
  <c r="AO994" i="1"/>
  <c r="AO995" i="1" a="1"/>
  <c r="AO995" i="1"/>
  <c r="AO996" i="1" a="1"/>
  <c r="AO996" i="1"/>
  <c r="AO997" i="1" a="1"/>
  <c r="AO997" i="1"/>
  <c r="AO998" i="1" a="1"/>
  <c r="AO998" i="1"/>
  <c r="AO999" i="1" a="1"/>
  <c r="AO999" i="1"/>
  <c r="AO1000" i="1" a="1"/>
  <c r="AO1000" i="1"/>
  <c r="AO1001" i="1" a="1"/>
  <c r="AO1001" i="1"/>
  <c r="AO1002" i="1" a="1"/>
  <c r="AO1002" i="1"/>
  <c r="AO1003" i="1" a="1"/>
  <c r="AO1003" i="1"/>
  <c r="AO1004" i="1" a="1"/>
  <c r="AO1004" i="1"/>
  <c r="AO1005" i="1" a="1"/>
  <c r="AO1005" i="1"/>
  <c r="AO1006" i="1" a="1"/>
  <c r="AO1006" i="1"/>
  <c r="AO1007" i="1" a="1"/>
  <c r="AO1007" i="1"/>
  <c r="AO1008" i="1" a="1"/>
  <c r="AO1008" i="1"/>
  <c r="AO1009" i="1" a="1"/>
  <c r="AO1009" i="1"/>
  <c r="AO1010" i="1" a="1"/>
  <c r="AO1010" i="1"/>
  <c r="AO1011" i="1" a="1"/>
  <c r="AO1011" i="1"/>
  <c r="AO1012" i="1" a="1"/>
  <c r="AO1012" i="1"/>
  <c r="AO1013" i="1" a="1"/>
  <c r="AO1013" i="1"/>
  <c r="AO1014" i="1" a="1"/>
  <c r="AO1014" i="1"/>
  <c r="AO1015" i="1" a="1"/>
  <c r="AO1015" i="1"/>
  <c r="AO1016" i="1" a="1"/>
  <c r="AO1016" i="1"/>
  <c r="AO1017" i="1" a="1"/>
  <c r="AO1017" i="1"/>
  <c r="AO1018" i="1" a="1"/>
  <c r="AO1018" i="1"/>
  <c r="AO1019" i="1" a="1"/>
  <c r="AO1019" i="1"/>
  <c r="AO1020" i="1" a="1"/>
  <c r="AO1020" i="1"/>
  <c r="AO1021" i="1" a="1"/>
  <c r="AO1021" i="1"/>
  <c r="AO1022" i="1" a="1"/>
  <c r="AO1022" i="1"/>
  <c r="AO1023" i="1" a="1"/>
  <c r="AO1023" i="1"/>
  <c r="AO1024" i="1" a="1"/>
  <c r="AO1024" i="1"/>
  <c r="AO1025" i="1" a="1"/>
  <c r="AO1025" i="1"/>
  <c r="AO1026" i="1" a="1"/>
  <c r="AO1026" i="1"/>
  <c r="AO1027" i="1" a="1"/>
  <c r="AO1027" i="1"/>
  <c r="AO1028" i="1" a="1"/>
  <c r="AO1028" i="1"/>
  <c r="AO1029" i="1" a="1"/>
  <c r="AO1029" i="1"/>
  <c r="AO1030" i="1" a="1"/>
  <c r="AO1030" i="1"/>
  <c r="AO1031" i="1" a="1"/>
  <c r="AO1031" i="1"/>
  <c r="AO1032" i="1" a="1"/>
  <c r="AO1032" i="1"/>
  <c r="AO1033" i="1" a="1"/>
  <c r="AO1033" i="1"/>
  <c r="AO1034" i="1" a="1"/>
  <c r="AO1034" i="1"/>
  <c r="AO1035" i="1" a="1"/>
  <c r="AO1035" i="1"/>
  <c r="AO1036" i="1" a="1"/>
  <c r="AO1036" i="1"/>
  <c r="AO1037" i="1" a="1"/>
  <c r="AO1037" i="1"/>
  <c r="AO1038" i="1" a="1"/>
  <c r="AO1038" i="1"/>
  <c r="AO1039" i="1" a="1"/>
  <c r="AO1039" i="1"/>
  <c r="AO1040" i="1" a="1"/>
  <c r="AO1040" i="1"/>
  <c r="AO1041" i="1" a="1"/>
  <c r="AO1041" i="1"/>
  <c r="AO1042" i="1" a="1"/>
  <c r="AO1042" i="1"/>
  <c r="AO1043" i="1" a="1"/>
  <c r="AO1043" i="1"/>
  <c r="AO1044" i="1" a="1"/>
  <c r="AO1044" i="1"/>
  <c r="AO1045" i="1" a="1"/>
  <c r="AO1045" i="1"/>
  <c r="AO1046" i="1" a="1"/>
  <c r="AO1046" i="1"/>
  <c r="AO1047" i="1" a="1"/>
  <c r="AO1047" i="1"/>
  <c r="AO1048" i="1" a="1"/>
  <c r="AO1048" i="1"/>
  <c r="AO1049" i="1" a="1"/>
  <c r="AO1049" i="1"/>
  <c r="AO1050" i="1" a="1"/>
  <c r="AO1050" i="1"/>
  <c r="AO1051" i="1" a="1"/>
  <c r="AO1051" i="1"/>
  <c r="AO1052" i="1" a="1"/>
  <c r="AO1052" i="1"/>
  <c r="AO1053" i="1" a="1"/>
  <c r="AO1053" i="1"/>
  <c r="AO1054" i="1" a="1"/>
  <c r="AO1054" i="1"/>
  <c r="AO1055" i="1" a="1"/>
  <c r="AO1055" i="1"/>
  <c r="AO1056" i="1" a="1"/>
  <c r="AO1056" i="1"/>
  <c r="AO1057" i="1" a="1"/>
  <c r="AO1057" i="1"/>
  <c r="AO1058" i="1" a="1"/>
  <c r="AO1058" i="1"/>
  <c r="AO1059" i="1" a="1"/>
  <c r="AO1059" i="1"/>
  <c r="AO1060" i="1" a="1"/>
  <c r="AO1060" i="1"/>
  <c r="AO1061" i="1" a="1"/>
  <c r="AO1061" i="1"/>
  <c r="AO1062" i="1" a="1"/>
  <c r="AO1062" i="1"/>
  <c r="AO1063" i="1" a="1"/>
  <c r="AO1063" i="1"/>
  <c r="AO1064" i="1" a="1"/>
  <c r="AO1064" i="1"/>
  <c r="AO1065" i="1" a="1"/>
  <c r="AO1065" i="1"/>
  <c r="AO1066" i="1" a="1"/>
  <c r="AO1066" i="1"/>
  <c r="AO1067" i="1" a="1"/>
  <c r="AO1067" i="1"/>
  <c r="AO1068" i="1" a="1"/>
  <c r="AO1068" i="1"/>
  <c r="AO1069" i="1" a="1"/>
  <c r="AO1069" i="1"/>
  <c r="AO1070" i="1" a="1"/>
  <c r="AO1070" i="1"/>
  <c r="AO1071" i="1" a="1"/>
  <c r="AO1071" i="1"/>
  <c r="AO1072" i="1" a="1"/>
  <c r="AO1072" i="1"/>
  <c r="AO1073" i="1" a="1"/>
  <c r="AO1073" i="1"/>
  <c r="AO1074" i="1" a="1"/>
  <c r="AO1074" i="1"/>
  <c r="AO1075" i="1" a="1"/>
  <c r="AO1075" i="1"/>
  <c r="AO1076" i="1" a="1"/>
  <c r="AO1076" i="1"/>
  <c r="AO1077" i="1" a="1"/>
  <c r="AO1077" i="1"/>
  <c r="AO1078" i="1" a="1"/>
  <c r="AO1078" i="1"/>
  <c r="AO1079" i="1" a="1"/>
  <c r="AO1079" i="1"/>
  <c r="AO1080" i="1" a="1"/>
  <c r="AO1080" i="1"/>
  <c r="AO1081" i="1" a="1"/>
  <c r="AO1081" i="1"/>
  <c r="AO1082" i="1" a="1"/>
  <c r="AO1082" i="1"/>
  <c r="AO1083" i="1" a="1"/>
  <c r="AO1083" i="1"/>
  <c r="AO1084" i="1" a="1"/>
  <c r="AO1084" i="1"/>
  <c r="AO1085" i="1" a="1"/>
  <c r="AO1085" i="1"/>
  <c r="AO1086" i="1" a="1"/>
  <c r="AO1086" i="1"/>
  <c r="AO1087" i="1" a="1"/>
  <c r="AO1087" i="1"/>
  <c r="AO1088" i="1" a="1"/>
  <c r="AO1088" i="1"/>
  <c r="AO1089" i="1" a="1"/>
  <c r="AO1089" i="1"/>
  <c r="AO1090" i="1" a="1"/>
  <c r="AO1090" i="1"/>
  <c r="AO1091" i="1" a="1"/>
  <c r="AO1091" i="1"/>
  <c r="AO1092" i="1" a="1"/>
  <c r="AO1092" i="1"/>
  <c r="AO1093" i="1" a="1"/>
  <c r="AO1093" i="1"/>
  <c r="AO1094" i="1" a="1"/>
  <c r="AO1094" i="1"/>
  <c r="AO1095" i="1" a="1"/>
  <c r="AO1095" i="1"/>
  <c r="AO1096" i="1" a="1"/>
  <c r="AO1096" i="1"/>
  <c r="AO1097" i="1" a="1"/>
  <c r="AO1097" i="1"/>
  <c r="AO1098" i="1" a="1"/>
  <c r="AO1098" i="1"/>
  <c r="AO1099" i="1" a="1"/>
  <c r="AO1099" i="1"/>
  <c r="AO1100" i="1" a="1"/>
  <c r="AO1100" i="1"/>
  <c r="AO1101" i="1" a="1"/>
  <c r="AO1101" i="1"/>
  <c r="AO1102" i="1" a="1"/>
  <c r="AO1102" i="1"/>
  <c r="AO1103" i="1" a="1"/>
  <c r="AO1103" i="1"/>
  <c r="AO1104" i="1" a="1"/>
  <c r="AO1104" i="1"/>
  <c r="AO1105" i="1" a="1"/>
  <c r="AO1105" i="1"/>
  <c r="AO1106" i="1" a="1"/>
  <c r="AO1106" i="1"/>
  <c r="AO1107" i="1" a="1"/>
  <c r="AO1107" i="1"/>
  <c r="AO1108" i="1" a="1"/>
  <c r="AO1108" i="1"/>
  <c r="AO1109" i="1" a="1"/>
  <c r="AO1109" i="1"/>
  <c r="AO1110" i="1" a="1"/>
  <c r="AO1110" i="1"/>
  <c r="AO1111" i="1" a="1"/>
  <c r="AO1111" i="1"/>
  <c r="AO1112" i="1" a="1"/>
  <c r="AO1112" i="1"/>
  <c r="AO1113" i="1" a="1"/>
  <c r="AO1113" i="1"/>
  <c r="AO1114" i="1" a="1"/>
  <c r="AO1114" i="1"/>
  <c r="AO1115" i="1" a="1"/>
  <c r="AO1115" i="1"/>
  <c r="AO1116" i="1" a="1"/>
  <c r="AO1116" i="1"/>
  <c r="AO1117" i="1" a="1"/>
  <c r="AO1117" i="1"/>
  <c r="AO1118" i="1" a="1"/>
  <c r="AO1118" i="1"/>
  <c r="AO1119" i="1" a="1"/>
  <c r="AO1119" i="1"/>
  <c r="AO1120" i="1" a="1"/>
  <c r="AO1120" i="1"/>
  <c r="AO1121" i="1" a="1"/>
  <c r="AO1121" i="1"/>
  <c r="AO1122" i="1" a="1"/>
  <c r="AO1122" i="1"/>
  <c r="AO1123" i="1" a="1"/>
  <c r="AO1123" i="1"/>
  <c r="AO1124" i="1" a="1"/>
  <c r="AO1124" i="1"/>
  <c r="AO1125" i="1" a="1"/>
  <c r="AO1125" i="1"/>
  <c r="AO1126" i="1" a="1"/>
  <c r="AO1126" i="1"/>
  <c r="AO1127" i="1" a="1"/>
  <c r="AO1127" i="1"/>
  <c r="AO1128" i="1" a="1"/>
  <c r="AO1128" i="1"/>
  <c r="AO1129" i="1" a="1"/>
  <c r="AO1129" i="1"/>
  <c r="AO1130" i="1" a="1"/>
  <c r="AO1130" i="1"/>
  <c r="AO1131" i="1" a="1"/>
  <c r="AO1131" i="1"/>
  <c r="AO1132" i="1" a="1"/>
  <c r="AO1132" i="1"/>
  <c r="AO1133" i="1" a="1"/>
  <c r="AO1133" i="1"/>
  <c r="AO1134" i="1" a="1"/>
  <c r="AO1134" i="1"/>
  <c r="AO1135" i="1" a="1"/>
  <c r="AO1135" i="1"/>
  <c r="AO1136" i="1" a="1"/>
  <c r="AO1136" i="1"/>
  <c r="AO1137" i="1" a="1"/>
  <c r="AO1137" i="1"/>
  <c r="AO1138" i="1" a="1"/>
  <c r="AO1138" i="1"/>
  <c r="AO1139" i="1" a="1"/>
  <c r="AO1139" i="1"/>
  <c r="AO1140" i="1" a="1"/>
  <c r="AO1140" i="1"/>
  <c r="AO1141" i="1" a="1"/>
  <c r="AO1141" i="1"/>
  <c r="AO1142" i="1" a="1"/>
  <c r="AO1142" i="1"/>
  <c r="AO1143" i="1" a="1"/>
  <c r="AO1143" i="1"/>
  <c r="AO1144" i="1" a="1"/>
  <c r="AO1144" i="1"/>
  <c r="AO1145" i="1" a="1"/>
  <c r="AO1145" i="1"/>
  <c r="AO1146" i="1" a="1"/>
  <c r="AO1146" i="1"/>
  <c r="AO1147" i="1" a="1"/>
  <c r="AO1147" i="1"/>
  <c r="AO1148" i="1" a="1"/>
  <c r="AO1148" i="1"/>
  <c r="AO1149" i="1" a="1"/>
  <c r="AO1149" i="1"/>
  <c r="AO1150" i="1" a="1"/>
  <c r="AO1150" i="1"/>
  <c r="AO1151" i="1" a="1"/>
  <c r="AO1151" i="1"/>
  <c r="AO1152" i="1" a="1"/>
  <c r="AO1152" i="1"/>
  <c r="AO1153" i="1" a="1"/>
  <c r="AO1153" i="1"/>
  <c r="AO1154" i="1" a="1"/>
  <c r="AO1154" i="1"/>
  <c r="AO1155" i="1" a="1"/>
  <c r="AO1155" i="1"/>
  <c r="AO1156" i="1" a="1"/>
  <c r="AO1156" i="1"/>
  <c r="AO1157" i="1" a="1"/>
  <c r="AO1157" i="1"/>
  <c r="AO1158" i="1" a="1"/>
  <c r="AO1158" i="1"/>
  <c r="AO1159" i="1" a="1"/>
  <c r="AO1159" i="1"/>
  <c r="AO1160" i="1" a="1"/>
  <c r="AO1160" i="1"/>
  <c r="AO1161" i="1" a="1"/>
  <c r="AO1161" i="1"/>
  <c r="AO1162" i="1" a="1"/>
  <c r="AO1162" i="1"/>
  <c r="AO1163" i="1" a="1"/>
  <c r="AO1163" i="1"/>
  <c r="AO1164" i="1" a="1"/>
  <c r="AO1164" i="1"/>
  <c r="AO1165" i="1" a="1"/>
  <c r="AO1165" i="1"/>
  <c r="AO1166" i="1" a="1"/>
  <c r="AO1166" i="1"/>
  <c r="AO1167" i="1" a="1"/>
  <c r="AO1167" i="1"/>
  <c r="AO1168" i="1" a="1"/>
  <c r="AO1168" i="1"/>
  <c r="AO1169" i="1" a="1"/>
  <c r="AO1169" i="1"/>
  <c r="AO1170" i="1" a="1"/>
  <c r="AO1170" i="1"/>
  <c r="AO1171" i="1" a="1"/>
  <c r="AO1171" i="1"/>
  <c r="AO1172" i="1" a="1"/>
  <c r="AO1172" i="1"/>
  <c r="AO1173" i="1" a="1"/>
  <c r="AO1173" i="1"/>
  <c r="AO1174" i="1" a="1"/>
  <c r="AO1174" i="1"/>
  <c r="AO1175" i="1" a="1"/>
  <c r="AO1175" i="1"/>
  <c r="AO1176" i="1" a="1"/>
  <c r="AO1176" i="1"/>
  <c r="AO1177" i="1" a="1"/>
  <c r="AO1177" i="1"/>
  <c r="AO1178" i="1" a="1"/>
  <c r="AO1178" i="1"/>
  <c r="AO1179" i="1" a="1"/>
  <c r="AO1179" i="1"/>
  <c r="AO1180" i="1" a="1"/>
  <c r="AO1180" i="1"/>
  <c r="AO1181" i="1" a="1"/>
  <c r="AO1181" i="1"/>
  <c r="AO1182" i="1" a="1"/>
  <c r="AO1182" i="1"/>
  <c r="AO1183" i="1" a="1"/>
  <c r="AO1183" i="1"/>
  <c r="AO1184" i="1" a="1"/>
  <c r="AO1184" i="1"/>
  <c r="AO1185" i="1" a="1"/>
  <c r="AO1185" i="1"/>
  <c r="AO1186" i="1" a="1"/>
  <c r="AO1186" i="1"/>
  <c r="AO1187" i="1" a="1"/>
  <c r="AO1187" i="1"/>
  <c r="AO1188" i="1" a="1"/>
  <c r="AO1188" i="1"/>
  <c r="AO1189" i="1" a="1"/>
  <c r="AO1189" i="1"/>
  <c r="AO1190" i="1" a="1"/>
  <c r="AO1190" i="1"/>
  <c r="AO1191" i="1" a="1"/>
  <c r="AO1191" i="1"/>
  <c r="AO1192" i="1" a="1"/>
  <c r="AO1192" i="1"/>
  <c r="AO1193" i="1" a="1"/>
  <c r="AO1193" i="1"/>
  <c r="AO1194" i="1" a="1"/>
  <c r="AO1194" i="1"/>
  <c r="AO1195" i="1" a="1"/>
  <c r="AO1195" i="1"/>
  <c r="AO1196" i="1" a="1"/>
  <c r="AO1196" i="1"/>
  <c r="AO1197" i="1" a="1"/>
  <c r="AO1197" i="1"/>
  <c r="AO1198" i="1" a="1"/>
  <c r="AO1198" i="1"/>
  <c r="AO1199" i="1" a="1"/>
  <c r="AO1199" i="1"/>
  <c r="AO1200" i="1" a="1"/>
  <c r="AO1200" i="1"/>
  <c r="AO1201" i="1" a="1"/>
  <c r="AO1201" i="1"/>
  <c r="AO1202" i="1" a="1"/>
  <c r="AO1202" i="1"/>
  <c r="AO1203" i="1" a="1"/>
  <c r="AO1203" i="1"/>
  <c r="AO1204" i="1" a="1"/>
  <c r="AO1204" i="1"/>
  <c r="AO1205" i="1" a="1"/>
  <c r="AO1205" i="1"/>
  <c r="AO1206" i="1" a="1"/>
  <c r="AO1206" i="1"/>
  <c r="AO1207" i="1" a="1"/>
  <c r="AO1207" i="1"/>
  <c r="AO1208" i="1" a="1"/>
  <c r="AO1208" i="1"/>
  <c r="AO1209" i="1" a="1"/>
  <c r="AO1209" i="1"/>
  <c r="AO1210" i="1" a="1"/>
  <c r="AO1210" i="1"/>
  <c r="AO1211" i="1" a="1"/>
  <c r="AO1211" i="1"/>
  <c r="AO1212" i="1" a="1"/>
  <c r="AO1212" i="1"/>
  <c r="AO1213" i="1" a="1"/>
  <c r="AO1213" i="1"/>
  <c r="AO1214" i="1" a="1"/>
  <c r="AO1214" i="1"/>
  <c r="AO1215" i="1" a="1"/>
  <c r="AO1215" i="1"/>
  <c r="AO1216" i="1" a="1"/>
  <c r="AO1216" i="1"/>
  <c r="AO1217" i="1" a="1"/>
  <c r="AO1217" i="1"/>
  <c r="AO1218" i="1" a="1"/>
  <c r="AO1218" i="1"/>
  <c r="AO1219" i="1" a="1"/>
  <c r="AO1219" i="1"/>
  <c r="AO1220" i="1" a="1"/>
  <c r="AO1220" i="1"/>
  <c r="AO1221" i="1" a="1"/>
  <c r="AO1221" i="1"/>
  <c r="AO1222" i="1" a="1"/>
  <c r="AO1222" i="1"/>
  <c r="AO1223" i="1" a="1"/>
  <c r="AO1223" i="1"/>
  <c r="AO1224" i="1" a="1"/>
  <c r="AO1224" i="1"/>
  <c r="AO1225" i="1" a="1"/>
  <c r="AO1225" i="1"/>
  <c r="AO1226" i="1" a="1"/>
  <c r="AO1226" i="1"/>
  <c r="AO1227" i="1" a="1"/>
  <c r="AO1227" i="1"/>
  <c r="AO1228" i="1" a="1"/>
  <c r="AO1228" i="1"/>
  <c r="AO1229" i="1" a="1"/>
  <c r="AO1229" i="1"/>
  <c r="AO1230" i="1" a="1"/>
  <c r="AO1230" i="1"/>
  <c r="AO1231" i="1" a="1"/>
  <c r="AO1231" i="1"/>
  <c r="AO1232" i="1" a="1"/>
  <c r="AO1232" i="1"/>
  <c r="AO1233" i="1" a="1"/>
  <c r="AO1233" i="1"/>
  <c r="AO1234" i="1" a="1"/>
  <c r="AO1234" i="1"/>
  <c r="AO1235" i="1" a="1"/>
  <c r="AO1235" i="1"/>
  <c r="AO1236" i="1" a="1"/>
  <c r="AO1236" i="1"/>
  <c r="AO1237" i="1" a="1"/>
  <c r="AO1237" i="1"/>
  <c r="AO1238" i="1" a="1"/>
  <c r="AO1238" i="1"/>
  <c r="AO1239" i="1" a="1"/>
  <c r="AO1239" i="1"/>
  <c r="AO1240" i="1" a="1"/>
  <c r="AO1240" i="1"/>
  <c r="AO1241" i="1" a="1"/>
  <c r="AO1241" i="1"/>
  <c r="AO1242" i="1" a="1"/>
  <c r="AO1242" i="1"/>
  <c r="AO1243" i="1" a="1"/>
  <c r="AO1243" i="1"/>
  <c r="AO1244" i="1" a="1"/>
  <c r="AO1244" i="1"/>
  <c r="AO1245" i="1" a="1"/>
  <c r="AO1245" i="1"/>
  <c r="AO1246" i="1" a="1"/>
  <c r="AO1246" i="1"/>
  <c r="AO1247" i="1" a="1"/>
  <c r="AO1247" i="1"/>
  <c r="AO1248" i="1" a="1"/>
  <c r="AO1248" i="1"/>
  <c r="AO1249" i="1" a="1"/>
  <c r="AO1249" i="1"/>
  <c r="AO1250" i="1" a="1"/>
  <c r="AO1250" i="1"/>
  <c r="AO1251" i="1" a="1"/>
  <c r="AO1251" i="1"/>
  <c r="AO1252" i="1" a="1"/>
  <c r="AO1252" i="1"/>
  <c r="AO1253" i="1" a="1"/>
  <c r="AO1253" i="1"/>
  <c r="AO1254" i="1" a="1"/>
  <c r="AO1254" i="1"/>
  <c r="AO1255" i="1" a="1"/>
  <c r="AO1255" i="1"/>
  <c r="AO1256" i="1" a="1"/>
  <c r="AO1256" i="1"/>
  <c r="AO1257" i="1" a="1"/>
  <c r="AO1257" i="1"/>
  <c r="AO1258" i="1" a="1"/>
  <c r="AO1258" i="1"/>
  <c r="AO1259" i="1" a="1"/>
  <c r="AO1259" i="1"/>
  <c r="AO1260" i="1" a="1"/>
  <c r="AO1260" i="1"/>
  <c r="AO1261" i="1" a="1"/>
  <c r="AO1261" i="1"/>
  <c r="AO1262" i="1" a="1"/>
  <c r="AO1262" i="1"/>
  <c r="AO1263" i="1" a="1"/>
  <c r="AO1263" i="1"/>
  <c r="AO1264" i="1" a="1"/>
  <c r="AO1264" i="1"/>
  <c r="AO1265" i="1" a="1"/>
  <c r="AO1265" i="1"/>
  <c r="AO1266" i="1" a="1"/>
  <c r="AO1266" i="1"/>
  <c r="AO1267" i="1" a="1"/>
  <c r="AO1267" i="1"/>
  <c r="AO1268" i="1" a="1"/>
  <c r="AO1268" i="1"/>
  <c r="AO1269" i="1" a="1"/>
  <c r="AO1269" i="1"/>
  <c r="AO1270" i="1" a="1"/>
  <c r="AO1270" i="1"/>
  <c r="AO1271" i="1" a="1"/>
  <c r="AO1271" i="1"/>
  <c r="AO1272" i="1" a="1"/>
  <c r="AO1272" i="1"/>
  <c r="AO1273" i="1" a="1"/>
  <c r="AO1273" i="1"/>
  <c r="AO1274" i="1" a="1"/>
  <c r="AO1274" i="1"/>
  <c r="AO1275" i="1" a="1"/>
  <c r="AO1275" i="1"/>
  <c r="AO1276" i="1" a="1"/>
  <c r="AO1276" i="1"/>
  <c r="AO1277" i="1" a="1"/>
  <c r="AO1277" i="1"/>
  <c r="AO1278" i="1" a="1"/>
  <c r="AO1278" i="1"/>
  <c r="AO1279" i="1" a="1"/>
  <c r="AO1279" i="1"/>
  <c r="AO1280" i="1" a="1"/>
  <c r="AO1280" i="1"/>
  <c r="AO1281" i="1" a="1"/>
  <c r="AO1281" i="1"/>
  <c r="AO1282" i="1" a="1"/>
  <c r="AO1282" i="1"/>
  <c r="AO1283" i="1" a="1"/>
  <c r="AO1283" i="1"/>
  <c r="AO1284" i="1" a="1"/>
  <c r="AO1284" i="1"/>
  <c r="AO1285" i="1" a="1"/>
  <c r="AO1285" i="1"/>
  <c r="AO1286" i="1" a="1"/>
  <c r="AO1286" i="1"/>
  <c r="AO1287" i="1" a="1"/>
  <c r="AO1287" i="1"/>
  <c r="AO1288" i="1" a="1"/>
  <c r="AO1288" i="1"/>
  <c r="AO1289" i="1" a="1"/>
  <c r="AO1289" i="1"/>
  <c r="AO1290" i="1" a="1"/>
  <c r="AO1290" i="1"/>
  <c r="AO1291" i="1" a="1"/>
  <c r="AO1291" i="1"/>
  <c r="AO1292" i="1" a="1"/>
  <c r="AO1292" i="1"/>
  <c r="AO1293" i="1" a="1"/>
  <c r="AO1293" i="1"/>
  <c r="AO1294" i="1" a="1"/>
  <c r="AO1294" i="1"/>
  <c r="AO1295" i="1" a="1"/>
  <c r="AO1295" i="1"/>
  <c r="AO1296" i="1" a="1"/>
  <c r="AO1296" i="1"/>
  <c r="AO1297" i="1" a="1"/>
  <c r="AO1297" i="1"/>
  <c r="AO1298" i="1" a="1"/>
  <c r="AO1298" i="1"/>
  <c r="AO1299" i="1" a="1"/>
  <c r="AO1299" i="1"/>
  <c r="AO1300" i="1" a="1"/>
  <c r="AO1300" i="1"/>
  <c r="AO1301" i="1" a="1"/>
  <c r="AO1301" i="1"/>
  <c r="AO1302" i="1" a="1"/>
  <c r="AO1302" i="1"/>
  <c r="AO1303" i="1" a="1"/>
  <c r="AO1303" i="1"/>
  <c r="AO1304" i="1" a="1"/>
  <c r="AO1304" i="1"/>
  <c r="AO1305" i="1" a="1"/>
  <c r="AO1305" i="1"/>
  <c r="AO1306" i="1" a="1"/>
  <c r="AO1306" i="1"/>
  <c r="AO1307" i="1" a="1"/>
  <c r="AO1307" i="1"/>
  <c r="AO1308" i="1" a="1"/>
  <c r="AO1308" i="1"/>
  <c r="AO1309" i="1" a="1"/>
  <c r="AO1309" i="1"/>
  <c r="AO1310" i="1" a="1"/>
  <c r="AO1310" i="1"/>
  <c r="AO1311" i="1" a="1"/>
  <c r="AO1311" i="1"/>
  <c r="AO1312" i="1" a="1"/>
  <c r="AO1312" i="1"/>
  <c r="AO1313" i="1" a="1"/>
  <c r="AO1313" i="1"/>
  <c r="AO1314" i="1" a="1"/>
  <c r="AO1314" i="1"/>
  <c r="AO1315" i="1" a="1"/>
  <c r="AO1315" i="1"/>
  <c r="AO1316" i="1" a="1"/>
  <c r="AO1316" i="1"/>
  <c r="AO1317" i="1" a="1"/>
  <c r="AO1317" i="1"/>
  <c r="AO1318" i="1" a="1"/>
  <c r="AO1318" i="1"/>
  <c r="AO1319" i="1" a="1"/>
  <c r="AO1319" i="1"/>
  <c r="AO1320" i="1" a="1"/>
  <c r="AO1320" i="1"/>
  <c r="AO1321" i="1" a="1"/>
  <c r="AO1321" i="1"/>
  <c r="AO1322" i="1" a="1"/>
  <c r="AO1322" i="1"/>
  <c r="AO1323" i="1" a="1"/>
  <c r="AO1323" i="1"/>
  <c r="AO1324" i="1" a="1"/>
  <c r="AO1324" i="1"/>
  <c r="AO1325" i="1" a="1"/>
  <c r="AO1325" i="1"/>
  <c r="AO1326" i="1" a="1"/>
  <c r="AO1326" i="1"/>
  <c r="AO1327" i="1" a="1"/>
  <c r="AO1327" i="1"/>
  <c r="AO1328" i="1" a="1"/>
  <c r="AO1328" i="1"/>
  <c r="AO1329" i="1" a="1"/>
  <c r="AO1329" i="1"/>
  <c r="AO1330" i="1" a="1"/>
  <c r="AO1330" i="1"/>
  <c r="AO1331" i="1" a="1"/>
  <c r="AO1331" i="1"/>
  <c r="AO1332" i="1" a="1"/>
  <c r="AO1332" i="1"/>
  <c r="AO1333" i="1" a="1"/>
  <c r="AO1333" i="1"/>
  <c r="AO1334" i="1" a="1"/>
  <c r="AO1334" i="1"/>
  <c r="AO1335" i="1" a="1"/>
  <c r="AO1335" i="1"/>
  <c r="AO1336" i="1" a="1"/>
  <c r="AO1336" i="1"/>
  <c r="AO1337" i="1" a="1"/>
  <c r="AO1337" i="1"/>
  <c r="AO1338" i="1" a="1"/>
  <c r="AO1338" i="1"/>
  <c r="AO1339" i="1" a="1"/>
  <c r="AO1339" i="1"/>
  <c r="AO1340" i="1" a="1"/>
  <c r="AO1340" i="1"/>
  <c r="AO1341" i="1" a="1"/>
  <c r="AO1341" i="1"/>
  <c r="AO1342" i="1" a="1"/>
  <c r="AO1342" i="1"/>
  <c r="AO1343" i="1" a="1"/>
  <c r="AO1343" i="1"/>
  <c r="AO1344" i="1" a="1"/>
  <c r="AO1344" i="1"/>
  <c r="AO1345" i="1" a="1"/>
  <c r="AO1345" i="1"/>
  <c r="AO1346" i="1" a="1"/>
  <c r="AO1346" i="1"/>
  <c r="AO1347" i="1" a="1"/>
  <c r="AO1347" i="1"/>
  <c r="AO1348" i="1" a="1"/>
  <c r="AO1348" i="1"/>
  <c r="AO1349" i="1" a="1"/>
  <c r="AO1349" i="1"/>
  <c r="AO1350" i="1" a="1"/>
  <c r="AO1350" i="1"/>
  <c r="AO1351" i="1" a="1"/>
  <c r="AO1351" i="1"/>
  <c r="AO1352" i="1" a="1"/>
  <c r="AO1352" i="1"/>
  <c r="AO1353" i="1" a="1"/>
  <c r="AO1353" i="1"/>
  <c r="AO1354" i="1" a="1"/>
  <c r="AO1354" i="1"/>
  <c r="AO1355" i="1" a="1"/>
  <c r="AO1355" i="1"/>
  <c r="AO1356" i="1" a="1"/>
  <c r="AO1356" i="1"/>
  <c r="AO1357" i="1" a="1"/>
  <c r="AO1357" i="1"/>
  <c r="AO1358" i="1" a="1"/>
  <c r="AO1358" i="1"/>
  <c r="AO1359" i="1" a="1"/>
  <c r="AO1359" i="1"/>
  <c r="AO1360" i="1" a="1"/>
  <c r="AO1360" i="1"/>
  <c r="AO1361" i="1" a="1"/>
  <c r="AO1361" i="1"/>
  <c r="AO1362" i="1" a="1"/>
  <c r="AO1362" i="1"/>
  <c r="AO1363" i="1" a="1"/>
  <c r="AO1363" i="1"/>
  <c r="AO1364" i="1" a="1"/>
  <c r="AO1364" i="1"/>
  <c r="AO1365" i="1" a="1"/>
  <c r="AO1365" i="1"/>
  <c r="AO1366" i="1" a="1"/>
  <c r="AO1366" i="1"/>
  <c r="AO1367" i="1" a="1"/>
  <c r="AO1367" i="1"/>
  <c r="AO1368" i="1" a="1"/>
  <c r="AO1368" i="1"/>
  <c r="AO1369" i="1" a="1"/>
  <c r="AO1369" i="1"/>
  <c r="AO1370" i="1" a="1"/>
  <c r="AO1370" i="1"/>
  <c r="AO1371" i="1" a="1"/>
  <c r="AO1371" i="1"/>
  <c r="AO1372" i="1" a="1"/>
  <c r="AO1372" i="1"/>
  <c r="AO1373" i="1" a="1"/>
  <c r="AO1373" i="1"/>
  <c r="AO1374" i="1" a="1"/>
  <c r="AO1374" i="1"/>
  <c r="AO1375" i="1" a="1"/>
  <c r="AO1375" i="1"/>
  <c r="AO1376" i="1" a="1"/>
  <c r="AO1376" i="1"/>
  <c r="AO1377" i="1" a="1"/>
  <c r="AO1377" i="1"/>
  <c r="AO1378" i="1" a="1"/>
  <c r="AO1378" i="1"/>
  <c r="AO1379" i="1" a="1"/>
  <c r="AO1379" i="1"/>
  <c r="AO1380" i="1" a="1"/>
  <c r="AO1380" i="1"/>
  <c r="AO1381" i="1" a="1"/>
  <c r="AO1381" i="1"/>
  <c r="AO1382" i="1" a="1"/>
  <c r="AO1382" i="1"/>
  <c r="AO1383" i="1" a="1"/>
  <c r="AO1383" i="1"/>
  <c r="AO1384" i="1" a="1"/>
  <c r="AO1384" i="1"/>
  <c r="AO1385" i="1" a="1"/>
  <c r="AO1385" i="1"/>
  <c r="AO1386" i="1" a="1"/>
  <c r="AO1386" i="1"/>
  <c r="AO1387" i="1" a="1"/>
  <c r="AO1387" i="1"/>
  <c r="AO1388" i="1" a="1"/>
  <c r="AO1388" i="1"/>
  <c r="AO1389" i="1" a="1"/>
  <c r="AO1389" i="1"/>
  <c r="AO1390" i="1" a="1"/>
  <c r="AO1390" i="1"/>
  <c r="AO1391" i="1" a="1"/>
  <c r="AO1391" i="1"/>
  <c r="AO1392" i="1" a="1"/>
  <c r="AO1392" i="1"/>
  <c r="AO1393" i="1" a="1"/>
  <c r="AO1393" i="1"/>
  <c r="AO1394" i="1" a="1"/>
  <c r="AO1394" i="1"/>
  <c r="AO1395" i="1" a="1"/>
  <c r="AO1395" i="1"/>
  <c r="AO1396" i="1" a="1"/>
  <c r="AO1396" i="1"/>
  <c r="AO1397" i="1" a="1"/>
  <c r="AO1397" i="1"/>
  <c r="AO1398" i="1" a="1"/>
  <c r="AO1398" i="1"/>
  <c r="AO1399" i="1" a="1"/>
  <c r="AO1399" i="1"/>
  <c r="AO1400" i="1" a="1"/>
  <c r="AO1400" i="1"/>
  <c r="AO1401" i="1" a="1"/>
  <c r="AO1401" i="1"/>
  <c r="AO1402" i="1" a="1"/>
  <c r="AO1402" i="1"/>
  <c r="AO1403" i="1" a="1"/>
  <c r="AO1403" i="1"/>
  <c r="AO1404" i="1" a="1"/>
  <c r="AO1404" i="1"/>
  <c r="AO1405" i="1" a="1"/>
  <c r="AO1405" i="1"/>
  <c r="AO1406" i="1" a="1"/>
  <c r="AO1406" i="1"/>
  <c r="AO1407" i="1" a="1"/>
  <c r="AO1407" i="1"/>
  <c r="AO1408" i="1" a="1"/>
  <c r="AO1408" i="1"/>
  <c r="AO1409" i="1" a="1"/>
  <c r="AO1409" i="1"/>
  <c r="AO1410" i="1" a="1"/>
  <c r="AO1410" i="1"/>
  <c r="AO1411" i="1" a="1"/>
  <c r="AO1411" i="1"/>
  <c r="AO1412" i="1" a="1"/>
  <c r="AO1412" i="1"/>
  <c r="AO1413" i="1" a="1"/>
  <c r="AO1413" i="1"/>
  <c r="AO1414" i="1" a="1"/>
  <c r="AO1414" i="1"/>
  <c r="AO1415" i="1" a="1"/>
  <c r="AO1415" i="1"/>
  <c r="AO1416" i="1" a="1"/>
  <c r="AO1416" i="1"/>
  <c r="AO1417" i="1" a="1"/>
  <c r="AO1417" i="1"/>
  <c r="AO1418" i="1" a="1"/>
  <c r="AO1418" i="1"/>
  <c r="AO1419" i="1" a="1"/>
  <c r="AO1419" i="1"/>
  <c r="AO1420" i="1" a="1"/>
  <c r="AO1420" i="1"/>
  <c r="AO1421" i="1" a="1"/>
  <c r="AO1421" i="1"/>
  <c r="AO1422" i="1" a="1"/>
  <c r="AO1422" i="1"/>
  <c r="AO1423" i="1" a="1"/>
  <c r="AO1423" i="1"/>
  <c r="AO1424" i="1" a="1"/>
  <c r="AO1424" i="1"/>
  <c r="AO1425" i="1" a="1"/>
  <c r="AO1425" i="1"/>
  <c r="AO1426" i="1" a="1"/>
  <c r="AO1426" i="1"/>
  <c r="AO1427" i="1" a="1"/>
  <c r="AO1427" i="1"/>
  <c r="AO1428" i="1" a="1"/>
  <c r="AO1428" i="1"/>
  <c r="AO1429" i="1" a="1"/>
  <c r="AO1429" i="1"/>
  <c r="AO1430" i="1" a="1"/>
  <c r="AO1430" i="1"/>
  <c r="AO1431" i="1" a="1"/>
  <c r="AO1431" i="1"/>
  <c r="AO1432" i="1" a="1"/>
  <c r="AO1432" i="1"/>
  <c r="AO1433" i="1" a="1"/>
  <c r="AO1433" i="1"/>
  <c r="AO1434" i="1" a="1"/>
  <c r="AO1434" i="1"/>
  <c r="AO1435" i="1" a="1"/>
  <c r="AO1435" i="1"/>
  <c r="AO1436" i="1" a="1"/>
  <c r="AO1436" i="1"/>
  <c r="AO1437" i="1" a="1"/>
  <c r="AO1437" i="1"/>
  <c r="AO1438" i="1" a="1"/>
  <c r="AO1438" i="1"/>
  <c r="AO1439" i="1" a="1"/>
  <c r="AO1439" i="1"/>
  <c r="AO1440" i="1" a="1"/>
  <c r="AO1440" i="1"/>
  <c r="AO1441" i="1" a="1"/>
  <c r="AO1441" i="1"/>
  <c r="AO1442" i="1" a="1"/>
  <c r="AO1442" i="1"/>
  <c r="AO1443" i="1" a="1"/>
  <c r="AO1443" i="1"/>
  <c r="AO1444" i="1" a="1"/>
  <c r="AO1444" i="1"/>
  <c r="AO1445" i="1" a="1"/>
  <c r="AO1445" i="1"/>
  <c r="AO1446" i="1" a="1"/>
  <c r="AO1446" i="1"/>
  <c r="AO1447" i="1" a="1"/>
  <c r="AO1447" i="1"/>
  <c r="AO1448" i="1" a="1"/>
  <c r="AO1448" i="1"/>
  <c r="AO1449" i="1" a="1"/>
  <c r="AO1449" i="1"/>
  <c r="AO1450" i="1" a="1"/>
  <c r="AO1450" i="1"/>
  <c r="AO1451" i="1" a="1"/>
  <c r="AO1451" i="1"/>
  <c r="AO1452" i="1" a="1"/>
  <c r="AO1452" i="1"/>
  <c r="AO1453" i="1" a="1"/>
  <c r="AO1453" i="1"/>
  <c r="AO1454" i="1" a="1"/>
  <c r="AO1454" i="1"/>
  <c r="AO1455" i="1" a="1"/>
  <c r="AO1455" i="1"/>
  <c r="AO1456" i="1" a="1"/>
  <c r="AO1456" i="1"/>
  <c r="AO1457" i="1" a="1"/>
  <c r="AO1457" i="1"/>
  <c r="AO1458" i="1" a="1"/>
  <c r="AO1458" i="1"/>
  <c r="AO1459" i="1" a="1"/>
  <c r="AO1459" i="1"/>
  <c r="AO1460" i="1" a="1"/>
  <c r="AO1460" i="1"/>
  <c r="AO1461" i="1" a="1"/>
  <c r="AO1461" i="1"/>
  <c r="AO1462" i="1" a="1"/>
  <c r="AO1462" i="1"/>
  <c r="AO1463" i="1" a="1"/>
  <c r="AO1463" i="1"/>
  <c r="AO1464" i="1" a="1"/>
  <c r="AO1464" i="1"/>
  <c r="AO1465" i="1" a="1"/>
  <c r="AO1465" i="1"/>
  <c r="AO1466" i="1" a="1"/>
  <c r="AO1466" i="1"/>
  <c r="AO1467" i="1" a="1"/>
  <c r="AO1467" i="1"/>
  <c r="AO1468" i="1" a="1"/>
  <c r="AO1468" i="1"/>
  <c r="AO1469" i="1" a="1"/>
  <c r="AO1469" i="1"/>
  <c r="AO1470" i="1" a="1"/>
  <c r="AO1470" i="1"/>
  <c r="AO1471" i="1" a="1"/>
  <c r="AO1471" i="1"/>
  <c r="AM2" i="1" a="1"/>
  <c r="AM2" i="1" s="1"/>
  <c r="AM3" i="1" a="1"/>
  <c r="AM3" i="1" s="1"/>
  <c r="AM4" i="1" a="1"/>
  <c r="AM4" i="1" s="1"/>
  <c r="AM5" i="1" a="1"/>
  <c r="AM5" i="1" s="1"/>
  <c r="AM6" i="1" a="1"/>
  <c r="AM6" i="1" s="1"/>
  <c r="AM7" i="1" a="1"/>
  <c r="AM7" i="1" s="1"/>
  <c r="AM8" i="1" a="1"/>
  <c r="AM8" i="1" s="1"/>
  <c r="AM9" i="1" a="1"/>
  <c r="AM9" i="1" s="1"/>
  <c r="AM10" i="1" a="1"/>
  <c r="AM10" i="1" s="1"/>
  <c r="AM11" i="1" a="1"/>
  <c r="AM11" i="1" s="1"/>
  <c r="AM12" i="1" a="1"/>
  <c r="AM12" i="1" s="1"/>
  <c r="AM13" i="1" a="1"/>
  <c r="AM13" i="1" s="1"/>
  <c r="AM14" i="1" a="1"/>
  <c r="AM14" i="1" s="1"/>
  <c r="AM15" i="1" a="1"/>
  <c r="AM15" i="1" s="1"/>
  <c r="AM16" i="1" a="1"/>
  <c r="AM16" i="1" s="1"/>
  <c r="AM17" i="1" a="1"/>
  <c r="AM17" i="1" s="1"/>
  <c r="AM18" i="1" a="1"/>
  <c r="AM18" i="1" s="1"/>
  <c r="AM19" i="1" a="1"/>
  <c r="AM19" i="1" s="1"/>
  <c r="AM20" i="1" a="1"/>
  <c r="AM20" i="1" s="1"/>
  <c r="AM21" i="1" a="1"/>
  <c r="AM21" i="1" s="1"/>
  <c r="AM22" i="1" a="1"/>
  <c r="AM22" i="1" s="1"/>
  <c r="AM23" i="1" a="1"/>
  <c r="AM23" i="1" s="1"/>
  <c r="AM24" i="1" a="1"/>
  <c r="AM24" i="1" s="1"/>
  <c r="AM25" i="1" a="1"/>
  <c r="AM25" i="1" s="1"/>
  <c r="AM26" i="1" a="1"/>
  <c r="AM26" i="1" s="1"/>
  <c r="AM27" i="1" a="1"/>
  <c r="AM27" i="1" s="1"/>
  <c r="AM28" i="1" a="1"/>
  <c r="AM28" i="1" s="1"/>
  <c r="AM29" i="1" a="1"/>
  <c r="AM29" i="1" s="1"/>
  <c r="AM30" i="1" a="1"/>
  <c r="AM30" i="1" s="1"/>
  <c r="AM31" i="1" a="1"/>
  <c r="AM31" i="1" s="1"/>
  <c r="AM32" i="1" a="1"/>
  <c r="AM32" i="1" s="1"/>
  <c r="AM33" i="1" a="1"/>
  <c r="AM33" i="1" s="1"/>
  <c r="AM34" i="1" a="1"/>
  <c r="AM34" i="1" s="1"/>
  <c r="AM35" i="1" a="1"/>
  <c r="AM35" i="1" s="1"/>
  <c r="AM36" i="1" a="1"/>
  <c r="AM36" i="1" s="1"/>
  <c r="AM37" i="1" a="1"/>
  <c r="AM37" i="1" s="1"/>
  <c r="AM38" i="1" a="1"/>
  <c r="AM38" i="1" s="1"/>
  <c r="AM39" i="1" a="1"/>
  <c r="AM39" i="1" s="1"/>
  <c r="AM40" i="1" a="1"/>
  <c r="AM40" i="1" s="1"/>
  <c r="AM41" i="1" a="1"/>
  <c r="AM41" i="1" s="1"/>
  <c r="AM42" i="1" a="1"/>
  <c r="AM42" i="1" s="1"/>
  <c r="AM43" i="1" a="1"/>
  <c r="AM43" i="1" s="1"/>
  <c r="AM44" i="1" a="1"/>
  <c r="AM44" i="1" s="1"/>
  <c r="AM45" i="1" a="1"/>
  <c r="AM45" i="1" s="1"/>
  <c r="AM46" i="1" a="1"/>
  <c r="AM46" i="1" s="1"/>
  <c r="AM47" i="1" a="1"/>
  <c r="AM47" i="1" s="1"/>
  <c r="AM48" i="1" a="1"/>
  <c r="AM48" i="1" s="1"/>
  <c r="AM49" i="1" a="1"/>
  <c r="AM49" i="1" s="1"/>
  <c r="AM50" i="1" a="1"/>
  <c r="AM50" i="1" s="1"/>
  <c r="AM51" i="1" a="1"/>
  <c r="AM51" i="1" s="1"/>
  <c r="AM52" i="1" a="1"/>
  <c r="AM52" i="1" s="1"/>
  <c r="AM53" i="1" a="1"/>
  <c r="AM53" i="1" s="1"/>
  <c r="AM54" i="1" a="1"/>
  <c r="AM54" i="1" s="1"/>
  <c r="AM55" i="1" a="1"/>
  <c r="AM55" i="1" s="1"/>
  <c r="AM56" i="1" a="1"/>
  <c r="AM56" i="1" s="1"/>
  <c r="AM57" i="1" a="1"/>
  <c r="AM57" i="1" s="1"/>
  <c r="AM58" i="1" a="1"/>
  <c r="AM58" i="1" s="1"/>
  <c r="AM59" i="1" a="1"/>
  <c r="AM59" i="1" s="1"/>
  <c r="AM60" i="1" a="1"/>
  <c r="AM60" i="1" s="1"/>
  <c r="AM61" i="1" a="1"/>
  <c r="AM61" i="1" s="1"/>
  <c r="AM62" i="1" a="1"/>
  <c r="AM62" i="1" s="1"/>
  <c r="AM63" i="1" a="1"/>
  <c r="AM63" i="1" s="1"/>
  <c r="AM64" i="1" a="1"/>
  <c r="AM64" i="1" s="1"/>
  <c r="AM65" i="1" a="1"/>
  <c r="AM65" i="1" s="1"/>
  <c r="AM66" i="1" a="1"/>
  <c r="AM66" i="1" s="1"/>
  <c r="AM67" i="1" a="1"/>
  <c r="AM67" i="1" s="1"/>
  <c r="AM68" i="1" a="1"/>
  <c r="AM68" i="1" s="1"/>
  <c r="AM69" i="1" a="1"/>
  <c r="AM69" i="1" s="1"/>
  <c r="AM70" i="1" a="1"/>
  <c r="AM70" i="1" s="1"/>
  <c r="AM71" i="1" a="1"/>
  <c r="AM71" i="1" s="1"/>
  <c r="AM72" i="1" a="1"/>
  <c r="AM72" i="1" s="1"/>
  <c r="AM73" i="1" a="1"/>
  <c r="AM73" i="1" s="1"/>
  <c r="AM74" i="1" a="1"/>
  <c r="AM74" i="1" s="1"/>
  <c r="AM75" i="1" a="1"/>
  <c r="AM75" i="1" s="1"/>
  <c r="AM76" i="1" a="1"/>
  <c r="AM76" i="1" s="1"/>
  <c r="AM77" i="1" a="1"/>
  <c r="AM77" i="1" s="1"/>
  <c r="AM78" i="1" a="1"/>
  <c r="AM78" i="1" s="1"/>
  <c r="AM79" i="1" a="1"/>
  <c r="AM79" i="1"/>
  <c r="AM80" i="1" a="1"/>
  <c r="AM80" i="1" s="1"/>
  <c r="AM81" i="1" a="1"/>
  <c r="AM81" i="1" s="1"/>
  <c r="AM82" i="1" a="1"/>
  <c r="AM82" i="1" s="1"/>
  <c r="AM83" i="1" a="1"/>
  <c r="AM83" i="1" s="1"/>
  <c r="AM84" i="1" a="1"/>
  <c r="AM84" i="1" s="1"/>
  <c r="AM85" i="1" a="1"/>
  <c r="AM85" i="1" s="1"/>
  <c r="AM86" i="1" a="1"/>
  <c r="AM86" i="1" s="1"/>
  <c r="AM87" i="1" a="1"/>
  <c r="AM87" i="1"/>
  <c r="AM88" i="1" a="1"/>
  <c r="AM88" i="1" s="1"/>
  <c r="AM89" i="1" a="1"/>
  <c r="AM89" i="1" s="1"/>
  <c r="AM90" i="1" a="1"/>
  <c r="AM90" i="1" s="1"/>
  <c r="AM91" i="1" a="1"/>
  <c r="AM91" i="1" s="1"/>
  <c r="AM92" i="1" a="1"/>
  <c r="AM92" i="1" s="1"/>
  <c r="AM93" i="1" a="1"/>
  <c r="AM93" i="1" s="1"/>
  <c r="AM94" i="1" a="1"/>
  <c r="AM94" i="1" s="1"/>
  <c r="AM95" i="1" a="1"/>
  <c r="AM95" i="1" s="1"/>
  <c r="AM96" i="1" a="1"/>
  <c r="AM96" i="1" s="1"/>
  <c r="AM97" i="1" a="1"/>
  <c r="AM97" i="1" s="1"/>
  <c r="AM98" i="1" a="1"/>
  <c r="AM98" i="1" s="1"/>
  <c r="AM99" i="1" a="1"/>
  <c r="AM99" i="1" s="1"/>
  <c r="AM100" i="1" a="1"/>
  <c r="AM100" i="1" s="1"/>
  <c r="AM101" i="1" a="1"/>
  <c r="AM101" i="1" s="1"/>
  <c r="AM102" i="1" a="1"/>
  <c r="AM102" i="1" s="1"/>
  <c r="AM103" i="1" a="1"/>
  <c r="AM103" i="1"/>
  <c r="AM104" i="1" a="1"/>
  <c r="AM104" i="1" s="1"/>
  <c r="AM105" i="1" a="1"/>
  <c r="AM105" i="1" s="1"/>
  <c r="AM106" i="1" a="1"/>
  <c r="AM106" i="1" s="1"/>
  <c r="AM107" i="1" a="1"/>
  <c r="AM107" i="1" s="1"/>
  <c r="AM108" i="1" a="1"/>
  <c r="AM108" i="1" s="1"/>
  <c r="AM109" i="1" a="1"/>
  <c r="AM109" i="1" s="1"/>
  <c r="AM110" i="1" a="1"/>
  <c r="AM110" i="1" s="1"/>
  <c r="AM111" i="1" a="1"/>
  <c r="AM111" i="1" s="1"/>
  <c r="AM112" i="1" a="1"/>
  <c r="AM112" i="1" s="1"/>
  <c r="AM113" i="1" a="1"/>
  <c r="AM113" i="1" s="1"/>
  <c r="AM114" i="1" a="1"/>
  <c r="AM114" i="1" s="1"/>
  <c r="AM115" i="1" a="1"/>
  <c r="AM115" i="1" s="1"/>
  <c r="AM116" i="1" a="1"/>
  <c r="AM116" i="1" s="1"/>
  <c r="AM117" i="1" a="1"/>
  <c r="AM117" i="1" s="1"/>
  <c r="AM118" i="1" a="1"/>
  <c r="AM118" i="1" s="1"/>
  <c r="AM119" i="1" a="1"/>
  <c r="AM119" i="1"/>
  <c r="AM120" i="1" a="1"/>
  <c r="AM120" i="1" s="1"/>
  <c r="AM121" i="1" a="1"/>
  <c r="AM121" i="1" s="1"/>
  <c r="AM122" i="1" a="1"/>
  <c r="AM122" i="1" s="1"/>
  <c r="AM123" i="1" a="1"/>
  <c r="AM123" i="1" s="1"/>
  <c r="AM124" i="1" a="1"/>
  <c r="AM124" i="1" s="1"/>
  <c r="AM125" i="1" a="1"/>
  <c r="AM125" i="1" s="1"/>
  <c r="AM126" i="1" a="1"/>
  <c r="AM126" i="1" s="1"/>
  <c r="AM127" i="1" a="1"/>
  <c r="AM127" i="1" s="1"/>
  <c r="AM128" i="1" a="1"/>
  <c r="AM128" i="1" s="1"/>
  <c r="AM129" i="1" a="1"/>
  <c r="AM129" i="1" s="1"/>
  <c r="AM130" i="1" a="1"/>
  <c r="AM130" i="1" s="1"/>
  <c r="AM131" i="1" a="1"/>
  <c r="AM131" i="1" s="1"/>
  <c r="AM132" i="1" a="1"/>
  <c r="AM132" i="1" s="1"/>
  <c r="AM133" i="1" a="1"/>
  <c r="AM133" i="1" s="1"/>
  <c r="AM134" i="1" a="1"/>
  <c r="AM134" i="1" s="1"/>
  <c r="AM135" i="1" a="1"/>
  <c r="AM135" i="1"/>
  <c r="AM136" i="1" a="1"/>
  <c r="AM136" i="1" s="1"/>
  <c r="AM137" i="1" a="1"/>
  <c r="AM137" i="1" s="1"/>
  <c r="AM138" i="1" a="1"/>
  <c r="AM138" i="1" s="1"/>
  <c r="AM139" i="1" a="1"/>
  <c r="AM139" i="1" s="1"/>
  <c r="AM140" i="1" a="1"/>
  <c r="AM140" i="1" s="1"/>
  <c r="AM141" i="1" a="1"/>
  <c r="AM141" i="1" s="1"/>
  <c r="AM142" i="1" a="1"/>
  <c r="AM142" i="1" s="1"/>
  <c r="AM143" i="1" a="1"/>
  <c r="AM143" i="1" s="1"/>
  <c r="AM144" i="1" a="1"/>
  <c r="AM144" i="1" s="1"/>
  <c r="AM145" i="1" a="1"/>
  <c r="AM145" i="1" s="1"/>
  <c r="AM146" i="1" a="1"/>
  <c r="AM146" i="1" s="1"/>
  <c r="AM147" i="1" a="1"/>
  <c r="AM147" i="1" s="1"/>
  <c r="AM148" i="1" a="1"/>
  <c r="AM148" i="1" s="1"/>
  <c r="AM149" i="1" a="1"/>
  <c r="AM149" i="1" s="1"/>
  <c r="AM150" i="1" a="1"/>
  <c r="AM150" i="1" s="1"/>
  <c r="AM151" i="1" a="1"/>
  <c r="AM151" i="1"/>
  <c r="AM152" i="1" a="1"/>
  <c r="AM152" i="1" s="1"/>
  <c r="AM153" i="1" a="1"/>
  <c r="AM153" i="1" s="1"/>
  <c r="AM154" i="1" a="1"/>
  <c r="AM154" i="1" s="1"/>
  <c r="AM155" i="1" a="1"/>
  <c r="AM155" i="1" s="1"/>
  <c r="AM156" i="1" a="1"/>
  <c r="AM156" i="1" s="1"/>
  <c r="AM157" i="1" a="1"/>
  <c r="AM157" i="1" s="1"/>
  <c r="AM158" i="1" a="1"/>
  <c r="AM158" i="1" s="1"/>
  <c r="AM159" i="1" a="1"/>
  <c r="AM159" i="1" s="1"/>
  <c r="AM160" i="1" a="1"/>
  <c r="AM160" i="1" s="1"/>
  <c r="AM161" i="1" a="1"/>
  <c r="AM161" i="1" s="1"/>
  <c r="AM162" i="1" a="1"/>
  <c r="AM162" i="1" s="1"/>
  <c r="AM163" i="1" a="1"/>
  <c r="AM163" i="1" s="1"/>
  <c r="AM164" i="1" a="1"/>
  <c r="AM164" i="1" s="1"/>
  <c r="AM165" i="1" a="1"/>
  <c r="AM165" i="1" s="1"/>
  <c r="AM166" i="1" a="1"/>
  <c r="AM166" i="1" s="1"/>
  <c r="AM167" i="1" a="1"/>
  <c r="AM167" i="1" s="1"/>
  <c r="AM168" i="1" a="1"/>
  <c r="AM168" i="1" s="1"/>
  <c r="AM169" i="1" a="1"/>
  <c r="AM169" i="1"/>
  <c r="AM170" i="1" a="1"/>
  <c r="AM170" i="1" s="1"/>
  <c r="AM171" i="1" a="1"/>
  <c r="AM171" i="1" s="1"/>
  <c r="AM172" i="1" a="1"/>
  <c r="AM172" i="1" s="1"/>
  <c r="AM173" i="1" a="1"/>
  <c r="AM173" i="1" s="1"/>
  <c r="AM174" i="1" a="1"/>
  <c r="AM174" i="1"/>
  <c r="AM175" i="1" a="1"/>
  <c r="AM175" i="1" s="1"/>
  <c r="AM176" i="1" a="1"/>
  <c r="AM176" i="1" s="1"/>
  <c r="AM177" i="1" a="1"/>
  <c r="AM177" i="1" s="1"/>
  <c r="AM178" i="1" a="1"/>
  <c r="AM178" i="1" s="1"/>
  <c r="AM179" i="1" a="1"/>
  <c r="AM179" i="1" s="1"/>
  <c r="AM180" i="1" a="1"/>
  <c r="AM180" i="1" s="1"/>
  <c r="AM181" i="1" a="1"/>
  <c r="AM181" i="1" s="1"/>
  <c r="AM182" i="1" a="1"/>
  <c r="AM182" i="1" s="1"/>
  <c r="AM183" i="1" a="1"/>
  <c r="AM183" i="1" s="1"/>
  <c r="AM184" i="1" a="1"/>
  <c r="AM184" i="1" s="1"/>
  <c r="AM185" i="1" a="1"/>
  <c r="AM185" i="1" s="1"/>
  <c r="AM186" i="1" a="1"/>
  <c r="AM186" i="1"/>
  <c r="AM187" i="1" a="1"/>
  <c r="AM187" i="1" s="1"/>
  <c r="AM188" i="1" a="1"/>
  <c r="AM188" i="1" s="1"/>
  <c r="AM189" i="1" a="1"/>
  <c r="AM189" i="1" s="1"/>
  <c r="AM190" i="1" a="1"/>
  <c r="AM190" i="1"/>
  <c r="AM191" i="1" a="1"/>
  <c r="AM191" i="1" s="1"/>
  <c r="AM192" i="1" a="1"/>
  <c r="AM192" i="1" s="1"/>
  <c r="AM193" i="1" a="1"/>
  <c r="AM193" i="1" s="1"/>
  <c r="AM194" i="1" a="1"/>
  <c r="AM194" i="1" s="1"/>
  <c r="AM195" i="1" a="1"/>
  <c r="AM195" i="1" s="1"/>
  <c r="AM196" i="1" a="1"/>
  <c r="AM196" i="1" s="1"/>
  <c r="AM197" i="1" a="1"/>
  <c r="AM197" i="1" s="1"/>
  <c r="AM198" i="1" a="1"/>
  <c r="AM198" i="1"/>
  <c r="AM199" i="1" a="1"/>
  <c r="AM199" i="1" s="1"/>
  <c r="AM200" i="1" a="1"/>
  <c r="AM200" i="1" s="1"/>
  <c r="AM201" i="1" a="1"/>
  <c r="AM201" i="1" s="1"/>
  <c r="AM202" i="1" a="1"/>
  <c r="AM202" i="1" s="1"/>
  <c r="AM203" i="1" a="1"/>
  <c r="AM203" i="1" s="1"/>
  <c r="AM204" i="1" a="1"/>
  <c r="AM204" i="1" s="1"/>
  <c r="AM205" i="1" a="1"/>
  <c r="AM205" i="1" s="1"/>
  <c r="AM206" i="1" a="1"/>
  <c r="AM206" i="1"/>
  <c r="AM207" i="1" a="1"/>
  <c r="AM207" i="1" s="1"/>
  <c r="AM208" i="1" a="1"/>
  <c r="AM208" i="1" s="1"/>
  <c r="AM209" i="1" a="1"/>
  <c r="AM209" i="1" s="1"/>
  <c r="AM210" i="1" a="1"/>
  <c r="AM210" i="1" s="1"/>
  <c r="AM211" i="1" a="1"/>
  <c r="AM211" i="1" s="1"/>
  <c r="AM212" i="1" a="1"/>
  <c r="AM212" i="1" s="1"/>
  <c r="AM213" i="1" a="1"/>
  <c r="AM213" i="1" s="1"/>
  <c r="AM214" i="1" a="1"/>
  <c r="AM214" i="1" s="1"/>
  <c r="AM215" i="1" a="1"/>
  <c r="AM215" i="1" s="1"/>
  <c r="AM216" i="1" a="1"/>
  <c r="AM216" i="1" s="1"/>
  <c r="AM217" i="1" a="1"/>
  <c r="AM217" i="1" s="1"/>
  <c r="AM218" i="1" a="1"/>
  <c r="AM218" i="1"/>
  <c r="AM219" i="1" a="1"/>
  <c r="AM219" i="1" s="1"/>
  <c r="AM220" i="1" a="1"/>
  <c r="AM220" i="1" s="1"/>
  <c r="AM221" i="1" a="1"/>
  <c r="AM221" i="1" s="1"/>
  <c r="AM222" i="1" a="1"/>
  <c r="AM222" i="1" s="1"/>
  <c r="AM223" i="1" a="1"/>
  <c r="AM223" i="1" s="1"/>
  <c r="AM224" i="1" a="1"/>
  <c r="AM224" i="1" s="1"/>
  <c r="AM225" i="1" a="1"/>
  <c r="AM225" i="1" s="1"/>
  <c r="AM226" i="1" a="1"/>
  <c r="AM226" i="1"/>
  <c r="AM227" i="1" a="1"/>
  <c r="AM227" i="1" s="1"/>
  <c r="AM228" i="1" a="1"/>
  <c r="AM228" i="1" s="1"/>
  <c r="AM229" i="1" a="1"/>
  <c r="AM229" i="1" s="1"/>
  <c r="AM230" i="1" a="1"/>
  <c r="AM230" i="1" s="1"/>
  <c r="AM231" i="1" a="1"/>
  <c r="AM231" i="1" s="1"/>
  <c r="AM232" i="1" a="1"/>
  <c r="AM232" i="1" s="1"/>
  <c r="AM233" i="1" a="1"/>
  <c r="AM233" i="1" s="1"/>
  <c r="AM234" i="1" a="1"/>
  <c r="AM234" i="1" s="1"/>
  <c r="AM235" i="1" a="1"/>
  <c r="AM235" i="1" s="1"/>
  <c r="AM236" i="1" a="1"/>
  <c r="AM236" i="1" s="1"/>
  <c r="AM237" i="1" a="1"/>
  <c r="AM237" i="1" s="1"/>
  <c r="AM238" i="1" a="1"/>
  <c r="AM238" i="1" s="1"/>
  <c r="AM239" i="1" a="1"/>
  <c r="AM239" i="1" s="1"/>
  <c r="AM240" i="1" a="1"/>
  <c r="AM240" i="1" s="1"/>
  <c r="AM241" i="1" a="1"/>
  <c r="AM241" i="1" s="1"/>
  <c r="AM242" i="1" a="1"/>
  <c r="AM242" i="1"/>
  <c r="AM243" i="1" a="1"/>
  <c r="AM243" i="1" s="1"/>
  <c r="AM244" i="1" a="1"/>
  <c r="AM244" i="1" s="1"/>
  <c r="AM245" i="1" a="1"/>
  <c r="AM245" i="1" s="1"/>
  <c r="AM246" i="1" a="1"/>
  <c r="AM246" i="1" s="1"/>
  <c r="AM247" i="1" a="1"/>
  <c r="AM247" i="1" s="1"/>
  <c r="AM248" i="1" a="1"/>
  <c r="AM248" i="1" s="1"/>
  <c r="AM249" i="1" a="1"/>
  <c r="AM249" i="1" s="1"/>
  <c r="AM250" i="1" a="1"/>
  <c r="AM250" i="1" s="1"/>
  <c r="AM251" i="1" a="1"/>
  <c r="AM251" i="1" s="1"/>
  <c r="AM252" i="1" a="1"/>
  <c r="AM252" i="1" s="1"/>
  <c r="AM253" i="1" a="1"/>
  <c r="AM253" i="1" s="1"/>
  <c r="AM254" i="1" a="1"/>
  <c r="AM254" i="1" s="1"/>
  <c r="AM255" i="1" a="1"/>
  <c r="AM255" i="1" s="1"/>
  <c r="AM256" i="1" a="1"/>
  <c r="AM256" i="1" s="1"/>
  <c r="AM257" i="1" a="1"/>
  <c r="AM257" i="1" s="1"/>
  <c r="AM258" i="1" a="1"/>
  <c r="AM258" i="1"/>
  <c r="AM259" i="1" a="1"/>
  <c r="AM259" i="1" s="1"/>
  <c r="AM260" i="1" a="1"/>
  <c r="AM260" i="1" s="1"/>
  <c r="AM261" i="1" a="1"/>
  <c r="AM261" i="1" s="1"/>
  <c r="AM262" i="1" a="1"/>
  <c r="AM262" i="1" s="1"/>
  <c r="AM263" i="1" a="1"/>
  <c r="AM263" i="1" s="1"/>
  <c r="AM264" i="1" a="1"/>
  <c r="AM264" i="1" s="1"/>
  <c r="AM265" i="1" a="1"/>
  <c r="AM265" i="1" s="1"/>
  <c r="AM266" i="1" a="1"/>
  <c r="AM266" i="1" s="1"/>
  <c r="AM267" i="1" a="1"/>
  <c r="AM267" i="1" s="1"/>
  <c r="AM268" i="1" a="1"/>
  <c r="AM268" i="1" s="1"/>
  <c r="AM269" i="1" a="1"/>
  <c r="AM269" i="1" s="1"/>
  <c r="AM270" i="1" a="1"/>
  <c r="AM270" i="1" s="1"/>
  <c r="AM271" i="1" a="1"/>
  <c r="AM271" i="1" s="1"/>
  <c r="AM272" i="1" a="1"/>
  <c r="AM272" i="1" s="1"/>
  <c r="AM273" i="1" a="1"/>
  <c r="AM273" i="1" s="1"/>
  <c r="AM274" i="1" a="1"/>
  <c r="AM274" i="1"/>
  <c r="AM275" i="1" a="1"/>
  <c r="AM275" i="1" s="1"/>
  <c r="AM276" i="1" a="1"/>
  <c r="AM276" i="1" s="1"/>
  <c r="AM277" i="1" a="1"/>
  <c r="AM277" i="1" s="1"/>
  <c r="AM278" i="1" a="1"/>
  <c r="AM278" i="1" s="1"/>
  <c r="AM279" i="1" a="1"/>
  <c r="AM279" i="1" s="1"/>
  <c r="AM280" i="1" a="1"/>
  <c r="AM280" i="1" s="1"/>
  <c r="AM281" i="1" a="1"/>
  <c r="AM281" i="1" s="1"/>
  <c r="AM282" i="1" a="1"/>
  <c r="AM282" i="1" s="1"/>
  <c r="AM283" i="1" a="1"/>
  <c r="AM283" i="1" s="1"/>
  <c r="AM284" i="1" a="1"/>
  <c r="AM284" i="1" s="1"/>
  <c r="AM285" i="1" a="1"/>
  <c r="AM285" i="1" s="1"/>
  <c r="AM286" i="1" a="1"/>
  <c r="AM286" i="1"/>
  <c r="AM287" i="1" a="1"/>
  <c r="AM287" i="1" s="1"/>
  <c r="AM288" i="1" a="1"/>
  <c r="AM288" i="1" s="1"/>
  <c r="AM289" i="1" a="1"/>
  <c r="AM289" i="1" s="1"/>
  <c r="AM290" i="1" a="1"/>
  <c r="AM290" i="1" s="1"/>
  <c r="AM291" i="1" a="1"/>
  <c r="AM291" i="1" s="1"/>
  <c r="AM292" i="1" a="1"/>
  <c r="AM292" i="1" s="1"/>
  <c r="AM293" i="1" a="1"/>
  <c r="AM293" i="1" s="1"/>
  <c r="AM294" i="1" a="1"/>
  <c r="AM294" i="1"/>
  <c r="AM295" i="1" a="1"/>
  <c r="AM295" i="1" s="1"/>
  <c r="AM296" i="1" a="1"/>
  <c r="AM296" i="1" s="1"/>
  <c r="AM297" i="1" a="1"/>
  <c r="AM297" i="1" s="1"/>
  <c r="AM298" i="1" a="1"/>
  <c r="AM298" i="1" s="1"/>
  <c r="AM299" i="1" a="1"/>
  <c r="AM299" i="1" s="1"/>
  <c r="AM300" i="1" a="1"/>
  <c r="AM300" i="1" s="1"/>
  <c r="AM301" i="1" a="1"/>
  <c r="AM301" i="1" s="1"/>
  <c r="AM302" i="1" a="1"/>
  <c r="AM302" i="1" s="1"/>
  <c r="AM303" i="1" a="1"/>
  <c r="AM303" i="1" s="1"/>
  <c r="AM304" i="1" a="1"/>
  <c r="AM304" i="1" s="1"/>
  <c r="AM305" i="1" a="1"/>
  <c r="AM305" i="1" s="1"/>
  <c r="AM306" i="1" a="1"/>
  <c r="AM306" i="1"/>
  <c r="AM307" i="1" a="1"/>
  <c r="AM307" i="1" s="1"/>
  <c r="AM308" i="1" a="1"/>
  <c r="AM308" i="1" s="1"/>
  <c r="AM309" i="1" a="1"/>
  <c r="AM309" i="1" s="1"/>
  <c r="AM310" i="1" a="1"/>
  <c r="AM310" i="1" s="1"/>
  <c r="AM311" i="1" a="1"/>
  <c r="AM311" i="1" s="1"/>
  <c r="AM312" i="1" a="1"/>
  <c r="AM312" i="1" s="1"/>
  <c r="AM313" i="1" a="1"/>
  <c r="AM313" i="1" s="1"/>
  <c r="AM314" i="1" a="1"/>
  <c r="AM314" i="1"/>
  <c r="AM315" i="1" a="1"/>
  <c r="AM315" i="1" s="1"/>
  <c r="AM316" i="1" a="1"/>
  <c r="AM316" i="1" s="1"/>
  <c r="AM317" i="1" a="1"/>
  <c r="AM317" i="1" s="1"/>
  <c r="AM318" i="1" a="1"/>
  <c r="AM318" i="1" s="1"/>
  <c r="AM319" i="1" a="1"/>
  <c r="AM319" i="1" s="1"/>
  <c r="AM320" i="1" a="1"/>
  <c r="AM320" i="1" s="1"/>
  <c r="AM321" i="1" a="1"/>
  <c r="AM321" i="1" s="1"/>
  <c r="AM322" i="1" a="1"/>
  <c r="AM322" i="1" s="1"/>
  <c r="AM323" i="1" a="1"/>
  <c r="AM323" i="1" s="1"/>
  <c r="AM324" i="1" a="1"/>
  <c r="AM324" i="1" s="1"/>
  <c r="AM325" i="1" a="1"/>
  <c r="AM325" i="1" s="1"/>
  <c r="AM326" i="1" a="1"/>
  <c r="AM326" i="1" s="1"/>
  <c r="AM327" i="1" a="1"/>
  <c r="AM327" i="1" s="1"/>
  <c r="AM328" i="1" a="1"/>
  <c r="AM328" i="1" s="1"/>
  <c r="AM329" i="1" a="1"/>
  <c r="AM329" i="1" s="1"/>
  <c r="AM330" i="1" a="1"/>
  <c r="AM330" i="1"/>
  <c r="AM331" i="1" a="1"/>
  <c r="AM331" i="1" s="1"/>
  <c r="AM332" i="1" a="1"/>
  <c r="AM332" i="1" s="1"/>
  <c r="AM333" i="1" a="1"/>
  <c r="AM333" i="1" s="1"/>
  <c r="AM334" i="1" a="1"/>
  <c r="AM334" i="1" s="1"/>
  <c r="AM335" i="1" a="1"/>
  <c r="AM335" i="1" s="1"/>
  <c r="AM336" i="1" a="1"/>
  <c r="AM336" i="1" s="1"/>
  <c r="AM337" i="1" a="1"/>
  <c r="AM337" i="1" s="1"/>
  <c r="AM338" i="1" a="1"/>
  <c r="AM338" i="1" s="1"/>
  <c r="AM339" i="1" a="1"/>
  <c r="AM339" i="1" s="1"/>
  <c r="AM340" i="1" a="1"/>
  <c r="AM340" i="1" s="1"/>
  <c r="AM341" i="1" a="1"/>
  <c r="AM341" i="1" s="1"/>
  <c r="AM342" i="1" a="1"/>
  <c r="AM342" i="1" s="1"/>
  <c r="AM343" i="1" a="1"/>
  <c r="AM343" i="1" s="1"/>
  <c r="AM344" i="1" a="1"/>
  <c r="AM344" i="1" s="1"/>
  <c r="AM345" i="1" a="1"/>
  <c r="AM345" i="1" s="1"/>
  <c r="AM346" i="1" a="1"/>
  <c r="AM346" i="1"/>
  <c r="AM347" i="1" a="1"/>
  <c r="AM347" i="1" s="1"/>
  <c r="AM348" i="1" a="1"/>
  <c r="AM348" i="1" s="1"/>
  <c r="AM349" i="1" a="1"/>
  <c r="AM349" i="1" s="1"/>
  <c r="AM350" i="1" a="1"/>
  <c r="AM350" i="1" s="1"/>
  <c r="AM351" i="1" a="1"/>
  <c r="AM351" i="1" s="1"/>
  <c r="AM352" i="1" a="1"/>
  <c r="AM352" i="1" s="1"/>
  <c r="AM353" i="1" a="1"/>
  <c r="AM353" i="1" s="1"/>
  <c r="AM354" i="1" a="1"/>
  <c r="AM354" i="1"/>
  <c r="AM355" i="1" a="1"/>
  <c r="AM355" i="1" s="1"/>
  <c r="AM356" i="1" a="1"/>
  <c r="AM356" i="1" s="1"/>
  <c r="AM357" i="1" a="1"/>
  <c r="AM357" i="1" s="1"/>
  <c r="AM358" i="1" a="1"/>
  <c r="AM358" i="1" s="1"/>
  <c r="AM359" i="1" a="1"/>
  <c r="AM359" i="1" s="1"/>
  <c r="AM360" i="1" a="1"/>
  <c r="AM360" i="1" s="1"/>
  <c r="AM361" i="1" a="1"/>
  <c r="AM361" i="1" s="1"/>
  <c r="AM362" i="1" a="1"/>
  <c r="AM362" i="1" s="1"/>
  <c r="AM363" i="1" a="1"/>
  <c r="AM363" i="1" s="1"/>
  <c r="AM364" i="1" a="1"/>
  <c r="AM364" i="1" s="1"/>
  <c r="AM365" i="1" a="1"/>
  <c r="AM365" i="1" s="1"/>
  <c r="AM366" i="1" a="1"/>
  <c r="AM366" i="1"/>
  <c r="AM367" i="1" a="1"/>
  <c r="AM367" i="1" s="1"/>
  <c r="AM368" i="1" a="1"/>
  <c r="AM368" i="1" s="1"/>
  <c r="AM369" i="1" a="1"/>
  <c r="AM369" i="1" s="1"/>
  <c r="AM370" i="1" a="1"/>
  <c r="AM370" i="1" s="1"/>
  <c r="AM371" i="1" a="1"/>
  <c r="AM371" i="1" s="1"/>
  <c r="AM372" i="1" a="1"/>
  <c r="AM372" i="1" s="1"/>
  <c r="AM373" i="1" a="1"/>
  <c r="AM373" i="1" s="1"/>
  <c r="AM374" i="1" a="1"/>
  <c r="AM374" i="1" s="1"/>
  <c r="AM375" i="1" a="1"/>
  <c r="AM375" i="1" s="1"/>
  <c r="AM376" i="1" a="1"/>
  <c r="AM376" i="1" s="1"/>
  <c r="AM377" i="1" a="1"/>
  <c r="AM377" i="1" s="1"/>
  <c r="AM378" i="1" a="1"/>
  <c r="AM378" i="1"/>
  <c r="AM379" i="1" a="1"/>
  <c r="AM379" i="1" s="1"/>
  <c r="AM380" i="1" a="1"/>
  <c r="AM380" i="1" s="1"/>
  <c r="AM381" i="1" a="1"/>
  <c r="AM381" i="1" s="1"/>
  <c r="AM382" i="1" a="1"/>
  <c r="AM382" i="1" s="1"/>
  <c r="AM383" i="1" a="1"/>
  <c r="AM383" i="1" s="1"/>
  <c r="AM384" i="1" a="1"/>
  <c r="AM384" i="1" s="1"/>
  <c r="AM385" i="1" a="1"/>
  <c r="AM385" i="1" s="1"/>
  <c r="AM386" i="1" a="1"/>
  <c r="AM386" i="1"/>
  <c r="AM387" i="1" a="1"/>
  <c r="AM387" i="1" s="1"/>
  <c r="AM388" i="1" a="1"/>
  <c r="AM388" i="1" s="1"/>
  <c r="AM389" i="1" a="1"/>
  <c r="AM389" i="1" s="1"/>
  <c r="AM390" i="1" a="1"/>
  <c r="AM390" i="1" s="1"/>
  <c r="AM391" i="1" a="1"/>
  <c r="AM391" i="1" s="1"/>
  <c r="AM392" i="1" a="1"/>
  <c r="AM392" i="1" s="1"/>
  <c r="AM393" i="1" a="1"/>
  <c r="AM393" i="1" s="1"/>
  <c r="AM394" i="1" a="1"/>
  <c r="AM394" i="1"/>
  <c r="AM395" i="1" a="1"/>
  <c r="AM395" i="1" s="1"/>
  <c r="AM396" i="1" a="1"/>
  <c r="AM396" i="1" s="1"/>
  <c r="AM397" i="1" a="1"/>
  <c r="AM397" i="1" s="1"/>
  <c r="AM398" i="1" a="1"/>
  <c r="AM398" i="1" s="1"/>
  <c r="AM399" i="1" a="1"/>
  <c r="AM399" i="1" s="1"/>
  <c r="AM400" i="1" a="1"/>
  <c r="AM400" i="1" s="1"/>
  <c r="AM401" i="1" a="1"/>
  <c r="AM401" i="1" s="1"/>
  <c r="AM402" i="1" a="1"/>
  <c r="AM402" i="1" s="1"/>
  <c r="AM403" i="1" a="1"/>
  <c r="AM403" i="1" s="1"/>
  <c r="AM404" i="1" a="1"/>
  <c r="AM404" i="1" s="1"/>
  <c r="AM405" i="1" a="1"/>
  <c r="AM405" i="1" s="1"/>
  <c r="AM406" i="1" a="1"/>
  <c r="AM406" i="1"/>
  <c r="AM407" i="1" a="1"/>
  <c r="AM407" i="1" s="1"/>
  <c r="AM408" i="1" a="1"/>
  <c r="AM408" i="1" s="1"/>
  <c r="AM409" i="1" a="1"/>
  <c r="AM409" i="1" s="1"/>
  <c r="AM410" i="1" a="1"/>
  <c r="AM410" i="1" s="1"/>
  <c r="AM411" i="1" a="1"/>
  <c r="AM411" i="1" s="1"/>
  <c r="AM412" i="1" a="1"/>
  <c r="AM412" i="1" s="1"/>
  <c r="AM413" i="1" a="1"/>
  <c r="AM413" i="1" s="1"/>
  <c r="AM414" i="1" a="1"/>
  <c r="AM414" i="1" s="1"/>
  <c r="AM415" i="1" a="1"/>
  <c r="AM415" i="1" s="1"/>
  <c r="AM416" i="1" a="1"/>
  <c r="AM416" i="1" s="1"/>
  <c r="AM417" i="1" a="1"/>
  <c r="AM417" i="1" s="1"/>
  <c r="AM418" i="1" a="1"/>
  <c r="AM418" i="1"/>
  <c r="AM419" i="1" a="1"/>
  <c r="AM419" i="1" s="1"/>
  <c r="AM420" i="1" a="1"/>
  <c r="AM420" i="1" s="1"/>
  <c r="AM421" i="1" a="1"/>
  <c r="AM421" i="1" s="1"/>
  <c r="AM422" i="1" a="1"/>
  <c r="AM422" i="1" s="1"/>
  <c r="AM423" i="1" a="1"/>
  <c r="AM423" i="1" s="1"/>
  <c r="AM424" i="1" a="1"/>
  <c r="AM424" i="1" s="1"/>
  <c r="AM425" i="1" a="1"/>
  <c r="AM425" i="1" s="1"/>
  <c r="AM426" i="1" a="1"/>
  <c r="AM426" i="1" s="1"/>
  <c r="AM427" i="1" a="1"/>
  <c r="AM427" i="1" s="1"/>
  <c r="AM428" i="1" a="1"/>
  <c r="AM428" i="1" s="1"/>
  <c r="AM429" i="1" a="1"/>
  <c r="AM429" i="1" s="1"/>
  <c r="AM430" i="1" a="1"/>
  <c r="AM430" i="1" s="1"/>
  <c r="AM431" i="1" a="1"/>
  <c r="AM431" i="1" s="1"/>
  <c r="AM432" i="1" a="1"/>
  <c r="AM432" i="1" s="1"/>
  <c r="AM433" i="1" a="1"/>
  <c r="AM433" i="1" s="1"/>
  <c r="AM434" i="1" a="1"/>
  <c r="AM434" i="1"/>
  <c r="AM435" i="1" a="1"/>
  <c r="AM435" i="1" s="1"/>
  <c r="AM436" i="1" a="1"/>
  <c r="AM436" i="1" s="1"/>
  <c r="AM437" i="1" a="1"/>
  <c r="AM437" i="1" s="1"/>
  <c r="AM438" i="1" a="1"/>
  <c r="AM438" i="1" s="1"/>
  <c r="AM439" i="1" a="1"/>
  <c r="AM439" i="1" s="1"/>
  <c r="AM440" i="1" a="1"/>
  <c r="AM440" i="1" s="1"/>
  <c r="AM441" i="1" a="1"/>
  <c r="AM441" i="1" s="1"/>
  <c r="AM442" i="1" a="1"/>
  <c r="AM442" i="1" s="1"/>
  <c r="AM443" i="1" a="1"/>
  <c r="AM443" i="1" s="1"/>
  <c r="AM444" i="1" a="1"/>
  <c r="AM444" i="1" s="1"/>
  <c r="AM445" i="1" a="1"/>
  <c r="AM445" i="1" s="1"/>
  <c r="AM446" i="1" a="1"/>
  <c r="AM446" i="1" s="1"/>
  <c r="AM447" i="1" a="1"/>
  <c r="AM447" i="1" s="1"/>
  <c r="AM448" i="1" a="1"/>
  <c r="AM448" i="1" s="1"/>
  <c r="AM449" i="1" a="1"/>
  <c r="AM449" i="1" s="1"/>
  <c r="AM450" i="1" a="1"/>
  <c r="AM450" i="1"/>
  <c r="AM451" i="1" a="1"/>
  <c r="AM451" i="1" s="1"/>
  <c r="AM452" i="1" a="1"/>
  <c r="AM452" i="1" s="1"/>
  <c r="AM453" i="1" a="1"/>
  <c r="AM453" i="1" s="1"/>
  <c r="AM454" i="1" a="1"/>
  <c r="AM454" i="1" s="1"/>
  <c r="AM455" i="1" a="1"/>
  <c r="AM455" i="1" s="1"/>
  <c r="AM456" i="1" a="1"/>
  <c r="AM456" i="1" s="1"/>
  <c r="AM457" i="1" a="1"/>
  <c r="AM457" i="1" s="1"/>
  <c r="AM458" i="1" a="1"/>
  <c r="AM458" i="1" s="1"/>
  <c r="AM459" i="1" a="1"/>
  <c r="AM459" i="1" s="1"/>
  <c r="AM460" i="1" a="1"/>
  <c r="AM460" i="1" s="1"/>
  <c r="AM461" i="1" a="1"/>
  <c r="AM461" i="1" s="1"/>
  <c r="AM462" i="1" a="1"/>
  <c r="AM462" i="1" s="1"/>
  <c r="AM463" i="1" a="1"/>
  <c r="AM463" i="1" s="1"/>
  <c r="AM464" i="1" a="1"/>
  <c r="AM464" i="1" s="1"/>
  <c r="AM465" i="1" a="1"/>
  <c r="AM465" i="1" s="1"/>
  <c r="AM466" i="1" a="1"/>
  <c r="AM466" i="1"/>
  <c r="AM467" i="1" a="1"/>
  <c r="AM467" i="1" s="1"/>
  <c r="AM468" i="1" a="1"/>
  <c r="AM468" i="1" s="1"/>
  <c r="AM469" i="1" a="1"/>
  <c r="AM469" i="1" s="1"/>
  <c r="AM470" i="1" a="1"/>
  <c r="AM470" i="1" s="1"/>
  <c r="AM471" i="1" a="1"/>
  <c r="AM471" i="1" s="1"/>
  <c r="AM472" i="1" a="1"/>
  <c r="AM472" i="1" s="1"/>
  <c r="AM473" i="1" a="1"/>
  <c r="AM473" i="1" s="1"/>
  <c r="AM474" i="1" a="1"/>
  <c r="AM474" i="1" s="1"/>
  <c r="AM475" i="1" a="1"/>
  <c r="AM475" i="1" s="1"/>
  <c r="AM476" i="1" a="1"/>
  <c r="AM476" i="1" s="1"/>
  <c r="AM477" i="1" a="1"/>
  <c r="AM477" i="1" s="1"/>
  <c r="AM478" i="1" a="1"/>
  <c r="AM478" i="1" s="1"/>
  <c r="AM479" i="1" a="1"/>
  <c r="AM479" i="1" s="1"/>
  <c r="AM480" i="1" a="1"/>
  <c r="AM480" i="1" s="1"/>
  <c r="AM481" i="1" a="1"/>
  <c r="AM481" i="1" s="1"/>
  <c r="AM482" i="1" a="1"/>
  <c r="AM482" i="1"/>
  <c r="AM483" i="1" a="1"/>
  <c r="AM483" i="1" s="1"/>
  <c r="AM484" i="1" a="1"/>
  <c r="AM484" i="1" s="1"/>
  <c r="AM485" i="1" a="1"/>
  <c r="AM485" i="1" s="1"/>
  <c r="AM486" i="1" a="1"/>
  <c r="AM486" i="1" s="1"/>
  <c r="AM487" i="1" a="1"/>
  <c r="AM487" i="1" s="1"/>
  <c r="AM488" i="1" a="1"/>
  <c r="AM488" i="1" s="1"/>
  <c r="AM489" i="1" a="1"/>
  <c r="AM489" i="1" s="1"/>
  <c r="AM490" i="1" a="1"/>
  <c r="AM490" i="1" s="1"/>
  <c r="AM491" i="1" a="1"/>
  <c r="AM491" i="1" s="1"/>
  <c r="AM492" i="1" a="1"/>
  <c r="AM492" i="1"/>
  <c r="AM493" i="1" a="1"/>
  <c r="AM493" i="1" s="1"/>
  <c r="AM494" i="1" a="1"/>
  <c r="AM494" i="1" s="1"/>
  <c r="AM495" i="1" a="1"/>
  <c r="AM495" i="1" s="1"/>
  <c r="AM496" i="1" a="1"/>
  <c r="AM496" i="1"/>
  <c r="AM497" i="1" a="1"/>
  <c r="AM497" i="1" s="1"/>
  <c r="AM498" i="1" a="1"/>
  <c r="AM498" i="1" s="1"/>
  <c r="AM499" i="1" a="1"/>
  <c r="AM499" i="1" s="1"/>
  <c r="AM500" i="1" a="1"/>
  <c r="AM500" i="1"/>
  <c r="AM501" i="1" a="1"/>
  <c r="AM501" i="1" s="1"/>
  <c r="AM502" i="1" a="1"/>
  <c r="AM502" i="1" s="1"/>
  <c r="AM503" i="1" a="1"/>
  <c r="AM503" i="1" s="1"/>
  <c r="AM504" i="1" a="1"/>
  <c r="AM504" i="1"/>
  <c r="AM505" i="1" a="1"/>
  <c r="AM505" i="1" s="1"/>
  <c r="AM506" i="1" a="1"/>
  <c r="AM506" i="1" s="1"/>
  <c r="AM507" i="1" a="1"/>
  <c r="AM507" i="1" s="1"/>
  <c r="AM508" i="1" a="1"/>
  <c r="AM508" i="1"/>
  <c r="AM509" i="1" a="1"/>
  <c r="AM509" i="1" s="1"/>
  <c r="AM510" i="1" a="1"/>
  <c r="AM510" i="1" s="1"/>
  <c r="AM511" i="1" a="1"/>
  <c r="AM511" i="1" s="1"/>
  <c r="AM512" i="1" a="1"/>
  <c r="AM512" i="1"/>
  <c r="AM513" i="1" a="1"/>
  <c r="AM513" i="1" s="1"/>
  <c r="AM514" i="1" a="1"/>
  <c r="AM514" i="1" s="1"/>
  <c r="AM515" i="1" a="1"/>
  <c r="AM515" i="1" s="1"/>
  <c r="AM516" i="1" a="1"/>
  <c r="AM516" i="1"/>
  <c r="AM517" i="1" a="1"/>
  <c r="AM517" i="1" s="1"/>
  <c r="AM518" i="1" a="1"/>
  <c r="AM518" i="1" s="1"/>
  <c r="AM519" i="1" a="1"/>
  <c r="AM519" i="1" s="1"/>
  <c r="AM520" i="1" a="1"/>
  <c r="AM520" i="1"/>
  <c r="AM521" i="1" a="1"/>
  <c r="AM521" i="1" s="1"/>
  <c r="AM522" i="1" a="1"/>
  <c r="AM522" i="1" s="1"/>
  <c r="AM523" i="1" a="1"/>
  <c r="AM523" i="1" s="1"/>
  <c r="AM524" i="1" a="1"/>
  <c r="AM524" i="1"/>
  <c r="AM525" i="1" a="1"/>
  <c r="AM525" i="1" s="1"/>
  <c r="AM526" i="1" a="1"/>
  <c r="AM526" i="1" s="1"/>
  <c r="AM527" i="1" a="1"/>
  <c r="AM527" i="1" s="1"/>
  <c r="AM528" i="1" a="1"/>
  <c r="AM528" i="1"/>
  <c r="AM529" i="1" a="1"/>
  <c r="AM529" i="1" s="1"/>
  <c r="AM530" i="1" a="1"/>
  <c r="AM530" i="1" s="1"/>
  <c r="AM531" i="1" a="1"/>
  <c r="AM531" i="1" s="1"/>
  <c r="AM532" i="1" a="1"/>
  <c r="AM532" i="1"/>
  <c r="AM533" i="1" a="1"/>
  <c r="AM533" i="1" s="1"/>
  <c r="AM534" i="1" a="1"/>
  <c r="AM534" i="1" s="1"/>
  <c r="AM535" i="1" a="1"/>
  <c r="AM535" i="1" s="1"/>
  <c r="AM536" i="1" a="1"/>
  <c r="AM536" i="1"/>
  <c r="AM537" i="1" a="1"/>
  <c r="AM537" i="1" s="1"/>
  <c r="AM538" i="1" a="1"/>
  <c r="AM538" i="1" s="1"/>
  <c r="AM539" i="1" a="1"/>
  <c r="AM539" i="1" s="1"/>
  <c r="AM540" i="1" a="1"/>
  <c r="AM540" i="1"/>
  <c r="AM541" i="1" a="1"/>
  <c r="AM541" i="1" s="1"/>
  <c r="AM542" i="1" a="1"/>
  <c r="AM542" i="1" s="1"/>
  <c r="AM543" i="1" a="1"/>
  <c r="AM543" i="1" s="1"/>
  <c r="AM544" i="1" a="1"/>
  <c r="AM544" i="1"/>
  <c r="AM545" i="1" a="1"/>
  <c r="AM545" i="1" s="1"/>
  <c r="AM546" i="1" a="1"/>
  <c r="AM546" i="1" s="1"/>
  <c r="AM547" i="1" a="1"/>
  <c r="AM547" i="1" s="1"/>
  <c r="AM548" i="1" a="1"/>
  <c r="AM548" i="1"/>
  <c r="AM549" i="1" a="1"/>
  <c r="AM549" i="1" s="1"/>
  <c r="AM550" i="1" a="1"/>
  <c r="AM550" i="1" s="1"/>
  <c r="AM551" i="1" a="1"/>
  <c r="AM551" i="1" s="1"/>
  <c r="AM552" i="1" a="1"/>
  <c r="AM552" i="1" s="1"/>
  <c r="AM553" i="1" a="1"/>
  <c r="AM553" i="1" s="1"/>
  <c r="AM554" i="1" a="1"/>
  <c r="AM554" i="1" s="1"/>
  <c r="AM555" i="1" a="1"/>
  <c r="AM555" i="1" s="1"/>
  <c r="AM556" i="1" a="1"/>
  <c r="AM556" i="1" s="1"/>
  <c r="AM557" i="1" a="1"/>
  <c r="AM557" i="1" s="1"/>
  <c r="AM558" i="1" a="1"/>
  <c r="AM558" i="1" s="1"/>
  <c r="AM559" i="1" a="1"/>
  <c r="AM559" i="1" s="1"/>
  <c r="AM560" i="1" a="1"/>
  <c r="AM560" i="1" s="1"/>
  <c r="AM561" i="1" a="1"/>
  <c r="AM561" i="1" s="1"/>
  <c r="AM562" i="1" a="1"/>
  <c r="AM562" i="1"/>
  <c r="AM563" i="1" a="1"/>
  <c r="AM563" i="1" s="1"/>
  <c r="AM564" i="1" a="1"/>
  <c r="AM564" i="1" s="1"/>
  <c r="AM565" i="1" a="1"/>
  <c r="AM565" i="1" s="1"/>
  <c r="AM566" i="1" a="1"/>
  <c r="AM566" i="1" s="1"/>
  <c r="AM567" i="1" a="1"/>
  <c r="AM567" i="1" s="1"/>
  <c r="AM568" i="1" a="1"/>
  <c r="AM568" i="1" s="1"/>
  <c r="AM569" i="1" a="1"/>
  <c r="AM569" i="1" s="1"/>
  <c r="AM570" i="1" a="1"/>
  <c r="AM570" i="1" s="1"/>
  <c r="AM571" i="1" a="1"/>
  <c r="AM571" i="1" s="1"/>
  <c r="AM572" i="1" a="1"/>
  <c r="AM572" i="1" s="1"/>
  <c r="AM573" i="1" a="1"/>
  <c r="AM573" i="1" s="1"/>
  <c r="AM574" i="1" a="1"/>
  <c r="AM574" i="1" s="1"/>
  <c r="AM575" i="1" a="1"/>
  <c r="AM575" i="1" s="1"/>
  <c r="AM576" i="1" a="1"/>
  <c r="AM576" i="1" s="1"/>
  <c r="AM577" i="1" a="1"/>
  <c r="AM577" i="1" s="1"/>
  <c r="AM578" i="1" a="1"/>
  <c r="AM578" i="1"/>
  <c r="AM579" i="1" a="1"/>
  <c r="AM579" i="1" s="1"/>
  <c r="AM580" i="1" a="1"/>
  <c r="AM580" i="1" s="1"/>
  <c r="AM581" i="1" a="1"/>
  <c r="AM581" i="1" s="1"/>
  <c r="AM582" i="1" a="1"/>
  <c r="AM582" i="1" s="1"/>
  <c r="AM583" i="1" a="1"/>
  <c r="AM583" i="1" s="1"/>
  <c r="AM584" i="1" a="1"/>
  <c r="AM584" i="1" s="1"/>
  <c r="AM585" i="1" a="1"/>
  <c r="AM585" i="1" s="1"/>
  <c r="AM586" i="1" a="1"/>
  <c r="AM586" i="1" s="1"/>
  <c r="AM587" i="1" a="1"/>
  <c r="AM587" i="1" s="1"/>
  <c r="AM588" i="1" a="1"/>
  <c r="AM588" i="1" s="1"/>
  <c r="AM589" i="1" a="1"/>
  <c r="AM589" i="1" s="1"/>
  <c r="AM590" i="1" a="1"/>
  <c r="AM590" i="1" s="1"/>
  <c r="AM591" i="1" a="1"/>
  <c r="AM591" i="1" s="1"/>
  <c r="AM592" i="1" a="1"/>
  <c r="AM592" i="1" s="1"/>
  <c r="AM593" i="1" a="1"/>
  <c r="AM593" i="1" s="1"/>
  <c r="AM594" i="1" a="1"/>
  <c r="AM594" i="1"/>
  <c r="AM595" i="1" a="1"/>
  <c r="AM595" i="1" s="1"/>
  <c r="AM596" i="1" a="1"/>
  <c r="AM596" i="1" s="1"/>
  <c r="AM597" i="1" a="1"/>
  <c r="AM597" i="1" s="1"/>
  <c r="AM598" i="1" a="1"/>
  <c r="AM598" i="1" s="1"/>
  <c r="AM599" i="1" a="1"/>
  <c r="AM599" i="1" s="1"/>
  <c r="AM600" i="1" a="1"/>
  <c r="AM600" i="1" s="1"/>
  <c r="AM601" i="1" a="1"/>
  <c r="AM601" i="1" s="1"/>
  <c r="AM602" i="1" a="1"/>
  <c r="AM602" i="1" s="1"/>
  <c r="AM603" i="1" a="1"/>
  <c r="AM603" i="1" s="1"/>
  <c r="AM604" i="1" a="1"/>
  <c r="AM604" i="1" s="1"/>
  <c r="AM605" i="1" a="1"/>
  <c r="AM605" i="1" s="1"/>
  <c r="AM606" i="1" a="1"/>
  <c r="AM606" i="1" s="1"/>
  <c r="AM607" i="1" a="1"/>
  <c r="AM607" i="1" s="1"/>
  <c r="AM608" i="1" a="1"/>
  <c r="AM608" i="1" s="1"/>
  <c r="AM609" i="1" a="1"/>
  <c r="AM609" i="1" s="1"/>
  <c r="AM610" i="1" a="1"/>
  <c r="AM610" i="1"/>
  <c r="AM611" i="1" a="1"/>
  <c r="AM611" i="1" s="1"/>
  <c r="AM612" i="1" a="1"/>
  <c r="AM612" i="1" s="1"/>
  <c r="AM613" i="1" a="1"/>
  <c r="AM613" i="1" s="1"/>
  <c r="AM614" i="1" a="1"/>
  <c r="AM614" i="1" s="1"/>
  <c r="AM615" i="1" a="1"/>
  <c r="AM615" i="1" s="1"/>
  <c r="AM616" i="1" a="1"/>
  <c r="AM616" i="1" s="1"/>
  <c r="AM617" i="1" a="1"/>
  <c r="AM617" i="1" s="1"/>
  <c r="AM618" i="1" a="1"/>
  <c r="AM618" i="1" s="1"/>
  <c r="AM619" i="1" a="1"/>
  <c r="AM619" i="1" s="1"/>
  <c r="AM620" i="1" a="1"/>
  <c r="AM620" i="1" s="1"/>
  <c r="AM621" i="1" a="1"/>
  <c r="AM621" i="1" s="1"/>
  <c r="AM622" i="1" a="1"/>
  <c r="AM622" i="1" s="1"/>
  <c r="AM623" i="1" a="1"/>
  <c r="AM623" i="1" s="1"/>
  <c r="AM624" i="1" a="1"/>
  <c r="AM624" i="1" s="1"/>
  <c r="AM625" i="1" a="1"/>
  <c r="AM625" i="1" s="1"/>
  <c r="AM626" i="1" a="1"/>
  <c r="AM626" i="1"/>
  <c r="AM627" i="1" a="1"/>
  <c r="AM627" i="1" s="1"/>
  <c r="AM628" i="1" a="1"/>
  <c r="AM628" i="1" s="1"/>
  <c r="AM629" i="1" a="1"/>
  <c r="AM629" i="1" s="1"/>
  <c r="AM630" i="1" a="1"/>
  <c r="AM630" i="1" s="1"/>
  <c r="AM631" i="1" a="1"/>
  <c r="AM631" i="1" s="1"/>
  <c r="AM632" i="1" a="1"/>
  <c r="AM632" i="1" s="1"/>
  <c r="AM633" i="1" a="1"/>
  <c r="AM633" i="1" s="1"/>
  <c r="AM634" i="1" a="1"/>
  <c r="AM634" i="1" s="1"/>
  <c r="AM635" i="1" a="1"/>
  <c r="AM635" i="1" s="1"/>
  <c r="AM636" i="1" a="1"/>
  <c r="AM636" i="1" s="1"/>
  <c r="AM637" i="1" a="1"/>
  <c r="AM637" i="1" s="1"/>
  <c r="AM638" i="1" a="1"/>
  <c r="AM638" i="1" s="1"/>
  <c r="AM639" i="1" a="1"/>
  <c r="AM639" i="1" s="1"/>
  <c r="AM640" i="1" a="1"/>
  <c r="AM640" i="1" s="1"/>
  <c r="AM641" i="1" a="1"/>
  <c r="AM641" i="1" s="1"/>
  <c r="AM642" i="1" a="1"/>
  <c r="AM642" i="1"/>
  <c r="AM643" i="1" a="1"/>
  <c r="AM643" i="1" s="1"/>
  <c r="AM644" i="1" a="1"/>
  <c r="AM644" i="1" s="1"/>
  <c r="AM645" i="1" a="1"/>
  <c r="AM645" i="1" s="1"/>
  <c r="AM646" i="1" a="1"/>
  <c r="AM646" i="1" s="1"/>
  <c r="AM647" i="1" a="1"/>
  <c r="AM647" i="1" s="1"/>
  <c r="AM648" i="1" a="1"/>
  <c r="AM648" i="1" s="1"/>
  <c r="AM649" i="1" a="1"/>
  <c r="AM649" i="1" s="1"/>
  <c r="AM650" i="1" a="1"/>
  <c r="AM650" i="1" s="1"/>
  <c r="AM651" i="1" a="1"/>
  <c r="AM651" i="1" s="1"/>
  <c r="AM652" i="1" a="1"/>
  <c r="AM652" i="1" s="1"/>
  <c r="AM653" i="1" a="1"/>
  <c r="AM653" i="1" s="1"/>
  <c r="AM654" i="1" a="1"/>
  <c r="AM654" i="1" s="1"/>
  <c r="AM655" i="1" a="1"/>
  <c r="AM655" i="1" s="1"/>
  <c r="AM656" i="1" a="1"/>
  <c r="AM656" i="1" s="1"/>
  <c r="AM657" i="1" a="1"/>
  <c r="AM657" i="1" s="1"/>
  <c r="AM658" i="1" a="1"/>
  <c r="AM658" i="1"/>
  <c r="AM659" i="1" a="1"/>
  <c r="AM659" i="1" s="1"/>
  <c r="AM660" i="1" a="1"/>
  <c r="AM660" i="1" s="1"/>
  <c r="AM661" i="1" a="1"/>
  <c r="AM661" i="1" s="1"/>
  <c r="AM662" i="1" a="1"/>
  <c r="AM662" i="1" s="1"/>
  <c r="AM663" i="1" a="1"/>
  <c r="AM663" i="1" s="1"/>
  <c r="AM664" i="1" a="1"/>
  <c r="AM664" i="1" s="1"/>
  <c r="AM665" i="1" a="1"/>
  <c r="AM665" i="1" s="1"/>
  <c r="AM666" i="1" a="1"/>
  <c r="AM666" i="1" s="1"/>
  <c r="AM667" i="1" a="1"/>
  <c r="AM667" i="1" s="1"/>
  <c r="AM668" i="1" a="1"/>
  <c r="AM668" i="1" s="1"/>
  <c r="AM669" i="1" a="1"/>
  <c r="AM669" i="1" s="1"/>
  <c r="AM670" i="1" a="1"/>
  <c r="AM670" i="1" s="1"/>
  <c r="AM671" i="1" a="1"/>
  <c r="AM671" i="1" s="1"/>
  <c r="AM672" i="1" a="1"/>
  <c r="AM672" i="1" s="1"/>
  <c r="AM673" i="1" a="1"/>
  <c r="AM673" i="1" s="1"/>
  <c r="AM674" i="1" a="1"/>
  <c r="AM674" i="1"/>
  <c r="AM675" i="1" a="1"/>
  <c r="AM675" i="1" s="1"/>
  <c r="AM676" i="1" a="1"/>
  <c r="AM676" i="1" s="1"/>
  <c r="AM677" i="1" a="1"/>
  <c r="AM677" i="1" s="1"/>
  <c r="AM678" i="1" a="1"/>
  <c r="AM678" i="1" s="1"/>
  <c r="AM679" i="1" a="1"/>
  <c r="AM679" i="1" s="1"/>
  <c r="AM680" i="1" a="1"/>
  <c r="AM680" i="1" s="1"/>
  <c r="AM681" i="1" a="1"/>
  <c r="AM681" i="1" s="1"/>
  <c r="AM682" i="1" a="1"/>
  <c r="AM682" i="1" s="1"/>
  <c r="AM683" i="1" a="1"/>
  <c r="AM683" i="1" s="1"/>
  <c r="AM684" i="1" a="1"/>
  <c r="AM684" i="1" s="1"/>
  <c r="AM685" i="1" a="1"/>
  <c r="AM685" i="1" s="1"/>
  <c r="AM686" i="1" a="1"/>
  <c r="AM686" i="1" s="1"/>
  <c r="AM687" i="1" a="1"/>
  <c r="AM687" i="1" s="1"/>
  <c r="AM688" i="1" a="1"/>
  <c r="AM688" i="1" s="1"/>
  <c r="AM689" i="1" a="1"/>
  <c r="AM689" i="1" s="1"/>
  <c r="AM690" i="1" a="1"/>
  <c r="AM690" i="1"/>
  <c r="AM691" i="1" a="1"/>
  <c r="AM691" i="1" s="1"/>
  <c r="AM692" i="1" a="1"/>
  <c r="AM692" i="1" s="1"/>
  <c r="AM693" i="1" a="1"/>
  <c r="AM693" i="1" s="1"/>
  <c r="AM694" i="1" a="1"/>
  <c r="AM694" i="1" s="1"/>
  <c r="AM695" i="1" a="1"/>
  <c r="AM695" i="1" s="1"/>
  <c r="AM696" i="1" a="1"/>
  <c r="AM696" i="1" s="1"/>
  <c r="AM697" i="1" a="1"/>
  <c r="AM697" i="1" s="1"/>
  <c r="AM698" i="1" a="1"/>
  <c r="AM698" i="1"/>
  <c r="AM699" i="1" a="1"/>
  <c r="AM699" i="1" s="1"/>
  <c r="AM700" i="1" a="1"/>
  <c r="AM700" i="1" s="1"/>
  <c r="AM701" i="1" a="1"/>
  <c r="AM701" i="1" s="1"/>
  <c r="AM702" i="1" a="1"/>
  <c r="AM702" i="1" s="1"/>
  <c r="AM703" i="1" a="1"/>
  <c r="AM703" i="1" s="1"/>
  <c r="AM704" i="1" a="1"/>
  <c r="AM704" i="1" s="1"/>
  <c r="AM705" i="1" a="1"/>
  <c r="AM705" i="1" s="1"/>
  <c r="AM706" i="1" a="1"/>
  <c r="AM706" i="1" s="1"/>
  <c r="AM707" i="1" a="1"/>
  <c r="AM707" i="1" s="1"/>
  <c r="AM708" i="1" a="1"/>
  <c r="AM708" i="1"/>
  <c r="AM709" i="1" a="1"/>
  <c r="AM709" i="1" s="1"/>
  <c r="AM710" i="1" a="1"/>
  <c r="AM710" i="1" s="1"/>
  <c r="AM711" i="1" a="1"/>
  <c r="AM711" i="1" s="1"/>
  <c r="AM712" i="1" a="1"/>
  <c r="AM712" i="1" s="1"/>
  <c r="AM713" i="1" a="1"/>
  <c r="AM713" i="1" s="1"/>
  <c r="AM714" i="1" a="1"/>
  <c r="AM714" i="1" s="1"/>
  <c r="AM715" i="1" a="1"/>
  <c r="AM715" i="1" s="1"/>
  <c r="AM716" i="1" a="1"/>
  <c r="AM716" i="1"/>
  <c r="AM717" i="1" a="1"/>
  <c r="AM717" i="1" s="1"/>
  <c r="AM718" i="1" a="1"/>
  <c r="AM718" i="1" s="1"/>
  <c r="AM719" i="1" a="1"/>
  <c r="AM719" i="1" s="1"/>
  <c r="AM720" i="1" a="1"/>
  <c r="AM720" i="1" s="1"/>
  <c r="AM721" i="1" a="1"/>
  <c r="AM721" i="1" s="1"/>
  <c r="AM722" i="1" a="1"/>
  <c r="AM722" i="1" s="1"/>
  <c r="AM723" i="1" a="1"/>
  <c r="AM723" i="1" s="1"/>
  <c r="AM724" i="1" a="1"/>
  <c r="AM724" i="1"/>
  <c r="AM725" i="1" a="1"/>
  <c r="AM725" i="1" s="1"/>
  <c r="AM726" i="1" a="1"/>
  <c r="AM726" i="1" s="1"/>
  <c r="AM727" i="1" a="1"/>
  <c r="AM727" i="1" s="1"/>
  <c r="AM728" i="1" a="1"/>
  <c r="AM728" i="1" s="1"/>
  <c r="AM729" i="1" a="1"/>
  <c r="AM729" i="1" s="1"/>
  <c r="AM730" i="1" a="1"/>
  <c r="AM730" i="1" s="1"/>
  <c r="AM731" i="1" a="1"/>
  <c r="AM731" i="1" s="1"/>
  <c r="AM732" i="1" a="1"/>
  <c r="AM732" i="1"/>
  <c r="AM733" i="1" a="1"/>
  <c r="AM733" i="1" s="1"/>
  <c r="AM734" i="1" a="1"/>
  <c r="AM734" i="1" s="1"/>
  <c r="AM735" i="1" a="1"/>
  <c r="AM735" i="1" s="1"/>
  <c r="AM736" i="1" a="1"/>
  <c r="AM736" i="1" s="1"/>
  <c r="AM737" i="1" a="1"/>
  <c r="AM737" i="1" s="1"/>
  <c r="AM738" i="1" a="1"/>
  <c r="AM738" i="1" s="1"/>
  <c r="AM739" i="1" a="1"/>
  <c r="AM739" i="1" s="1"/>
  <c r="AM740" i="1" a="1"/>
  <c r="AM740" i="1" s="1"/>
  <c r="AM741" i="1" a="1"/>
  <c r="AM741" i="1" s="1"/>
  <c r="AM742" i="1" a="1"/>
  <c r="AM742" i="1" s="1"/>
  <c r="AM743" i="1" a="1"/>
  <c r="AM743" i="1" s="1"/>
  <c r="AM744" i="1" a="1"/>
  <c r="AM744" i="1" s="1"/>
  <c r="AM745" i="1" a="1"/>
  <c r="AM745" i="1" s="1"/>
  <c r="AM746" i="1" a="1"/>
  <c r="AM746" i="1"/>
  <c r="AM747" i="1" a="1"/>
  <c r="AM747" i="1" s="1"/>
  <c r="AM748" i="1" a="1"/>
  <c r="AM748" i="1" s="1"/>
  <c r="AM749" i="1" a="1"/>
  <c r="AM749" i="1" s="1"/>
  <c r="AM750" i="1" a="1"/>
  <c r="AM750" i="1" s="1"/>
  <c r="AM751" i="1" a="1"/>
  <c r="AM751" i="1" s="1"/>
  <c r="AM752" i="1" a="1"/>
  <c r="AM752" i="1" s="1"/>
  <c r="AM753" i="1" a="1"/>
  <c r="AM753" i="1" s="1"/>
  <c r="AM754" i="1" a="1"/>
  <c r="AM754" i="1" s="1"/>
  <c r="AM755" i="1" a="1"/>
  <c r="AM755" i="1" s="1"/>
  <c r="AM756" i="1" a="1"/>
  <c r="AM756" i="1" s="1"/>
  <c r="AM757" i="1" a="1"/>
  <c r="AM757" i="1" s="1"/>
  <c r="AM758" i="1" a="1"/>
  <c r="AM758" i="1" s="1"/>
  <c r="AM759" i="1" a="1"/>
  <c r="AM759" i="1" s="1"/>
  <c r="AM760" i="1" a="1"/>
  <c r="AM760" i="1" s="1"/>
  <c r="AM761" i="1" a="1"/>
  <c r="AM761" i="1" s="1"/>
  <c r="AM762" i="1" a="1"/>
  <c r="AM762" i="1"/>
  <c r="AM763" i="1" a="1"/>
  <c r="AM763" i="1" s="1"/>
  <c r="AM764" i="1" a="1"/>
  <c r="AM764" i="1" s="1"/>
  <c r="AM765" i="1" a="1"/>
  <c r="AM765" i="1" s="1"/>
  <c r="AM766" i="1" a="1"/>
  <c r="AM766" i="1" s="1"/>
  <c r="AM767" i="1" a="1"/>
  <c r="AM767" i="1" s="1"/>
  <c r="AM768" i="1" a="1"/>
  <c r="AM768" i="1" s="1"/>
  <c r="AM769" i="1" a="1"/>
  <c r="AM769" i="1" s="1"/>
  <c r="AM770" i="1" a="1"/>
  <c r="AM770" i="1" s="1"/>
  <c r="AM771" i="1" a="1"/>
  <c r="AM771" i="1" s="1"/>
  <c r="AM772" i="1" a="1"/>
  <c r="AM772" i="1" s="1"/>
  <c r="AM773" i="1" a="1"/>
  <c r="AM773" i="1" s="1"/>
  <c r="AM774" i="1" a="1"/>
  <c r="AM774" i="1" s="1"/>
  <c r="AM775" i="1" a="1"/>
  <c r="AM775" i="1" s="1"/>
  <c r="AM776" i="1" a="1"/>
  <c r="AM776" i="1" s="1"/>
  <c r="AM777" i="1" a="1"/>
  <c r="AM777" i="1" s="1"/>
  <c r="AM778" i="1" a="1"/>
  <c r="AM778" i="1"/>
  <c r="AM779" i="1" a="1"/>
  <c r="AM779" i="1" s="1"/>
  <c r="AM780" i="1" a="1"/>
  <c r="AM780" i="1" s="1"/>
  <c r="AM781" i="1" a="1"/>
  <c r="AM781" i="1" s="1"/>
  <c r="AM782" i="1" a="1"/>
  <c r="AM782" i="1" s="1"/>
  <c r="AM783" i="1" a="1"/>
  <c r="AM783" i="1" s="1"/>
  <c r="AM784" i="1" a="1"/>
  <c r="AM784" i="1" s="1"/>
  <c r="AM785" i="1" a="1"/>
  <c r="AM785" i="1" s="1"/>
  <c r="AM786" i="1" a="1"/>
  <c r="AM786" i="1" s="1"/>
  <c r="AM787" i="1" a="1"/>
  <c r="AM787" i="1" s="1"/>
  <c r="AM788" i="1" a="1"/>
  <c r="AM788" i="1" s="1"/>
  <c r="AM789" i="1" a="1"/>
  <c r="AM789" i="1" s="1"/>
  <c r="AM790" i="1" a="1"/>
  <c r="AM790" i="1"/>
  <c r="AM791" i="1" a="1"/>
  <c r="AM791" i="1" s="1"/>
  <c r="AM792" i="1" a="1"/>
  <c r="AM792" i="1" s="1"/>
  <c r="AM793" i="1" a="1"/>
  <c r="AM793" i="1" s="1"/>
  <c r="AM794" i="1" a="1"/>
  <c r="AM794" i="1" s="1"/>
  <c r="AM795" i="1" a="1"/>
  <c r="AM795" i="1" s="1"/>
  <c r="AM796" i="1" a="1"/>
  <c r="AM796" i="1" s="1"/>
  <c r="AM797" i="1" a="1"/>
  <c r="AM797" i="1" s="1"/>
  <c r="AM798" i="1" a="1"/>
  <c r="AM798" i="1"/>
  <c r="AM799" i="1" a="1"/>
  <c r="AM799" i="1" s="1"/>
  <c r="AM800" i="1" a="1"/>
  <c r="AM800" i="1" s="1"/>
  <c r="AM801" i="1" a="1"/>
  <c r="AM801" i="1" s="1"/>
  <c r="AM802" i="1" a="1"/>
  <c r="AM802" i="1" s="1"/>
  <c r="AM803" i="1" a="1"/>
  <c r="AM803" i="1" s="1"/>
  <c r="AM804" i="1" a="1"/>
  <c r="AM804" i="1" s="1"/>
  <c r="AM805" i="1" a="1"/>
  <c r="AM805" i="1" s="1"/>
  <c r="AM806" i="1" a="1"/>
  <c r="AM806" i="1"/>
  <c r="AM807" i="1" a="1"/>
  <c r="AM807" i="1" s="1"/>
  <c r="AM808" i="1" a="1"/>
  <c r="AM808" i="1" s="1"/>
  <c r="AM809" i="1" a="1"/>
  <c r="AM809" i="1" s="1"/>
  <c r="AM810" i="1" a="1"/>
  <c r="AM810" i="1" s="1"/>
  <c r="AM811" i="1" a="1"/>
  <c r="AM811" i="1" s="1"/>
  <c r="AM812" i="1" a="1"/>
  <c r="AM812" i="1" s="1"/>
  <c r="AM813" i="1" a="1"/>
  <c r="AM813" i="1" s="1"/>
  <c r="AM814" i="1" a="1"/>
  <c r="AM814" i="1"/>
  <c r="AM815" i="1" a="1"/>
  <c r="AM815" i="1" s="1"/>
  <c r="AM816" i="1" a="1"/>
  <c r="AM816" i="1" s="1"/>
  <c r="AM817" i="1" a="1"/>
  <c r="AM817" i="1" s="1"/>
  <c r="AM818" i="1" a="1"/>
  <c r="AM818" i="1" s="1"/>
  <c r="AM819" i="1" a="1"/>
  <c r="AM819" i="1" s="1"/>
  <c r="AM820" i="1" a="1"/>
  <c r="AM820" i="1" s="1"/>
  <c r="AM821" i="1" a="1"/>
  <c r="AM821" i="1" s="1"/>
  <c r="AM822" i="1" a="1"/>
  <c r="AM822" i="1"/>
  <c r="AM823" i="1" a="1"/>
  <c r="AM823" i="1" s="1"/>
  <c r="AM824" i="1" a="1"/>
  <c r="AM824" i="1" s="1"/>
  <c r="AM825" i="1" a="1"/>
  <c r="AM825" i="1" s="1"/>
  <c r="AM826" i="1" a="1"/>
  <c r="AM826" i="1" s="1"/>
  <c r="AM827" i="1" a="1"/>
  <c r="AM827" i="1" s="1"/>
  <c r="AM828" i="1" a="1"/>
  <c r="AM828" i="1" s="1"/>
  <c r="AM829" i="1" a="1"/>
  <c r="AM829" i="1" s="1"/>
  <c r="AM830" i="1" a="1"/>
  <c r="AM830" i="1" s="1"/>
  <c r="AM831" i="1" a="1"/>
  <c r="AM831" i="1" s="1"/>
  <c r="AM832" i="1" a="1"/>
  <c r="AM832" i="1" s="1"/>
  <c r="AM833" i="1" a="1"/>
  <c r="AM833" i="1" s="1"/>
  <c r="AM834" i="1" a="1"/>
  <c r="AM834" i="1"/>
  <c r="AM835" i="1" a="1"/>
  <c r="AM835" i="1" s="1"/>
  <c r="AM836" i="1" a="1"/>
  <c r="AM836" i="1" s="1"/>
  <c r="AM837" i="1" a="1"/>
  <c r="AM837" i="1" s="1"/>
  <c r="AM838" i="1" a="1"/>
  <c r="AM838" i="1" s="1"/>
  <c r="AM839" i="1" a="1"/>
  <c r="AM839" i="1" s="1"/>
  <c r="AM840" i="1" a="1"/>
  <c r="AM840" i="1" s="1"/>
  <c r="AM841" i="1" a="1"/>
  <c r="AM841" i="1" s="1"/>
  <c r="AM842" i="1" a="1"/>
  <c r="AM842" i="1" s="1"/>
  <c r="AM843" i="1" a="1"/>
  <c r="AM843" i="1" s="1"/>
  <c r="AM844" i="1" a="1"/>
  <c r="AM844" i="1" s="1"/>
  <c r="AM845" i="1" a="1"/>
  <c r="AM845" i="1" s="1"/>
  <c r="AM846" i="1" a="1"/>
  <c r="AM846" i="1" s="1"/>
  <c r="AM847" i="1" a="1"/>
  <c r="AM847" i="1" s="1"/>
  <c r="AM848" i="1" a="1"/>
  <c r="AM848" i="1" s="1"/>
  <c r="AM849" i="1" a="1"/>
  <c r="AM849" i="1" s="1"/>
  <c r="AM850" i="1" a="1"/>
  <c r="AM850" i="1"/>
  <c r="AM851" i="1" a="1"/>
  <c r="AM851" i="1" s="1"/>
  <c r="AM852" i="1" a="1"/>
  <c r="AM852" i="1" s="1"/>
  <c r="AM853" i="1" a="1"/>
  <c r="AM853" i="1" s="1"/>
  <c r="AM854" i="1" a="1"/>
  <c r="AM854" i="1" s="1"/>
  <c r="AM855" i="1" a="1"/>
  <c r="AM855" i="1" s="1"/>
  <c r="AM856" i="1" a="1"/>
  <c r="AM856" i="1" s="1"/>
  <c r="AM857" i="1" a="1"/>
  <c r="AM857" i="1" s="1"/>
  <c r="AM858" i="1" a="1"/>
  <c r="AM858" i="1" s="1"/>
  <c r="AM859" i="1" a="1"/>
  <c r="AM859" i="1" s="1"/>
  <c r="AM860" i="1" a="1"/>
  <c r="AM860" i="1" s="1"/>
  <c r="AM861" i="1" a="1"/>
  <c r="AM861" i="1" s="1"/>
  <c r="AM862" i="1" a="1"/>
  <c r="AM862" i="1" s="1"/>
  <c r="AM863" i="1" a="1"/>
  <c r="AM863" i="1" s="1"/>
  <c r="AM864" i="1" a="1"/>
  <c r="AM864" i="1" s="1"/>
  <c r="AM865" i="1" a="1"/>
  <c r="AM865" i="1" s="1"/>
  <c r="AM866" i="1" a="1"/>
  <c r="AM866" i="1"/>
  <c r="AM867" i="1" a="1"/>
  <c r="AM867" i="1" s="1"/>
  <c r="AM868" i="1" a="1"/>
  <c r="AM868" i="1" s="1"/>
  <c r="AM869" i="1" a="1"/>
  <c r="AM869" i="1" s="1"/>
  <c r="AM870" i="1" a="1"/>
  <c r="AM870" i="1" s="1"/>
  <c r="AM871" i="1" a="1"/>
  <c r="AM871" i="1" s="1"/>
  <c r="AM872" i="1" a="1"/>
  <c r="AM872" i="1" s="1"/>
  <c r="AM873" i="1" a="1"/>
  <c r="AM873" i="1" s="1"/>
  <c r="AM874" i="1" a="1"/>
  <c r="AM874" i="1" s="1"/>
  <c r="AM875" i="1" a="1"/>
  <c r="AM875" i="1" s="1"/>
  <c r="AM876" i="1" a="1"/>
  <c r="AM876" i="1" s="1"/>
  <c r="AM877" i="1" a="1"/>
  <c r="AM877" i="1" s="1"/>
  <c r="AM878" i="1" a="1"/>
  <c r="AM878" i="1" s="1"/>
  <c r="AM879" i="1" a="1"/>
  <c r="AM879" i="1" s="1"/>
  <c r="AM880" i="1" a="1"/>
  <c r="AM880" i="1" s="1"/>
  <c r="AM881" i="1" a="1"/>
  <c r="AM881" i="1" s="1"/>
  <c r="AM882" i="1" a="1"/>
  <c r="AM882" i="1"/>
  <c r="AM883" i="1" a="1"/>
  <c r="AM883" i="1" s="1"/>
  <c r="AM884" i="1" a="1"/>
  <c r="AM884" i="1" s="1"/>
  <c r="AM885" i="1" a="1"/>
  <c r="AM885" i="1" s="1"/>
  <c r="AM886" i="1" a="1"/>
  <c r="AM886" i="1" s="1"/>
  <c r="AM887" i="1" a="1"/>
  <c r="AM887" i="1" s="1"/>
  <c r="AM888" i="1" a="1"/>
  <c r="AM888" i="1" s="1"/>
  <c r="AM889" i="1" a="1"/>
  <c r="AM889" i="1" s="1"/>
  <c r="AM890" i="1" a="1"/>
  <c r="AM890" i="1" s="1"/>
  <c r="AM891" i="1" a="1"/>
  <c r="AM891" i="1" s="1"/>
  <c r="AM892" i="1" a="1"/>
  <c r="AM892" i="1"/>
  <c r="AM893" i="1" a="1"/>
  <c r="AM893" i="1" s="1"/>
  <c r="AM894" i="1" a="1"/>
  <c r="AM894" i="1" s="1"/>
  <c r="AM895" i="1" a="1"/>
  <c r="AM895" i="1" s="1"/>
  <c r="AM896" i="1" a="1"/>
  <c r="AM896" i="1" s="1"/>
  <c r="AM897" i="1" a="1"/>
  <c r="AM897" i="1" s="1"/>
  <c r="AM898" i="1" a="1"/>
  <c r="AM898" i="1" s="1"/>
  <c r="AM899" i="1" a="1"/>
  <c r="AM899" i="1" s="1"/>
  <c r="AM900" i="1" a="1"/>
  <c r="AM900" i="1"/>
  <c r="AM901" i="1" a="1"/>
  <c r="AM901" i="1" s="1"/>
  <c r="AM902" i="1" a="1"/>
  <c r="AM902" i="1" s="1"/>
  <c r="AM903" i="1" a="1"/>
  <c r="AM903" i="1" s="1"/>
  <c r="AM904" i="1" a="1"/>
  <c r="AM904" i="1" s="1"/>
  <c r="AM905" i="1" a="1"/>
  <c r="AM905" i="1" s="1"/>
  <c r="AM906" i="1" a="1"/>
  <c r="AM906" i="1" s="1"/>
  <c r="AM907" i="1" a="1"/>
  <c r="AM907" i="1" s="1"/>
  <c r="AM908" i="1" a="1"/>
  <c r="AM908" i="1"/>
  <c r="AM909" i="1" a="1"/>
  <c r="AM909" i="1" s="1"/>
  <c r="AM910" i="1" a="1"/>
  <c r="AM910" i="1" s="1"/>
  <c r="AM911" i="1" a="1"/>
  <c r="AM911" i="1" s="1"/>
  <c r="AM912" i="1" a="1"/>
  <c r="AM912" i="1" s="1"/>
  <c r="AM913" i="1" a="1"/>
  <c r="AM913" i="1" s="1"/>
  <c r="AM914" i="1" a="1"/>
  <c r="AM914" i="1" s="1"/>
  <c r="AM915" i="1" a="1"/>
  <c r="AM915" i="1" s="1"/>
  <c r="AM916" i="1" a="1"/>
  <c r="AM916" i="1"/>
  <c r="AM917" i="1" a="1"/>
  <c r="AM917" i="1" s="1"/>
  <c r="AM918" i="1" a="1"/>
  <c r="AM918" i="1" s="1"/>
  <c r="AM919" i="1" a="1"/>
  <c r="AM919" i="1" s="1"/>
  <c r="AM920" i="1" a="1"/>
  <c r="AM920" i="1" s="1"/>
  <c r="AM921" i="1" a="1"/>
  <c r="AM921" i="1" s="1"/>
  <c r="AM922" i="1" a="1"/>
  <c r="AM922" i="1" s="1"/>
  <c r="AM923" i="1" a="1"/>
  <c r="AM923" i="1" s="1"/>
  <c r="AM924" i="1" a="1"/>
  <c r="AM924" i="1"/>
  <c r="AM925" i="1" a="1"/>
  <c r="AM925" i="1" s="1"/>
  <c r="AM926" i="1" a="1"/>
  <c r="AM926" i="1" s="1"/>
  <c r="AM927" i="1" a="1"/>
  <c r="AM927" i="1" s="1"/>
  <c r="AM928" i="1" a="1"/>
  <c r="AM928" i="1" s="1"/>
  <c r="AM929" i="1" a="1"/>
  <c r="AM929" i="1" s="1"/>
  <c r="AM930" i="1" a="1"/>
  <c r="AM930" i="1" s="1"/>
  <c r="AM931" i="1" a="1"/>
  <c r="AM931" i="1" s="1"/>
  <c r="AM932" i="1" a="1"/>
  <c r="AM932" i="1"/>
  <c r="AM933" i="1" a="1"/>
  <c r="AM933" i="1" s="1"/>
  <c r="AM934" i="1" a="1"/>
  <c r="AM934" i="1" s="1"/>
  <c r="AM935" i="1" a="1"/>
  <c r="AM935" i="1" s="1"/>
  <c r="AM936" i="1" a="1"/>
  <c r="AM936" i="1" s="1"/>
  <c r="AM937" i="1" a="1"/>
  <c r="AM937" i="1" s="1"/>
  <c r="AM938" i="1" a="1"/>
  <c r="AM938" i="1" s="1"/>
  <c r="AM939" i="1" a="1"/>
  <c r="AM939" i="1" s="1"/>
  <c r="AM940" i="1" a="1"/>
  <c r="AM940" i="1"/>
  <c r="AM941" i="1" a="1"/>
  <c r="AM941" i="1" s="1"/>
  <c r="AM942" i="1" a="1"/>
  <c r="AM942" i="1" s="1"/>
  <c r="AM943" i="1" a="1"/>
  <c r="AM943" i="1" s="1"/>
  <c r="AM944" i="1" a="1"/>
  <c r="AM944" i="1" s="1"/>
  <c r="AM945" i="1" a="1"/>
  <c r="AM945" i="1" s="1"/>
  <c r="AM946" i="1" a="1"/>
  <c r="AM946" i="1" s="1"/>
  <c r="AM947" i="1" a="1"/>
  <c r="AM947" i="1" s="1"/>
  <c r="AM948" i="1" a="1"/>
  <c r="AM948" i="1"/>
  <c r="AM949" i="1" a="1"/>
  <c r="AM949" i="1" s="1"/>
  <c r="AM950" i="1" a="1"/>
  <c r="AM950" i="1" s="1"/>
  <c r="AM951" i="1" a="1"/>
  <c r="AM951" i="1" s="1"/>
  <c r="AM952" i="1" a="1"/>
  <c r="AM952" i="1" s="1"/>
  <c r="AM953" i="1" a="1"/>
  <c r="AM953" i="1" s="1"/>
  <c r="AM954" i="1" a="1"/>
  <c r="AM954" i="1" s="1"/>
  <c r="AM955" i="1" a="1"/>
  <c r="AM955" i="1" s="1"/>
  <c r="AM956" i="1" a="1"/>
  <c r="AM956" i="1" s="1"/>
  <c r="AM957" i="1" a="1"/>
  <c r="AM957" i="1" s="1"/>
  <c r="AM958" i="1" a="1"/>
  <c r="AM958" i="1" s="1"/>
  <c r="AM959" i="1" a="1"/>
  <c r="AM959" i="1" s="1"/>
  <c r="AM960" i="1" a="1"/>
  <c r="AM960" i="1" s="1"/>
  <c r="AM961" i="1" a="1"/>
  <c r="AM961" i="1" s="1"/>
  <c r="AM962" i="1" a="1"/>
  <c r="AM962" i="1"/>
  <c r="AM963" i="1" a="1"/>
  <c r="AM963" i="1" s="1"/>
  <c r="AM964" i="1" a="1"/>
  <c r="AM964" i="1" s="1"/>
  <c r="AM965" i="1" a="1"/>
  <c r="AM965" i="1" s="1"/>
  <c r="AM966" i="1" a="1"/>
  <c r="AM966" i="1" s="1"/>
  <c r="AM967" i="1" a="1"/>
  <c r="AM967" i="1" s="1"/>
  <c r="AM968" i="1" a="1"/>
  <c r="AM968" i="1" s="1"/>
  <c r="AM969" i="1" a="1"/>
  <c r="AM969" i="1" s="1"/>
  <c r="AM970" i="1" a="1"/>
  <c r="AM970" i="1"/>
  <c r="AM971" i="1" a="1"/>
  <c r="AM971" i="1" s="1"/>
  <c r="AM972" i="1" a="1"/>
  <c r="AM972" i="1" s="1"/>
  <c r="AM973" i="1" a="1"/>
  <c r="AM973" i="1" s="1"/>
  <c r="AM974" i="1" a="1"/>
  <c r="AM974" i="1" s="1"/>
  <c r="AM975" i="1" a="1"/>
  <c r="AM975" i="1" s="1"/>
  <c r="AM976" i="1" a="1"/>
  <c r="AM976" i="1" s="1"/>
  <c r="AM977" i="1" a="1"/>
  <c r="AM977" i="1" s="1"/>
  <c r="AM978" i="1" a="1"/>
  <c r="AM978" i="1"/>
  <c r="AM979" i="1" a="1"/>
  <c r="AM979" i="1" s="1"/>
  <c r="AM980" i="1" a="1"/>
  <c r="AM980" i="1" s="1"/>
  <c r="AM981" i="1" a="1"/>
  <c r="AM981" i="1" s="1"/>
  <c r="AM982" i="1" a="1"/>
  <c r="AM982" i="1" s="1"/>
  <c r="AM983" i="1" a="1"/>
  <c r="AM983" i="1" s="1"/>
  <c r="AM984" i="1" a="1"/>
  <c r="AM984" i="1" s="1"/>
  <c r="AM985" i="1" a="1"/>
  <c r="AM985" i="1" s="1"/>
  <c r="AM986" i="1" a="1"/>
  <c r="AM986" i="1"/>
  <c r="AM987" i="1" a="1"/>
  <c r="AM987" i="1" s="1"/>
  <c r="AM988" i="1" a="1"/>
  <c r="AM988" i="1" s="1"/>
  <c r="AM989" i="1" a="1"/>
  <c r="AM989" i="1" s="1"/>
  <c r="AM990" i="1" a="1"/>
  <c r="AM990" i="1" s="1"/>
  <c r="AM991" i="1" a="1"/>
  <c r="AM991" i="1" s="1"/>
  <c r="AM992" i="1" a="1"/>
  <c r="AM992" i="1" s="1"/>
  <c r="AM993" i="1" a="1"/>
  <c r="AM993" i="1" s="1"/>
  <c r="AM994" i="1" a="1"/>
  <c r="AM994" i="1" s="1"/>
  <c r="AM995" i="1" a="1"/>
  <c r="AM995" i="1" s="1"/>
  <c r="AM996" i="1" a="1"/>
  <c r="AM996" i="1" s="1"/>
  <c r="AM997" i="1" a="1"/>
  <c r="AM997" i="1" s="1"/>
  <c r="AM998" i="1" a="1"/>
  <c r="AM998" i="1" s="1"/>
  <c r="AM999" i="1" a="1"/>
  <c r="AM999" i="1" s="1"/>
  <c r="AM1000" i="1" a="1"/>
  <c r="AM1000" i="1" s="1"/>
  <c r="AM1001" i="1" a="1"/>
  <c r="AM1001" i="1" s="1"/>
  <c r="AM1002" i="1" a="1"/>
  <c r="AM1002" i="1"/>
  <c r="AM1003" i="1" a="1"/>
  <c r="AM1003" i="1" s="1"/>
  <c r="AM1004" i="1" a="1"/>
  <c r="AM1004" i="1" s="1"/>
  <c r="AM1005" i="1" a="1"/>
  <c r="AM1005" i="1" s="1"/>
  <c r="AM1006" i="1" a="1"/>
  <c r="AM1006" i="1" s="1"/>
  <c r="AM1007" i="1" a="1"/>
  <c r="AM1007" i="1" s="1"/>
  <c r="AM1008" i="1" a="1"/>
  <c r="AM1008" i="1" s="1"/>
  <c r="AM1009" i="1" a="1"/>
  <c r="AM1009" i="1" s="1"/>
  <c r="AM1010" i="1" a="1"/>
  <c r="AM1010" i="1" s="1"/>
  <c r="AM1011" i="1" a="1"/>
  <c r="AM1011" i="1" s="1"/>
  <c r="AM1012" i="1" a="1"/>
  <c r="AM1012" i="1" s="1"/>
  <c r="AM1013" i="1" a="1"/>
  <c r="AM1013" i="1" s="1"/>
  <c r="AM1014" i="1" a="1"/>
  <c r="AM1014" i="1" s="1"/>
  <c r="AM1015" i="1" a="1"/>
  <c r="AM1015" i="1" s="1"/>
  <c r="AM1016" i="1" a="1"/>
  <c r="AM1016" i="1" s="1"/>
  <c r="AM1017" i="1" a="1"/>
  <c r="AM1017" i="1" s="1"/>
  <c r="AM1018" i="1" a="1"/>
  <c r="AM1018" i="1"/>
  <c r="AM1019" i="1" a="1"/>
  <c r="AM1019" i="1" s="1"/>
  <c r="AM1020" i="1" a="1"/>
  <c r="AM1020" i="1" s="1"/>
  <c r="AM1021" i="1" a="1"/>
  <c r="AM1021" i="1" s="1"/>
  <c r="AM1022" i="1" a="1"/>
  <c r="AM1022" i="1" s="1"/>
  <c r="AM1023" i="1" a="1"/>
  <c r="AM1023" i="1" s="1"/>
  <c r="AM1024" i="1" a="1"/>
  <c r="AM1024" i="1" s="1"/>
  <c r="AM1025" i="1" a="1"/>
  <c r="AM1025" i="1" s="1"/>
  <c r="AM1026" i="1" a="1"/>
  <c r="AM1026" i="1" s="1"/>
  <c r="AM1027" i="1" a="1"/>
  <c r="AM1027" i="1" s="1"/>
  <c r="AM1028" i="1" a="1"/>
  <c r="AM1028" i="1"/>
  <c r="AM1029" i="1" a="1"/>
  <c r="AM1029" i="1" s="1"/>
  <c r="AM1030" i="1" a="1"/>
  <c r="AM1030" i="1" s="1"/>
  <c r="AM1031" i="1" a="1"/>
  <c r="AM1031" i="1" s="1"/>
  <c r="AM1032" i="1" a="1"/>
  <c r="AM1032" i="1" s="1"/>
  <c r="AM1033" i="1" a="1"/>
  <c r="AM1033" i="1" s="1"/>
  <c r="AM1034" i="1" a="1"/>
  <c r="AM1034" i="1" s="1"/>
  <c r="AM1035" i="1" a="1"/>
  <c r="AM1035" i="1" s="1"/>
  <c r="AM1036" i="1" a="1"/>
  <c r="AM1036" i="1"/>
  <c r="AM1037" i="1" a="1"/>
  <c r="AM1037" i="1" s="1"/>
  <c r="AM1038" i="1" a="1"/>
  <c r="AM1038" i="1" s="1"/>
  <c r="AM1039" i="1" a="1"/>
  <c r="AM1039" i="1" s="1"/>
  <c r="AM1040" i="1" a="1"/>
  <c r="AM1040" i="1" s="1"/>
  <c r="AM1041" i="1" a="1"/>
  <c r="AM1041" i="1" s="1"/>
  <c r="AM1042" i="1" a="1"/>
  <c r="AM1042" i="1" s="1"/>
  <c r="AM1043" i="1" a="1"/>
  <c r="AM1043" i="1" s="1"/>
  <c r="AM1044" i="1" a="1"/>
  <c r="AM1044" i="1"/>
  <c r="AM1045" i="1" a="1"/>
  <c r="AM1045" i="1" s="1"/>
  <c r="AM1046" i="1" a="1"/>
  <c r="AM1046" i="1" s="1"/>
  <c r="AM1047" i="1" a="1"/>
  <c r="AM1047" i="1" s="1"/>
  <c r="AM1048" i="1" a="1"/>
  <c r="AM1048" i="1" s="1"/>
  <c r="AM1049" i="1" a="1"/>
  <c r="AM1049" i="1" s="1"/>
  <c r="AM1050" i="1" a="1"/>
  <c r="AM1050" i="1" s="1"/>
  <c r="AM1051" i="1" a="1"/>
  <c r="AM1051" i="1" s="1"/>
  <c r="AM1052" i="1" a="1"/>
  <c r="AM1052" i="1"/>
  <c r="AM1053" i="1" a="1"/>
  <c r="AM1053" i="1" s="1"/>
  <c r="AM1054" i="1" a="1"/>
  <c r="AM1054" i="1" s="1"/>
  <c r="AM1055" i="1" a="1"/>
  <c r="AM1055" i="1" s="1"/>
  <c r="AM1056" i="1" a="1"/>
  <c r="AM1056" i="1" s="1"/>
  <c r="AM1057" i="1" a="1"/>
  <c r="AM1057" i="1" s="1"/>
  <c r="AM1058" i="1" a="1"/>
  <c r="AM1058" i="1" s="1"/>
  <c r="AM1059" i="1" a="1"/>
  <c r="AM1059" i="1" s="1"/>
  <c r="AM1060" i="1" a="1"/>
  <c r="AM1060" i="1"/>
  <c r="AM1061" i="1" a="1"/>
  <c r="AM1061" i="1" s="1"/>
  <c r="AM1062" i="1" a="1"/>
  <c r="AM1062" i="1" s="1"/>
  <c r="AM1063" i="1" a="1"/>
  <c r="AM1063" i="1" s="1"/>
  <c r="AM1064" i="1" a="1"/>
  <c r="AM1064" i="1" s="1"/>
  <c r="AM1065" i="1" a="1"/>
  <c r="AM1065" i="1" s="1"/>
  <c r="AM1066" i="1" a="1"/>
  <c r="AM1066" i="1" s="1"/>
  <c r="AM1067" i="1" a="1"/>
  <c r="AM1067" i="1" s="1"/>
  <c r="AM1068" i="1" a="1"/>
  <c r="AM1068" i="1"/>
  <c r="AM1069" i="1" a="1"/>
  <c r="AM1069" i="1" s="1"/>
  <c r="AM1070" i="1" a="1"/>
  <c r="AM1070" i="1" s="1"/>
  <c r="AM1071" i="1" a="1"/>
  <c r="AM1071" i="1" s="1"/>
  <c r="AM1072" i="1" a="1"/>
  <c r="AM1072" i="1" s="1"/>
  <c r="AM1073" i="1" a="1"/>
  <c r="AM1073" i="1" s="1"/>
  <c r="AM1074" i="1" a="1"/>
  <c r="AM1074" i="1" s="1"/>
  <c r="AM1075" i="1" a="1"/>
  <c r="AM1075" i="1" s="1"/>
  <c r="AM1076" i="1" a="1"/>
  <c r="AM1076" i="1"/>
  <c r="AM1077" i="1" a="1"/>
  <c r="AM1077" i="1" s="1"/>
  <c r="AM1078" i="1" a="1"/>
  <c r="AM1078" i="1" s="1"/>
  <c r="AM1079" i="1" a="1"/>
  <c r="AM1079" i="1" s="1"/>
  <c r="AM1080" i="1" a="1"/>
  <c r="AM1080" i="1" s="1"/>
  <c r="AM1081" i="1" a="1"/>
  <c r="AM1081" i="1" s="1"/>
  <c r="AM1082" i="1" a="1"/>
  <c r="AM1082" i="1" s="1"/>
  <c r="AM1083" i="1" a="1"/>
  <c r="AM1083" i="1" s="1"/>
  <c r="AM1084" i="1" a="1"/>
  <c r="AM1084" i="1"/>
  <c r="AM1085" i="1" a="1"/>
  <c r="AM1085" i="1" s="1"/>
  <c r="AM1086" i="1" a="1"/>
  <c r="AM1086" i="1" s="1"/>
  <c r="AM1087" i="1" a="1"/>
  <c r="AM1087" i="1" s="1"/>
  <c r="AM1088" i="1" a="1"/>
  <c r="AM1088" i="1" s="1"/>
  <c r="AM1089" i="1" a="1"/>
  <c r="AM1089" i="1" s="1"/>
  <c r="AM1090" i="1" a="1"/>
  <c r="AM1090" i="1" s="1"/>
  <c r="AM1091" i="1" a="1"/>
  <c r="AM1091" i="1" s="1"/>
  <c r="AM1092" i="1" a="1"/>
  <c r="AM1092" i="1"/>
  <c r="AM1093" i="1" a="1"/>
  <c r="AM1093" i="1" s="1"/>
  <c r="AM1094" i="1" a="1"/>
  <c r="AM1094" i="1" s="1"/>
  <c r="AM1095" i="1" a="1"/>
  <c r="AM1095" i="1" s="1"/>
  <c r="AM1096" i="1" a="1"/>
  <c r="AM1096" i="1" s="1"/>
  <c r="AM1097" i="1" a="1"/>
  <c r="AM1097" i="1" s="1"/>
  <c r="AM1098" i="1" a="1"/>
  <c r="AM1098" i="1" s="1"/>
  <c r="AM1099" i="1" a="1"/>
  <c r="AM1099" i="1" s="1"/>
  <c r="AM1100" i="1" a="1"/>
  <c r="AM1100" i="1"/>
  <c r="AM1101" i="1" a="1"/>
  <c r="AM1101" i="1" s="1"/>
  <c r="AM1102" i="1" a="1"/>
  <c r="AM1102" i="1" s="1"/>
  <c r="AM1103" i="1" a="1"/>
  <c r="AM1103" i="1" s="1"/>
  <c r="AM1104" i="1" a="1"/>
  <c r="AM1104" i="1" s="1"/>
  <c r="AM1105" i="1" a="1"/>
  <c r="AM1105" i="1" s="1"/>
  <c r="AM1106" i="1" a="1"/>
  <c r="AM1106" i="1" s="1"/>
  <c r="AM1107" i="1" a="1"/>
  <c r="AM1107" i="1" s="1"/>
  <c r="AM1108" i="1" a="1"/>
  <c r="AM1108" i="1"/>
  <c r="AM1109" i="1" a="1"/>
  <c r="AM1109" i="1" s="1"/>
  <c r="AM1110" i="1" a="1"/>
  <c r="AM1110" i="1" s="1"/>
  <c r="AM1111" i="1" a="1"/>
  <c r="AM1111" i="1" s="1"/>
  <c r="AM1112" i="1" a="1"/>
  <c r="AM1112" i="1" s="1"/>
  <c r="AM1113" i="1" a="1"/>
  <c r="AM1113" i="1" s="1"/>
  <c r="AM1114" i="1" a="1"/>
  <c r="AM1114" i="1" s="1"/>
  <c r="AM1115" i="1" a="1"/>
  <c r="AM1115" i="1" s="1"/>
  <c r="AM1116" i="1" a="1"/>
  <c r="AM1116" i="1"/>
  <c r="AM1117" i="1" a="1"/>
  <c r="AM1117" i="1" s="1"/>
  <c r="AM1118" i="1" a="1"/>
  <c r="AM1118" i="1" s="1"/>
  <c r="AM1119" i="1" a="1"/>
  <c r="AM1119" i="1" s="1"/>
  <c r="AM1120" i="1" a="1"/>
  <c r="AM1120" i="1" s="1"/>
  <c r="AM1121" i="1" a="1"/>
  <c r="AM1121" i="1"/>
  <c r="AM1122" i="1" a="1"/>
  <c r="AM1122" i="1" s="1"/>
  <c r="AM1123" i="1" a="1"/>
  <c r="AM1123" i="1" s="1"/>
  <c r="AM1124" i="1" a="1"/>
  <c r="AM1124" i="1" s="1"/>
  <c r="AM1125" i="1" a="1"/>
  <c r="AM1125" i="1" s="1"/>
  <c r="AM1126" i="1" a="1"/>
  <c r="AM1126" i="1" s="1"/>
  <c r="AM1127" i="1" a="1"/>
  <c r="AM1127" i="1" s="1"/>
  <c r="AM1128" i="1" a="1"/>
  <c r="AM1128" i="1" s="1"/>
  <c r="AM1129" i="1" a="1"/>
  <c r="AM1129" i="1" s="1"/>
  <c r="AM1130" i="1" a="1"/>
  <c r="AM1130" i="1" s="1"/>
  <c r="AM1131" i="1" a="1"/>
  <c r="AM1131" i="1" s="1"/>
  <c r="AM1132" i="1" a="1"/>
  <c r="AM1132" i="1" s="1"/>
  <c r="AM1133" i="1" a="1"/>
  <c r="AM1133" i="1" s="1"/>
  <c r="AM1134" i="1" a="1"/>
  <c r="AM1134" i="1" s="1"/>
  <c r="AM1135" i="1" a="1"/>
  <c r="AM1135" i="1" s="1"/>
  <c r="AM1136" i="1" a="1"/>
  <c r="AM1136" i="1" s="1"/>
  <c r="AM1137" i="1" a="1"/>
  <c r="AM1137" i="1" s="1"/>
  <c r="AM1138" i="1" a="1"/>
  <c r="AM1138" i="1" s="1"/>
  <c r="AM1139" i="1" a="1"/>
  <c r="AM1139" i="1" s="1"/>
  <c r="AM1140" i="1" a="1"/>
  <c r="AM1140" i="1" s="1"/>
  <c r="AM1141" i="1" a="1"/>
  <c r="AM1141" i="1" s="1"/>
  <c r="AM1142" i="1" a="1"/>
  <c r="AM1142" i="1" s="1"/>
  <c r="AM1143" i="1" a="1"/>
  <c r="AM1143" i="1" s="1"/>
  <c r="AM1144" i="1" a="1"/>
  <c r="AM1144" i="1" s="1"/>
  <c r="AM1145" i="1" a="1"/>
  <c r="AM1145" i="1" s="1"/>
  <c r="AM1146" i="1" a="1"/>
  <c r="AM1146" i="1" s="1"/>
  <c r="AM1147" i="1" a="1"/>
  <c r="AM1147" i="1" s="1"/>
  <c r="AM1148" i="1" a="1"/>
  <c r="AM1148" i="1" s="1"/>
  <c r="AM1149" i="1" a="1"/>
  <c r="AM1149" i="1" s="1"/>
  <c r="AM1150" i="1" a="1"/>
  <c r="AM1150" i="1" s="1"/>
  <c r="AM1151" i="1" a="1"/>
  <c r="AM1151" i="1" s="1"/>
  <c r="AM1152" i="1" a="1"/>
  <c r="AM1152" i="1" s="1"/>
  <c r="AM1153" i="1" a="1"/>
  <c r="AM1153" i="1" s="1"/>
  <c r="AM1154" i="1" a="1"/>
  <c r="AM1154" i="1"/>
  <c r="AM1155" i="1" a="1"/>
  <c r="AM1155" i="1" s="1"/>
  <c r="AM1156" i="1" a="1"/>
  <c r="AM1156" i="1" s="1"/>
  <c r="AM1157" i="1" a="1"/>
  <c r="AM1157" i="1" s="1"/>
  <c r="AM1158" i="1" a="1"/>
  <c r="AM1158" i="1" s="1"/>
  <c r="AM1159" i="1" a="1"/>
  <c r="AM1159" i="1" s="1"/>
  <c r="AM1160" i="1" a="1"/>
  <c r="AM1160" i="1" s="1"/>
  <c r="AM1161" i="1" a="1"/>
  <c r="AM1161" i="1" s="1"/>
  <c r="AM1162" i="1" a="1"/>
  <c r="AM1162" i="1"/>
  <c r="AM1163" i="1" a="1"/>
  <c r="AM1163" i="1" s="1"/>
  <c r="AM1164" i="1" a="1"/>
  <c r="AM1164" i="1" s="1"/>
  <c r="AM1165" i="1" a="1"/>
  <c r="AM1165" i="1" s="1"/>
  <c r="AM1166" i="1" a="1"/>
  <c r="AM1166" i="1" s="1"/>
  <c r="AM1167" i="1" a="1"/>
  <c r="AM1167" i="1" s="1"/>
  <c r="AM1168" i="1" a="1"/>
  <c r="AM1168" i="1" s="1"/>
  <c r="AM1169" i="1" a="1"/>
  <c r="AM1169" i="1" s="1"/>
  <c r="AM1170" i="1" a="1"/>
  <c r="AM1170" i="1"/>
  <c r="AM1171" i="1" a="1"/>
  <c r="AM1171" i="1" s="1"/>
  <c r="AM1172" i="1" a="1"/>
  <c r="AM1172" i="1" s="1"/>
  <c r="AM1173" i="1" a="1"/>
  <c r="AM1173" i="1" s="1"/>
  <c r="AM1174" i="1" a="1"/>
  <c r="AM1174" i="1" s="1"/>
  <c r="AM1175" i="1" a="1"/>
  <c r="AM1175" i="1" s="1"/>
  <c r="AM1176" i="1" a="1"/>
  <c r="AM1176" i="1" s="1"/>
  <c r="AM1177" i="1" a="1"/>
  <c r="AM1177" i="1" s="1"/>
  <c r="AM1178" i="1" a="1"/>
  <c r="AM1178" i="1"/>
  <c r="AM1179" i="1" a="1"/>
  <c r="AM1179" i="1" s="1"/>
  <c r="AM1180" i="1" a="1"/>
  <c r="AM1180" i="1" s="1"/>
  <c r="AM1181" i="1" a="1"/>
  <c r="AM1181" i="1" s="1"/>
  <c r="AM1182" i="1" a="1"/>
  <c r="AM1182" i="1" s="1"/>
  <c r="AM1183" i="1" a="1"/>
  <c r="AM1183" i="1" s="1"/>
  <c r="AM1184" i="1" a="1"/>
  <c r="AM1184" i="1" s="1"/>
  <c r="AM1185" i="1" a="1"/>
  <c r="AM1185" i="1" s="1"/>
  <c r="AM1186" i="1" a="1"/>
  <c r="AM1186" i="1"/>
  <c r="AM1187" i="1" a="1"/>
  <c r="AM1187" i="1" s="1"/>
  <c r="AM1188" i="1" a="1"/>
  <c r="AM1188" i="1" s="1"/>
  <c r="AM1189" i="1" a="1"/>
  <c r="AM1189" i="1" s="1"/>
  <c r="AM1190" i="1" a="1"/>
  <c r="AM1190" i="1" s="1"/>
  <c r="AM1191" i="1" a="1"/>
  <c r="AM1191" i="1" s="1"/>
  <c r="AM1192" i="1" a="1"/>
  <c r="AM1192" i="1" s="1"/>
  <c r="AM1193" i="1" a="1"/>
  <c r="AM1193" i="1" s="1"/>
  <c r="AM1194" i="1" a="1"/>
  <c r="AM1194" i="1"/>
  <c r="AM1195" i="1" a="1"/>
  <c r="AM1195" i="1" s="1"/>
  <c r="AM1196" i="1" a="1"/>
  <c r="AM1196" i="1" s="1"/>
  <c r="AM1197" i="1" a="1"/>
  <c r="AM1197" i="1" s="1"/>
  <c r="AM1198" i="1" a="1"/>
  <c r="AM1198" i="1" s="1"/>
  <c r="AM1199" i="1" a="1"/>
  <c r="AM1199" i="1" s="1"/>
  <c r="AM1200" i="1" a="1"/>
  <c r="AM1200" i="1" s="1"/>
  <c r="AM1201" i="1" a="1"/>
  <c r="AM1201" i="1" s="1"/>
  <c r="AM1202" i="1" a="1"/>
  <c r="AM1202" i="1"/>
  <c r="AM1203" i="1" a="1"/>
  <c r="AM1203" i="1" s="1"/>
  <c r="AM1204" i="1" a="1"/>
  <c r="AM1204" i="1" s="1"/>
  <c r="AM1205" i="1" a="1"/>
  <c r="AM1205" i="1" s="1"/>
  <c r="AM1206" i="1" a="1"/>
  <c r="AM1206" i="1" s="1"/>
  <c r="AM1207" i="1" a="1"/>
  <c r="AM1207" i="1" s="1"/>
  <c r="AM1208" i="1" a="1"/>
  <c r="AM1208" i="1" s="1"/>
  <c r="AM1209" i="1" a="1"/>
  <c r="AM1209" i="1" s="1"/>
  <c r="AM1210" i="1" a="1"/>
  <c r="AM1210" i="1"/>
  <c r="AM1211" i="1" a="1"/>
  <c r="AM1211" i="1" s="1"/>
  <c r="AM1212" i="1" a="1"/>
  <c r="AM1212" i="1" s="1"/>
  <c r="AM1213" i="1" a="1"/>
  <c r="AM1213" i="1" s="1"/>
  <c r="AM1214" i="1" a="1"/>
  <c r="AM1214" i="1"/>
  <c r="AM1215" i="1" a="1"/>
  <c r="AM1215" i="1" s="1"/>
  <c r="AM1216" i="1" a="1"/>
  <c r="AM1216" i="1" s="1"/>
  <c r="AM1217" i="1" a="1"/>
  <c r="AM1217" i="1" s="1"/>
  <c r="AM1218" i="1" a="1"/>
  <c r="AM1218" i="1"/>
  <c r="AM1219" i="1" a="1"/>
  <c r="AM1219" i="1" s="1"/>
  <c r="AM1220" i="1" a="1"/>
  <c r="AM1220" i="1" s="1"/>
  <c r="AM1221" i="1" a="1"/>
  <c r="AM1221" i="1" s="1"/>
  <c r="AM1222" i="1" a="1"/>
  <c r="AM1222" i="1"/>
  <c r="AM1223" i="1" a="1"/>
  <c r="AM1223" i="1" s="1"/>
  <c r="AM1224" i="1" a="1"/>
  <c r="AM1224" i="1" s="1"/>
  <c r="AM1225" i="1" a="1"/>
  <c r="AM1225" i="1" s="1"/>
  <c r="AM1226" i="1" a="1"/>
  <c r="AM1226" i="1"/>
  <c r="AM1227" i="1" a="1"/>
  <c r="AM1227" i="1" s="1"/>
  <c r="AM1228" i="1" a="1"/>
  <c r="AM1228" i="1" s="1"/>
  <c r="AM1229" i="1" a="1"/>
  <c r="AM1229" i="1" s="1"/>
  <c r="AM1230" i="1" a="1"/>
  <c r="AM1230" i="1"/>
  <c r="AM1231" i="1" a="1"/>
  <c r="AM1231" i="1" s="1"/>
  <c r="AM1232" i="1" a="1"/>
  <c r="AM1232" i="1" s="1"/>
  <c r="AM1233" i="1" a="1"/>
  <c r="AM1233" i="1" s="1"/>
  <c r="AM1234" i="1" a="1"/>
  <c r="AM1234" i="1"/>
  <c r="AM1235" i="1" a="1"/>
  <c r="AM1235" i="1" s="1"/>
  <c r="AM1236" i="1" a="1"/>
  <c r="AM1236" i="1" s="1"/>
  <c r="AM1237" i="1" a="1"/>
  <c r="AM1237" i="1" s="1"/>
  <c r="AM1238" i="1" a="1"/>
  <c r="AM1238" i="1"/>
  <c r="AM1239" i="1" a="1"/>
  <c r="AM1239" i="1" s="1"/>
  <c r="AM1240" i="1" a="1"/>
  <c r="AM1240" i="1" s="1"/>
  <c r="AM1241" i="1" a="1"/>
  <c r="AM1241" i="1" s="1"/>
  <c r="AM1242" i="1" a="1"/>
  <c r="AM1242" i="1"/>
  <c r="AM1243" i="1" a="1"/>
  <c r="AM1243" i="1" s="1"/>
  <c r="AM1244" i="1" a="1"/>
  <c r="AM1244" i="1" s="1"/>
  <c r="AM1245" i="1" a="1"/>
  <c r="AM1245" i="1" s="1"/>
  <c r="AM1246" i="1" a="1"/>
  <c r="AM1246" i="1"/>
  <c r="AM1247" i="1" a="1"/>
  <c r="AM1247" i="1" s="1"/>
  <c r="AM1248" i="1" a="1"/>
  <c r="AM1248" i="1" s="1"/>
  <c r="AM1249" i="1" a="1"/>
  <c r="AM1249" i="1" s="1"/>
  <c r="AM1250" i="1" a="1"/>
  <c r="AM1250" i="1"/>
  <c r="AM1251" i="1" a="1"/>
  <c r="AM1251" i="1" s="1"/>
  <c r="AM1252" i="1" a="1"/>
  <c r="AM1252" i="1" s="1"/>
  <c r="AM1253" i="1" a="1"/>
  <c r="AM1253" i="1" s="1"/>
  <c r="AM1254" i="1" a="1"/>
  <c r="AM1254" i="1"/>
  <c r="AM1255" i="1" a="1"/>
  <c r="AM1255" i="1" s="1"/>
  <c r="AM1256" i="1" a="1"/>
  <c r="AM1256" i="1" s="1"/>
  <c r="AM1257" i="1" a="1"/>
  <c r="AM1257" i="1" s="1"/>
  <c r="AM1258" i="1" a="1"/>
  <c r="AM1258" i="1"/>
  <c r="AM1259" i="1" a="1"/>
  <c r="AM1259" i="1" s="1"/>
  <c r="AM1260" i="1" a="1"/>
  <c r="AM1260" i="1" s="1"/>
  <c r="AM1261" i="1" a="1"/>
  <c r="AM1261" i="1" s="1"/>
  <c r="AM1262" i="1" a="1"/>
  <c r="AM1262" i="1"/>
  <c r="AM1263" i="1" a="1"/>
  <c r="AM1263" i="1" s="1"/>
  <c r="AM1264" i="1" a="1"/>
  <c r="AM1264" i="1" s="1"/>
  <c r="AM1265" i="1" a="1"/>
  <c r="AM1265" i="1" s="1"/>
  <c r="AM1266" i="1" a="1"/>
  <c r="AM1266" i="1"/>
  <c r="AM1267" i="1" a="1"/>
  <c r="AM1267" i="1" s="1"/>
  <c r="AM1268" i="1" a="1"/>
  <c r="AM1268" i="1" s="1"/>
  <c r="AM1269" i="1" a="1"/>
  <c r="AM1269" i="1" s="1"/>
  <c r="AM1270" i="1" a="1"/>
  <c r="AM1270" i="1"/>
  <c r="AM1271" i="1" a="1"/>
  <c r="AM1271" i="1" s="1"/>
  <c r="AM1272" i="1" a="1"/>
  <c r="AM1272" i="1" s="1"/>
  <c r="AM1273" i="1" a="1"/>
  <c r="AM1273" i="1" s="1"/>
  <c r="AM1274" i="1" a="1"/>
  <c r="AM1274" i="1"/>
  <c r="AM1275" i="1" a="1"/>
  <c r="AM1275" i="1" s="1"/>
  <c r="AM1276" i="1" a="1"/>
  <c r="AM1276" i="1" s="1"/>
  <c r="AM1277" i="1" a="1"/>
  <c r="AM1277" i="1" s="1"/>
  <c r="AM1278" i="1" a="1"/>
  <c r="AM1278" i="1"/>
  <c r="AM1279" i="1" a="1"/>
  <c r="AM1279" i="1" s="1"/>
  <c r="AM1280" i="1" a="1"/>
  <c r="AM1280" i="1" s="1"/>
  <c r="AM1281" i="1" a="1"/>
  <c r="AM1281" i="1" s="1"/>
  <c r="AM1282" i="1" a="1"/>
  <c r="AM1282" i="1"/>
  <c r="AM1283" i="1" a="1"/>
  <c r="AM1283" i="1" s="1"/>
  <c r="AM1284" i="1" a="1"/>
  <c r="AM1284" i="1" s="1"/>
  <c r="AM1285" i="1" a="1"/>
  <c r="AM1285" i="1" s="1"/>
  <c r="AM1286" i="1" a="1"/>
  <c r="AM1286" i="1"/>
  <c r="AM1287" i="1" a="1"/>
  <c r="AM1287" i="1" s="1"/>
  <c r="AM1288" i="1" a="1"/>
  <c r="AM1288" i="1" s="1"/>
  <c r="AM1289" i="1" a="1"/>
  <c r="AM1289" i="1" s="1"/>
  <c r="AM1290" i="1" a="1"/>
  <c r="AM1290" i="1"/>
  <c r="AM1291" i="1" a="1"/>
  <c r="AM1291" i="1" s="1"/>
  <c r="AM1292" i="1" a="1"/>
  <c r="AM1292" i="1" s="1"/>
  <c r="AM1293" i="1" a="1"/>
  <c r="AM1293" i="1" s="1"/>
  <c r="AM1294" i="1" a="1"/>
  <c r="AM1294" i="1"/>
  <c r="AM1295" i="1" a="1"/>
  <c r="AM1295" i="1" s="1"/>
  <c r="AM1296" i="1" a="1"/>
  <c r="AM1296" i="1" s="1"/>
  <c r="AM1297" i="1" a="1"/>
  <c r="AM1297" i="1" s="1"/>
  <c r="AM1298" i="1" a="1"/>
  <c r="AM1298" i="1"/>
  <c r="AM1299" i="1" a="1"/>
  <c r="AM1299" i="1" s="1"/>
  <c r="AM1300" i="1" a="1"/>
  <c r="AM1300" i="1" s="1"/>
  <c r="AM1301" i="1" a="1"/>
  <c r="AM1301" i="1" s="1"/>
  <c r="AM1302" i="1" a="1"/>
  <c r="AM1302" i="1"/>
  <c r="AM1303" i="1" a="1"/>
  <c r="AM1303" i="1" s="1"/>
  <c r="AM1304" i="1" a="1"/>
  <c r="AM1304" i="1" s="1"/>
  <c r="AM1305" i="1" a="1"/>
  <c r="AM1305" i="1" s="1"/>
  <c r="AM1306" i="1" a="1"/>
  <c r="AM1306" i="1"/>
  <c r="AM1307" i="1" a="1"/>
  <c r="AM1307" i="1" s="1"/>
  <c r="AM1308" i="1" a="1"/>
  <c r="AM1308" i="1" s="1"/>
  <c r="AM1309" i="1" a="1"/>
  <c r="AM1309" i="1" s="1"/>
  <c r="AM1310" i="1" a="1"/>
  <c r="AM1310" i="1"/>
  <c r="AM1311" i="1" a="1"/>
  <c r="AM1311" i="1" s="1"/>
  <c r="AM1312" i="1" a="1"/>
  <c r="AM1312" i="1" s="1"/>
  <c r="AM1313" i="1" a="1"/>
  <c r="AM1313" i="1" s="1"/>
  <c r="AM1314" i="1" a="1"/>
  <c r="AM1314" i="1"/>
  <c r="AM1315" i="1" a="1"/>
  <c r="AM1315" i="1" s="1"/>
  <c r="AM1316" i="1" a="1"/>
  <c r="AM1316" i="1" s="1"/>
  <c r="AM1317" i="1" a="1"/>
  <c r="AM1317" i="1" s="1"/>
  <c r="AM1318" i="1" a="1"/>
  <c r="AM1318" i="1"/>
  <c r="AM1319" i="1" a="1"/>
  <c r="AM1319" i="1" s="1"/>
  <c r="AM1320" i="1" a="1"/>
  <c r="AM1320" i="1" s="1"/>
  <c r="AM1321" i="1" a="1"/>
  <c r="AM1321" i="1" s="1"/>
  <c r="AM1322" i="1" a="1"/>
  <c r="AM1322" i="1"/>
  <c r="AM1323" i="1" a="1"/>
  <c r="AM1323" i="1" s="1"/>
  <c r="AM1324" i="1" a="1"/>
  <c r="AM1324" i="1" s="1"/>
  <c r="AM1325" i="1" a="1"/>
  <c r="AM1325" i="1" s="1"/>
  <c r="AM1326" i="1" a="1"/>
  <c r="AM1326" i="1"/>
  <c r="AM1327" i="1" a="1"/>
  <c r="AM1327" i="1" s="1"/>
  <c r="AM1328" i="1" a="1"/>
  <c r="AM1328" i="1" s="1"/>
  <c r="AM1329" i="1" a="1"/>
  <c r="AM1329" i="1" s="1"/>
  <c r="AM1330" i="1" a="1"/>
  <c r="AM1330" i="1"/>
  <c r="AM1331" i="1" a="1"/>
  <c r="AM1331" i="1" s="1"/>
  <c r="AM1332" i="1" a="1"/>
  <c r="AM1332" i="1" s="1"/>
  <c r="AM1333" i="1" a="1"/>
  <c r="AM1333" i="1" s="1"/>
  <c r="AM1334" i="1" a="1"/>
  <c r="AM1334" i="1"/>
  <c r="AM1335" i="1" a="1"/>
  <c r="AM1335" i="1" s="1"/>
  <c r="AM1336" i="1" a="1"/>
  <c r="AM1336" i="1" s="1"/>
  <c r="AM1337" i="1" a="1"/>
  <c r="AM1337" i="1" s="1"/>
  <c r="AM1338" i="1" a="1"/>
  <c r="AM1338" i="1"/>
  <c r="AM1339" i="1" a="1"/>
  <c r="AM1339" i="1" s="1"/>
  <c r="AM1340" i="1" a="1"/>
  <c r="AM1340" i="1" s="1"/>
  <c r="AM1341" i="1" a="1"/>
  <c r="AM1341" i="1" s="1"/>
  <c r="AM1342" i="1" a="1"/>
  <c r="AM1342" i="1"/>
  <c r="AM1343" i="1" a="1"/>
  <c r="AM1343" i="1" s="1"/>
  <c r="AM1344" i="1" a="1"/>
  <c r="AM1344" i="1" s="1"/>
  <c r="AM1345" i="1" a="1"/>
  <c r="AM1345" i="1" s="1"/>
  <c r="AM1346" i="1" a="1"/>
  <c r="AM1346" i="1"/>
  <c r="AM1347" i="1" a="1"/>
  <c r="AM1347" i="1" s="1"/>
  <c r="AM1348" i="1" a="1"/>
  <c r="AM1348" i="1" s="1"/>
  <c r="AM1349" i="1" a="1"/>
  <c r="AM1349" i="1" s="1"/>
  <c r="AM1350" i="1" a="1"/>
  <c r="AM1350" i="1"/>
  <c r="AM1351" i="1" a="1"/>
  <c r="AM1351" i="1" s="1"/>
  <c r="AM1352" i="1" a="1"/>
  <c r="AM1352" i="1" s="1"/>
  <c r="AM1353" i="1" a="1"/>
  <c r="AM1353" i="1" s="1"/>
  <c r="AM1354" i="1" a="1"/>
  <c r="AM1354" i="1"/>
  <c r="AM1355" i="1" a="1"/>
  <c r="AM1355" i="1" s="1"/>
  <c r="AM1356" i="1" a="1"/>
  <c r="AM1356" i="1" s="1"/>
  <c r="AM1357" i="1" a="1"/>
  <c r="AM1357" i="1" s="1"/>
  <c r="AM1358" i="1" a="1"/>
  <c r="AM1358" i="1"/>
  <c r="AM1359" i="1" a="1"/>
  <c r="AM1359" i="1" s="1"/>
  <c r="AM1360" i="1" a="1"/>
  <c r="AM1360" i="1" s="1"/>
  <c r="AM1361" i="1" a="1"/>
  <c r="AM1361" i="1" s="1"/>
  <c r="AM1362" i="1" a="1"/>
  <c r="AM1362" i="1"/>
  <c r="AM1363" i="1" a="1"/>
  <c r="AM1363" i="1" s="1"/>
  <c r="AM1364" i="1" a="1"/>
  <c r="AM1364" i="1" s="1"/>
  <c r="AM1365" i="1" a="1"/>
  <c r="AM1365" i="1" s="1"/>
  <c r="AM1366" i="1" a="1"/>
  <c r="AM1366" i="1"/>
  <c r="AM1367" i="1" a="1"/>
  <c r="AM1367" i="1" s="1"/>
  <c r="AM1368" i="1" a="1"/>
  <c r="AM1368" i="1" s="1"/>
  <c r="AM1369" i="1" a="1"/>
  <c r="AM1369" i="1" s="1"/>
  <c r="AM1370" i="1" a="1"/>
  <c r="AM1370" i="1"/>
  <c r="AM1371" i="1" a="1"/>
  <c r="AM1371" i="1" s="1"/>
  <c r="AM1372" i="1" a="1"/>
  <c r="AM1372" i="1" s="1"/>
  <c r="AM1373" i="1" a="1"/>
  <c r="AM1373" i="1" s="1"/>
  <c r="AM1374" i="1" a="1"/>
  <c r="AM1374" i="1"/>
  <c r="AM1375" i="1" a="1"/>
  <c r="AM1375" i="1" s="1"/>
  <c r="AM1376" i="1" a="1"/>
  <c r="AM1376" i="1" s="1"/>
  <c r="AM1377" i="1" a="1"/>
  <c r="AM1377" i="1" s="1"/>
  <c r="AM1378" i="1" a="1"/>
  <c r="AM1378" i="1"/>
  <c r="AM1379" i="1" a="1"/>
  <c r="AM1379" i="1" s="1"/>
  <c r="AM1380" i="1" a="1"/>
  <c r="AM1380" i="1" s="1"/>
  <c r="AM1381" i="1" a="1"/>
  <c r="AM1381" i="1" s="1"/>
  <c r="AM1382" i="1" a="1"/>
  <c r="AM1382" i="1"/>
  <c r="AM1383" i="1" a="1"/>
  <c r="AM1383" i="1" s="1"/>
  <c r="AM1384" i="1" a="1"/>
  <c r="AM1384" i="1" s="1"/>
  <c r="AM1385" i="1" a="1"/>
  <c r="AM1385" i="1" s="1"/>
  <c r="AM1386" i="1" a="1"/>
  <c r="AM1386" i="1"/>
  <c r="AM1387" i="1" a="1"/>
  <c r="AM1387" i="1" s="1"/>
  <c r="AM1388" i="1" a="1"/>
  <c r="AM1388" i="1" s="1"/>
  <c r="AM1389" i="1" a="1"/>
  <c r="AM1389" i="1" s="1"/>
  <c r="AM1390" i="1" a="1"/>
  <c r="AM1390" i="1"/>
  <c r="AM1391" i="1" a="1"/>
  <c r="AM1391" i="1" s="1"/>
  <c r="AM1392" i="1" a="1"/>
  <c r="AM1392" i="1" s="1"/>
  <c r="AM1393" i="1" a="1"/>
  <c r="AM1393" i="1" s="1"/>
  <c r="AM1394" i="1" a="1"/>
  <c r="AM1394" i="1"/>
  <c r="AM1395" i="1" a="1"/>
  <c r="AM1395" i="1" s="1"/>
  <c r="AM1396" i="1" a="1"/>
  <c r="AM1396" i="1" s="1"/>
  <c r="AM1397" i="1" a="1"/>
  <c r="AM1397" i="1" s="1"/>
  <c r="AM1398" i="1" a="1"/>
  <c r="AM1398" i="1"/>
  <c r="AM1399" i="1" a="1"/>
  <c r="AM1399" i="1" s="1"/>
  <c r="AM1400" i="1" a="1"/>
  <c r="AM1400" i="1" s="1"/>
  <c r="AM1401" i="1" a="1"/>
  <c r="AM1401" i="1" s="1"/>
  <c r="AM1402" i="1" a="1"/>
  <c r="AM1402" i="1"/>
  <c r="AM1403" i="1" a="1"/>
  <c r="AM1403" i="1" s="1"/>
  <c r="AM1404" i="1" a="1"/>
  <c r="AM1404" i="1" s="1"/>
  <c r="AM1405" i="1" a="1"/>
  <c r="AM1405" i="1" s="1"/>
  <c r="AM1406" i="1" a="1"/>
  <c r="AM1406" i="1"/>
  <c r="AM1407" i="1" a="1"/>
  <c r="AM1407" i="1" s="1"/>
  <c r="AM1408" i="1" a="1"/>
  <c r="AM1408" i="1" s="1"/>
  <c r="AM1409" i="1" a="1"/>
  <c r="AM1409" i="1" s="1"/>
  <c r="AM1410" i="1" a="1"/>
  <c r="AM1410" i="1"/>
  <c r="AM1411" i="1" a="1"/>
  <c r="AM1411" i="1" s="1"/>
  <c r="AM1412" i="1" a="1"/>
  <c r="AM1412" i="1" s="1"/>
  <c r="AM1413" i="1" a="1"/>
  <c r="AM1413" i="1" s="1"/>
  <c r="AM1414" i="1" a="1"/>
  <c r="AM1414" i="1"/>
  <c r="AM1415" i="1" a="1"/>
  <c r="AM1415" i="1" s="1"/>
  <c r="AM1416" i="1" a="1"/>
  <c r="AM1416" i="1" s="1"/>
  <c r="AM1417" i="1" a="1"/>
  <c r="AM1417" i="1" s="1"/>
  <c r="AM1418" i="1" a="1"/>
  <c r="AM1418" i="1"/>
  <c r="AM1419" i="1" a="1"/>
  <c r="AM1419" i="1" s="1"/>
  <c r="AM1420" i="1" a="1"/>
  <c r="AM1420" i="1" s="1"/>
  <c r="AM1421" i="1" a="1"/>
  <c r="AM1421" i="1" s="1"/>
  <c r="AM1422" i="1" a="1"/>
  <c r="AM1422" i="1"/>
  <c r="AM1423" i="1" a="1"/>
  <c r="AM1423" i="1" s="1"/>
  <c r="AM1424" i="1" a="1"/>
  <c r="AM1424" i="1" s="1"/>
  <c r="AM1425" i="1" a="1"/>
  <c r="AM1425" i="1" s="1"/>
  <c r="AM1426" i="1" a="1"/>
  <c r="AM1426" i="1"/>
  <c r="AM1427" i="1" a="1"/>
  <c r="AM1427" i="1" s="1"/>
  <c r="AM1428" i="1" a="1"/>
  <c r="AM1428" i="1" s="1"/>
  <c r="AM1429" i="1" a="1"/>
  <c r="AM1429" i="1" s="1"/>
  <c r="AM1430" i="1" a="1"/>
  <c r="AM1430" i="1"/>
  <c r="AM1431" i="1" a="1"/>
  <c r="AM1431" i="1" s="1"/>
  <c r="AM1432" i="1" a="1"/>
  <c r="AM1432" i="1" s="1"/>
  <c r="AM1433" i="1" a="1"/>
  <c r="AM1433" i="1" s="1"/>
  <c r="AM1434" i="1" a="1"/>
  <c r="AM1434" i="1"/>
  <c r="AM1435" i="1" a="1"/>
  <c r="AM1435" i="1" s="1"/>
  <c r="AM1436" i="1" a="1"/>
  <c r="AM1436" i="1"/>
  <c r="AM1437" i="1" a="1"/>
  <c r="AM1437" i="1" s="1"/>
  <c r="AM1438" i="1" a="1"/>
  <c r="AM1438" i="1"/>
  <c r="AM1439" i="1" a="1"/>
  <c r="AM1439" i="1" s="1"/>
  <c r="AM1440" i="1" a="1"/>
  <c r="AM1440" i="1" s="1"/>
  <c r="AM1441" i="1" a="1"/>
  <c r="AM1441" i="1" s="1"/>
  <c r="AM1442" i="1" a="1"/>
  <c r="AM1442" i="1"/>
  <c r="AM1443" i="1" a="1"/>
  <c r="AM1443" i="1" s="1"/>
  <c r="AM1444" i="1" a="1"/>
  <c r="AM1444" i="1"/>
  <c r="AM1445" i="1" a="1"/>
  <c r="AM1445" i="1" s="1"/>
  <c r="AM1446" i="1" a="1"/>
  <c r="AM1446" i="1"/>
  <c r="AM1447" i="1" a="1"/>
  <c r="AM1447" i="1" s="1"/>
  <c r="AM1448" i="1" a="1"/>
  <c r="AM1448" i="1" s="1"/>
  <c r="AM1449" i="1" a="1"/>
  <c r="AM1449" i="1" s="1"/>
  <c r="AM1450" i="1" a="1"/>
  <c r="AM1450" i="1"/>
  <c r="AM1451" i="1" a="1"/>
  <c r="AM1451" i="1" s="1"/>
  <c r="AM1452" i="1" a="1"/>
  <c r="AM1452" i="1"/>
  <c r="AM1453" i="1" a="1"/>
  <c r="AM1453" i="1" s="1"/>
  <c r="AM1454" i="1" a="1"/>
  <c r="AM1454" i="1"/>
  <c r="AM1455" i="1" a="1"/>
  <c r="AM1455" i="1" s="1"/>
  <c r="AM1456" i="1" a="1"/>
  <c r="AM1456" i="1" s="1"/>
  <c r="AM1457" i="1" a="1"/>
  <c r="AM1457" i="1" s="1"/>
  <c r="AM1458" i="1" a="1"/>
  <c r="AM1458" i="1"/>
  <c r="AM1459" i="1" a="1"/>
  <c r="AM1459" i="1" s="1"/>
  <c r="AM1460" i="1" a="1"/>
  <c r="AM1460" i="1"/>
  <c r="AM1461" i="1" a="1"/>
  <c r="AM1461" i="1" s="1"/>
  <c r="AM1462" i="1" a="1"/>
  <c r="AM1462" i="1"/>
  <c r="AM1463" i="1" a="1"/>
  <c r="AM1463" i="1" s="1"/>
  <c r="AM1464" i="1" a="1"/>
  <c r="AM1464" i="1" s="1"/>
  <c r="AM1465" i="1" a="1"/>
  <c r="AM1465" i="1" s="1"/>
  <c r="AM1466" i="1" a="1"/>
  <c r="AM1466" i="1"/>
  <c r="AM1467" i="1" a="1"/>
  <c r="AM1467" i="1" s="1"/>
  <c r="AM1468" i="1" a="1"/>
  <c r="AM1468" i="1"/>
  <c r="AM1469" i="1" a="1"/>
  <c r="AM1469" i="1" s="1"/>
  <c r="AM1470" i="1" a="1"/>
  <c r="AM1470" i="1"/>
  <c r="AM1471" i="1" a="1"/>
  <c r="AM1471" i="1" s="1"/>
  <c r="AN2"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K2"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3" i="1"/>
  <c r="AJ4" i="1"/>
  <c r="AJ5" i="1"/>
  <c r="AJ6" i="1"/>
  <c r="AJ7" i="1"/>
  <c r="AJ8" i="1"/>
  <c r="AJ9" i="1"/>
  <c r="AJ10"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J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<sst xmlns="http://schemas.openxmlformats.org/spreadsheetml/2006/main" count="13351" uniqueCount="92">
  <si>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</si>
  <si>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</si>
  <si>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</si>
  <si>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</si>
  <si>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</si>
  <si>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</si>
  <si>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</si>
  <si>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</si>
  <si>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</si>
  <si>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</si>
  <si>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</si>
  <si>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</si>
  <si>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</si>
  <si>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</si>
  <si>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</si>
  <si>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</si>
  <si>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</si>
  <si>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</si>
  <si>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</si>
  <si>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</si>
  <si>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</si>
  <si>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</si>
  <si>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</si>
  <si>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</si>
  <si>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</si>
  <si>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</si>
  <si>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</si>
  <si>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</si>
  <si>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</si>
  <si>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</si>
  <si>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</si>
  <si>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</si>
  <si>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</si>
  <si>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</si>
  <si>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</si>
  <si>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</si>
  <si>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</si>
  <si>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</si>
  <si>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</si>
  <si>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</si>
  <si>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</si>
  <si>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</si>
  <si>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</si>
  <si>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</si>
  <si>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</si>
  <si>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</si>
  <si>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</si>
  <si>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</si>
  <si>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</si>
  <si>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</si>
  <si>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</si>
  <si>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</si>
  <si>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</si>
  <si>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</si>
  <si>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</si>
  <si>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</si>
  <si>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</si>
  <si>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</si>
  <si>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</si>
  <si>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</si>
  <si>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</si>
  <si>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</si>
  <si>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Healthcare</t>
  </si>
  <si>
    <t>Operations</t>
  </si>
  <si>
    <t>Research</t>
  </si>
  <si>
    <t>Management</t>
  </si>
  <si>
    <t>JobFamily</t>
  </si>
  <si>
    <t>Is_Leaver</t>
  </si>
  <si>
    <t>Column1</t>
  </si>
  <si>
    <t>Column2</t>
  </si>
  <si>
    <t>LeaverCost</t>
  </si>
  <si>
    <t>Grand Total</t>
  </si>
  <si>
    <t>HeadCout</t>
  </si>
  <si>
    <t>No. of Employees</t>
  </si>
  <si>
    <t>Estimated Cost of Attrition</t>
  </si>
  <si>
    <t>Rate of Attrition(%)</t>
  </si>
  <si>
    <t>Job Group</t>
  </si>
  <si>
    <t>Employee's Left</t>
  </si>
  <si>
    <t>Attrition Rate(%)</t>
  </si>
  <si>
    <t>Job Family</t>
  </si>
  <si>
    <t>Estimated Cost</t>
  </si>
  <si>
    <t>Job Role</t>
  </si>
  <si>
    <t>Attrition Rate %</t>
  </si>
  <si>
    <t>Employee's in Department</t>
  </si>
  <si>
    <t>InCome Band</t>
  </si>
  <si>
    <t>3K-6K</t>
  </si>
  <si>
    <t>6K-9K</t>
  </si>
  <si>
    <t>Under 3K</t>
  </si>
  <si>
    <t>Average Monthly Income</t>
  </si>
  <si>
    <t>Total Employees</t>
  </si>
  <si>
    <t>No. of Employee's Left</t>
  </si>
  <si>
    <t>Tenure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</si>
</sst>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0" fontId="0" fillId="0" borderId="0" xfId="0" applyNumberFormat="1"/>
    <xf numFmtId="4" fontId="0" fillId="0" borderId="0" xfId="0" applyNumberFormat="1"/>
    <xf numFmtId="0" fontId="0" fillId="0" borderId="0" xfId="0" applyAlignment="1">
      <alignment horizontal="left" inden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 v.1.1.xlsx]Attrition Rate!PivotTable2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Rate of Attrition(%) </a:t>
            </a:r>
          </a:p>
        </c:rich>
      </c:tx>
      <c:layout>
        <c:manualLayout>
          <c:xMode val="edge"/>
          <c:yMode val="edge"/>
          <c:x val="0.32362489063867017"/>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solidFill>
              <a:schemeClr val="tx1"/>
            </a:solidFill>
          </a:ln>
          <a:effectLst/>
          <a:sp3d>
            <a:contourClr>
              <a:schemeClr val="tx1"/>
            </a:contourClr>
          </a:sp3d>
        </c:spPr>
      </c:pivotFmt>
    </c:pivotFmts>
    <c:view3D>
      <c:rotX val="15"/>
      <c:rotY val="20"/>
      <c:depthPercent val="100"/>
      <c:rAngAx val="1"/>
    </c:view3D>
    <c:floor>
      <c:thickness val="0"/>
      <c:spPr>
        <a:noFill/>
        <a:ln>
          <a:noFill/>
        </a:ln>
        <a:effectLst/>
        <a:sp3d/>
      </c:spPr>
    </c:floor>
    <c:sideWall>
      <c:thickness val="0"/>
      <c:spPr>
        <a:solidFill>
          <a:schemeClr val="bg2"/>
        </a:solidFill>
        <a:ln>
          <a:noFill/>
        </a:ln>
        <a:effectLst/>
        <a:sp3d/>
      </c:spPr>
    </c:sideWall>
    <c:backWall>
      <c:thickness val="0"/>
      <c:spPr>
        <a:solidFill>
          <a:schemeClr val="bg2"/>
        </a:solidFill>
        <a:ln>
          <a:noFill/>
        </a:ln>
        <a:effectLst/>
        <a:sp3d/>
      </c:spPr>
    </c:backWall>
    <c:plotArea>
      <c:layout>
        <c:manualLayout>
          <c:layoutTarget val="inner"/>
          <c:xMode val="edge"/>
          <c:yMode val="edge"/>
          <c:x val="0.11609492563429571"/>
          <c:y val="0.18458114610673665"/>
          <c:w val="0.84805314960629918"/>
          <c:h val="0.41559310294546514"/>
        </c:manualLayout>
      </c:layout>
      <c:bar3DChart>
        <c:barDir val="col"/>
        <c:grouping val="clustered"/>
        <c:varyColors val="0"/>
        <c:ser>
          <c:idx val="0"/>
          <c:order val="0"/>
          <c:tx>
            <c:strRef>
              <c:f>'Attrition Rate'!$B$3</c:f>
              <c:strCache>
                <c:ptCount val="1"/>
                <c:pt idx="0">
                  <c:v>Total</c:v>
                </c:pt>
              </c:strCache>
            </c:strRef>
          </c:tx>
          <c:spPr>
            <a:solidFill>
              <a:schemeClr val="accent1"/>
            </a:solidFill>
            <a:ln>
              <a:noFill/>
            </a:ln>
            <a:effectLst/>
            <a:sp3d/>
          </c:spPr>
          <c:invertIfNegative val="0"/>
          <c:dPt>
            <c:idx val="0"/>
            <c:invertIfNegative val="0"/>
            <c:bubble3D val="0"/>
            <c:spPr>
              <a:solidFill>
                <a:schemeClr val="tx2">
                  <a:lumMod val="75000"/>
                </a:schemeClr>
              </a:solidFill>
              <a:ln>
                <a:solidFill>
                  <a:schemeClr val="tx1"/>
                </a:solidFill>
              </a:ln>
              <a:effectLst/>
              <a:sp3d>
                <a:contourClr>
                  <a:schemeClr val="tx1"/>
                </a:contourClr>
              </a:sp3d>
            </c:spPr>
            <c:extLst>
              <c:ext xmlns:c16="http://schemas.microsoft.com/office/drawing/2014/chart" uri="{C3380CC4-5D6E-409C-BE32-E72D297353CC}">
                <c16:uniqueId val="{00000002-96DD-4422-8EE8-5213763CC4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Rate'!$A$4:$A$10</c:f>
              <c:strCache>
                <c:ptCount val="6"/>
                <c:pt idx="0">
                  <c:v>Human Resources</c:v>
                </c:pt>
                <c:pt idx="1">
                  <c:v>Sales</c:v>
                </c:pt>
                <c:pt idx="2">
                  <c:v>Research</c:v>
                </c:pt>
                <c:pt idx="3">
                  <c:v>Operations</c:v>
                </c:pt>
                <c:pt idx="4">
                  <c:v>Healthcare</c:v>
                </c:pt>
                <c:pt idx="5">
                  <c:v>Management</c:v>
                </c:pt>
              </c:strCache>
            </c:strRef>
          </c:cat>
          <c:val>
            <c:numRef>
              <c:f>'Attrition Rate'!$B$4:$B$10</c:f>
              <c:numCache>
                <c:formatCode>0.00%</c:formatCode>
                <c:ptCount val="6"/>
                <c:pt idx="0">
                  <c:v>0.23076923076923078</c:v>
                </c:pt>
                <c:pt idx="1">
                  <c:v>0.22004889975550121</c:v>
                </c:pt>
                <c:pt idx="2">
                  <c:v>0.17591125198098256</c:v>
                </c:pt>
                <c:pt idx="3">
                  <c:v>6.8965517241379309E-2</c:v>
                </c:pt>
                <c:pt idx="4">
                  <c:v>6.8702290076335881E-2</c:v>
                </c:pt>
                <c:pt idx="5">
                  <c:v>4.9019607843137254E-2</c:v>
                </c:pt>
              </c:numCache>
            </c:numRef>
          </c:val>
          <c:extLst>
            <c:ext xmlns:c16="http://schemas.microsoft.com/office/drawing/2014/chart" uri="{C3380CC4-5D6E-409C-BE32-E72D297353CC}">
              <c16:uniqueId val="{00000000-96DD-4422-8EE8-5213763CC4E7}"/>
            </c:ext>
          </c:extLst>
        </c:ser>
        <c:dLbls>
          <c:showLegendKey val="0"/>
          <c:showVal val="0"/>
          <c:showCatName val="0"/>
          <c:showSerName val="0"/>
          <c:showPercent val="0"/>
          <c:showBubbleSize val="0"/>
        </c:dLbls>
        <c:gapWidth val="150"/>
        <c:shape val="box"/>
        <c:axId val="974594096"/>
        <c:axId val="853488576"/>
        <c:axId val="0"/>
      </c:bar3DChart>
      <c:catAx>
        <c:axId val="974594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Family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488576"/>
        <c:crosses val="autoZero"/>
        <c:auto val="1"/>
        <c:lblAlgn val="ctr"/>
        <c:lblOffset val="100"/>
        <c:noMultiLvlLbl val="0"/>
      </c:catAx>
      <c:valAx>
        <c:axId val="85348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 rate in %</a:t>
                </a:r>
              </a:p>
            </c:rich>
          </c:tx>
          <c:layout>
            <c:manualLayout>
              <c:xMode val="edge"/>
              <c:yMode val="edge"/>
              <c:x val="1.9250437445319336E-2"/>
              <c:y val="0.2355070720326625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59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 v.1.1.xlsx]Estimated Cost of Attrition!PivotTable1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a:t>
            </a:r>
            <a:r>
              <a:rPr lang="en-US" baseline="0"/>
              <a:t> of Attrition per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'Estimated Cost of Attrition'!$B$3</c:f>
              <c:strCache>
                <c:ptCount val="1"/>
                <c:pt idx="0">
                  <c:v>Total</c:v>
                </c:pt>
              </c:strCache>
            </c:strRef>
          </c:tx>
          <c:dPt>
            <c:idx val="0"/>
            <c:bubble3D val="0"/>
            <c:explosion val="1"/>
            <c:spPr>
              <a:solidFill>
                <a:schemeClr val="accent1"/>
              </a:solidFill>
              <a:ln w="19050">
                <a:solidFill>
                  <a:schemeClr val="lt1"/>
                </a:solidFill>
              </a:ln>
              <a:effectLst/>
            </c:spPr>
            <c:extLst>
              <c:ext xmlns:c16="http://schemas.microsoft.com/office/drawing/2014/chart" uri="{C3380CC4-5D6E-409C-BE32-E72D297353CC}">
                <c16:uniqueId val="{00000007-8764-4BB7-8D30-36B2FB3F02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8764-4BB7-8D30-36B2FB3F02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8764-4BB7-8D30-36B2FB3F02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8764-4BB7-8D30-36B2FB3F02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8764-4BB7-8D30-36B2FB3F02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6-8764-4BB7-8D30-36B2FB3F02CB}"/>
              </c:ext>
            </c:extLst>
          </c:dPt>
          <c:cat>
            <c:strRef>
              <c:f>'Estimated Cost of Attrition'!$A$4:$A$10</c:f>
              <c:strCache>
                <c:ptCount val="6"/>
                <c:pt idx="0">
                  <c:v>Sales</c:v>
                </c:pt>
                <c:pt idx="1">
                  <c:v>Research</c:v>
                </c:pt>
                <c:pt idx="2">
                  <c:v>Management</c:v>
                </c:pt>
                <c:pt idx="3">
                  <c:v>Healthcare</c:v>
                </c:pt>
                <c:pt idx="4">
                  <c:v>Operations</c:v>
                </c:pt>
                <c:pt idx="5">
                  <c:v>Human Resources</c:v>
                </c:pt>
              </c:strCache>
            </c:strRef>
          </c:cat>
          <c:val>
            <c:numRef>
              <c:f>'Estimated Cost of Attrition'!$B$4:$B$10</c:f>
              <c:numCache>
                <c:formatCode>#,##0.00</c:formatCode>
                <c:ptCount val="6"/>
                <c:pt idx="0">
                  <c:v>9088362</c:v>
                </c:pt>
                <c:pt idx="1">
                  <c:v>6308406</c:v>
                </c:pt>
                <c:pt idx="2">
                  <c:v>1511766</c:v>
                </c:pt>
                <c:pt idx="3">
                  <c:v>1384812</c:v>
                </c:pt>
                <c:pt idx="4">
                  <c:v>1325790</c:v>
                </c:pt>
                <c:pt idx="5">
                  <c:v>802602</c:v>
                </c:pt>
              </c:numCache>
            </c:numRef>
          </c:val>
          <c:extLst>
            <c:ext xmlns:c16="http://schemas.microsoft.com/office/drawing/2014/chart" uri="{C3380CC4-5D6E-409C-BE32-E72D297353CC}">
              <c16:uniqueId val="{00000000-8764-4BB7-8D30-36B2FB3F02C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25400</xdr:colOff>
      <xdr:row>1</xdr:row>
      <xdr:rowOff>139700</xdr:rowOff>
    </xdr:from>
    <xdr:to>
      <xdr:col>7</xdr:col>
      <xdr:colOff>311150</xdr:colOff>
      <xdr:row>16</xdr:row>
      <xdr:rowOff>120650</xdr:rowOff>
    </xdr:to>
    <xdr:graphicFrame macro="">
      <xdr:nvGraphicFramePr>
        <xdr:cNvPr id="2" name="Chart 1">
          <a:extLst>
            <a:ext uri="{FF2B5EF4-FFF2-40B4-BE49-F238E27FC236}">
              <a16:creationId xmlns:a16="http://schemas.microsoft.com/office/drawing/2014/main" id="{B30C40EE-3A2D-C782-C7E7-8B629ED2F2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88900</xdr:colOff>
      <xdr:row>1</xdr:row>
      <xdr:rowOff>98425</xdr:rowOff>
    </xdr:from>
    <xdr:to>
      <xdr:col>7</xdr:col>
      <xdr:colOff>539750</xdr:colOff>
      <xdr:row>14</xdr:row>
      <xdr:rowOff>76200</xdr:rowOff>
    </xdr:to>
    <xdr:graphicFrame macro="">
      <xdr:nvGraphicFramePr>
        <xdr:cNvPr id="5" name="Chart 4">
          <a:extLst>
            <a:ext uri="{FF2B5EF4-FFF2-40B4-BE49-F238E27FC236}">
              <a16:creationId xmlns:a16="http://schemas.microsoft.com/office/drawing/2014/main" id="{ED4E800E-F0EC-8671-87B7-03515AADC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419100</xdr:colOff>
      <xdr:row>11</xdr:row>
      <xdr:rowOff>88901</xdr:rowOff>
    </xdr:from>
    <xdr:to>
      <xdr:col>5</xdr:col>
      <xdr:colOff>1130300</xdr:colOff>
      <xdr:row>16</xdr:row>
      <xdr:rowOff>95250</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2D72FD71-6F11-25E2-1119-E1A2C27198B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892800" y="2114551"/>
              <a:ext cx="1822450" cy="927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406400</xdr:colOff>
      <xdr:row>2</xdr:row>
      <xdr:rowOff>12701</xdr:rowOff>
    </xdr:from>
    <xdr:to>
      <xdr:col>5</xdr:col>
      <xdr:colOff>1123950</xdr:colOff>
      <xdr:row>11</xdr:row>
      <xdr:rowOff>50801</xdr:rowOff>
    </xdr:to>
    <mc:AlternateContent xmlns:mc="http://schemas.openxmlformats.org/markup-compatibility/2006">
      <mc:Choice xmlns:a14="http://schemas.microsoft.com/office/drawing/2010/main" Requires="a14">
        <xdr:graphicFrame macro="">
          <xdr:nvGraphicFramePr>
            <xdr:cNvPr id="3" name="JobLevel">
              <a:extLst>
                <a:ext uri="{FF2B5EF4-FFF2-40B4-BE49-F238E27FC236}">
                  <a16:creationId xmlns:a16="http://schemas.microsoft.com/office/drawing/2014/main" id="{386133C0-1BEC-627D-5051-45351B0FF9E7}"/>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dr:sp macro="" textlink="">
          <xdr:nvSpPr>
            <xdr:cNvPr id="0" name=""/>
            <xdr:cNvSpPr>
              <a:spLocks noTextEdit="1"/>
            </xdr:cNvSpPr>
          </xdr:nvSpPr>
          <xdr:spPr>
            <a:xfrm>
              <a:off x="5880100" y="381001"/>
              <a:ext cx="1828800"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857250</xdr:colOff>
      <xdr:row>1</xdr:row>
      <xdr:rowOff>171450</xdr:rowOff>
    </xdr:from>
    <xdr:to>
      <xdr:col>9</xdr:col>
      <xdr:colOff>184150</xdr:colOff>
      <xdr:row>11</xdr:row>
      <xdr:rowOff>177800</xdr:rowOff>
    </xdr:to>
    <mc:AlternateContent xmlns:mc="http://schemas.openxmlformats.org/markup-compatibility/2006">
      <mc:Choice xmlns:a14="http://schemas.microsoft.com/office/drawing/2010/main" Requires="a14">
        <xdr:graphicFrame macro="">
          <xdr:nvGraphicFramePr>
            <xdr:cNvPr id="5" name="JobSatisfaction">
              <a:extLst>
                <a:ext uri="{FF2B5EF4-FFF2-40B4-BE49-F238E27FC236}">
                  <a16:creationId xmlns:a16="http://schemas.microsoft.com/office/drawing/2014/main" id="{0D978632-84ED-286B-9FCA-6AE17818499F}"/>
                </a:ext>
              </a:extLst>
            </xdr:cNvPr>
            <xdr:cNvGraphicFramePr/>
          </xdr:nvGraphicFramePr>
          <xdr:xfrm>
            <a:off x="0" y="0"/>
            <a:ext cx="0" cy="0"/>
          </xdr:xfrm>
          <a:graphic>
            <a:graphicData uri="http://schemas.microsoft.com/office/drawing/2010/slicer">
              <sle:slicer xmlns:sle="http://schemas.microsoft.com/office/drawing/2010/slicer" name="JobSatisfaction"/>
            </a:graphicData>
          </a:graphic>
        </xdr:graphicFrame>
      </mc:Choice>
      <mc:Fallback>
        <xdr:sp macro="" textlink="">
          <xdr:nvSpPr>
            <xdr:cNvPr id="0" name=""/>
            <xdr:cNvSpPr>
              <a:spLocks noTextEdit="1"/>
            </xdr:cNvSpPr>
          </xdr:nvSpPr>
          <xdr:spPr>
            <a:xfrm>
              <a:off x="9836150" y="355600"/>
              <a:ext cx="1993900" cy="184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1270000</xdr:colOff>
      <xdr:row>1</xdr:row>
      <xdr:rowOff>171450</xdr:rowOff>
    </xdr:from>
    <xdr:to>
      <xdr:col>7</xdr:col>
      <xdr:colOff>704850</xdr:colOff>
      <xdr:row>15</xdr:row>
      <xdr:rowOff>117475</xdr:rowOff>
    </xdr:to>
    <mc:AlternateContent xmlns:mc="http://schemas.openxmlformats.org/markup-compatibility/2006">
      <mc:Choice xmlns:a14="http://schemas.microsoft.com/office/drawing/2010/main" Requires="a14">
        <xdr:graphicFrame macro="">
          <xdr:nvGraphicFramePr>
            <xdr:cNvPr id="6" name="JobRole">
              <a:extLst>
                <a:ext uri="{FF2B5EF4-FFF2-40B4-BE49-F238E27FC236}">
                  <a16:creationId xmlns:a16="http://schemas.microsoft.com/office/drawing/2014/main" id="{0C100B60-95F4-4299-A4E7-087FB65DF8F5}"/>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7854950" y="355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25400</xdr:colOff>
      <xdr:row>1</xdr:row>
      <xdr:rowOff>165101</xdr:rowOff>
    </xdr:from>
    <xdr:to>
      <xdr:col>9</xdr:col>
      <xdr:colOff>25400</xdr:colOff>
      <xdr:row>12</xdr:row>
      <xdr:rowOff>107951</xdr:rowOff>
    </xdr:to>
    <mc:AlternateContent xmlns:mc="http://schemas.openxmlformats.org/markup-compatibility/2006" xmlns:a14="http://schemas.microsoft.com/office/drawing/2010/main">
      <mc:Choice Requires="a14">
        <xdr:graphicFrame macro="">
          <xdr:nvGraphicFramePr>
            <xdr:cNvPr id="3" name="JobFamily">
              <a:extLst>
                <a:ext uri="{FF2B5EF4-FFF2-40B4-BE49-F238E27FC236}">
                  <a16:creationId xmlns:a16="http://schemas.microsoft.com/office/drawing/2014/main" id="{7CAF16CB-B644-473F-5579-F6B1CA847AE8}"/>
                </a:ext>
              </a:extLst>
            </xdr:cNvPr>
            <xdr:cNvGraphicFramePr/>
          </xdr:nvGraphicFramePr>
          <xdr:xfrm>
            <a:off x="0" y="0"/>
            <a:ext cx="0" cy="0"/>
          </xdr:xfrm>
          <a:graphic>
            <a:graphicData uri="http://schemas.microsoft.com/office/drawing/2010/slicer">
              <sle:slicer xmlns:sle="http://schemas.microsoft.com/office/drawing/2010/slicer" name="JobFamily"/>
            </a:graphicData>
          </a:graphic>
        </xdr:graphicFrame>
      </mc:Choice>
      <mc:Fallback xmlns="">
        <xdr:sp macro="" textlink="">
          <xdr:nvSpPr>
            <xdr:cNvPr id="0" name=""/>
            <xdr:cNvSpPr>
              <a:spLocks noTextEdit="1"/>
            </xdr:cNvSpPr>
          </xdr:nvSpPr>
          <xdr:spPr>
            <a:xfrm>
              <a:off x="6965950" y="349251"/>
              <a:ext cx="1828800" cy="1968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273050</xdr:colOff>
      <xdr:row>1</xdr:row>
      <xdr:rowOff>146050</xdr:rowOff>
    </xdr:from>
    <xdr:to>
      <xdr:col>12</xdr:col>
      <xdr:colOff>273050</xdr:colOff>
      <xdr:row>15</xdr:row>
      <xdr:rowOff>92075</xdr:rowOff>
    </xdr:to>
    <mc:AlternateContent xmlns:mc="http://schemas.openxmlformats.org/markup-compatibility/2006">
      <mc:Choice xmlns:a14="http://schemas.microsoft.com/office/drawing/2010/main" Requires="a14">
        <xdr:graphicFrame macro="">
          <xdr:nvGraphicFramePr>
            <xdr:cNvPr id="2" name="JobRole 1">
              <a:extLst>
                <a:ext uri="{FF2B5EF4-FFF2-40B4-BE49-F238E27FC236}">
                  <a16:creationId xmlns:a16="http://schemas.microsoft.com/office/drawing/2014/main" id="{E9AFB320-4214-E79E-C36E-53A89F36C7FA}"/>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8496300" y="330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10.422641666664" createdVersion="8" refreshedVersion="8" minRefreshableVersion="3" recordCount="1470" xr:uid="{716BEA82-0776-43A0-9AFC-3926FF5867EF}">
  <cacheSource type="worksheet">
    <worksheetSource ref="A1:AQ1471" sheet="WA_Fn-UseC_-HR-Employee-Attriti"/>
  </cacheSource>
  <cacheFields count="42">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JobFamily" numFmtId="0">
      <sharedItems count="6">
        <s v="Sales"/>
        <s v="Research"/>
        <s v="Operations"/>
        <s v="Healthcare"/>
        <s v="Management"/>
        <s v="Human Resources"/>
      </sharedItems>
    </cacheField>
    <cacheField name="Is_Leaver" numFmtId="0">
      <sharedItems containsSemiMixedTypes="0" containsString="0" containsNumber="1" containsInteger="1" minValue="0" maxValue="1"/>
    </cacheField>
    <cacheField name="LeaverCost" numFmtId="0">
      <sharedItems containsSemiMixedTypes="0" containsString="0" containsNumber="1" containsInteger="1" minValue="0" maxValue="357462"/>
    </cacheField>
    <cacheField name="HeadCout" numFmtId="0">
      <sharedItems containsSemiMixedTypes="0" containsString="0" containsNumber="1" containsInteger="1" minValue="1" maxValue="1"/>
    </cacheField>
    <cacheField name="Column1" numFmtId="0">
      <sharedItems containsBlank="1"/>
    </cacheField>
    <cacheField name="Column2" numFmtId="0">
      <sharedItems containsBlank="1"/>
    </cacheField>
    <cacheField name="Rate of Attrition" numFmtId="0" formula="Is_Leaver/HeadCout"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16.380240972219" createdVersion="8" refreshedVersion="8" minRefreshableVersion="3" recordCount="1470" xr:uid="{C78DCAFB-D130-4E53-B233-4B9A9B7B81C4}">
  <cacheSource type="worksheet">
    <worksheetSource name="Table1"/>
  </cacheSource>
  <cacheFields count="43">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JobFamily" numFmtId="0">
      <sharedItems count="6">
        <s v="Sales"/>
        <s v="Research"/>
        <s v="Operations"/>
        <s v="Healthcare"/>
        <s v="Management"/>
        <s v="Human Resources"/>
      </sharedItems>
    </cacheField>
    <cacheField name="Is_Leaver" numFmtId="0">
      <sharedItems containsSemiMixedTypes="0" containsString="0" containsNumber="1" containsInteger="1" minValue="0" maxValue="1"/>
    </cacheField>
    <cacheField name="LeaverCost" numFmtId="0">
      <sharedItems containsSemiMixedTypes="0" containsString="0" containsNumber="1" containsInteger="1" minValue="0" maxValue="357462"/>
    </cacheField>
    <cacheField name="InCome Band" numFmtId="0">
      <sharedItems count="5">
        <s v="3K-6K"/>
        <s v="Under 3K"/>
        <s v="9K-12K"/>
        <s v="12K+"/>
        <s v="6K-9K"/>
      </sharedItems>
    </cacheField>
    <cacheField name="HeadCout" numFmtId="0">
      <sharedItems containsSemiMixedTypes="0" containsString="0" containsNumber="1" containsInteger="1" minValue="1" maxValue="1"/>
    </cacheField>
    <cacheField name="Column1" numFmtId="0">
      <sharedItems containsBlank="1"/>
    </cacheField>
    <cacheField name="Column2" numFmtId="0">
      <sharedItems containsBlank="1"/>
    </cacheField>
    <cacheField name="Attrition Rate" numFmtId="0" formula="Is_Leaver/HeadCout" databaseField="0"/>
  </cacheFields>
  <extLst>
    <ext xmlns:x14="http://schemas.microsoft.com/office/spreadsheetml/2009/9/main" uri="{725AE2AE-9491-48be-B2B4-4EB974FC3084}">
      <x14:pivotCacheDefinition pivotCacheId="15948174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s v="Sales"/>
    <n v="1"/>
    <n v="2"/>
    <s v="Life Sciences"/>
    <n v="1"/>
    <n v="1"/>
    <n v="2"/>
    <s v="Female"/>
    <n v="94"/>
    <n v="3"/>
    <n v="2"/>
    <s v="Sales Executive"/>
    <n v="4"/>
    <s v="Single"/>
    <n v="5993"/>
    <n v="19479"/>
    <n v="8"/>
    <s v="Y"/>
    <s v="Yes"/>
    <n v="11"/>
    <n v="3"/>
    <n v="1"/>
    <n v="80"/>
    <n v="0"/>
    <n v="8"/>
    <n v="0"/>
    <n v="1"/>
    <n v="6"/>
    <n v="4"/>
    <n v="0"/>
    <n v="5"/>
    <x v="0"/>
    <n v="1"/>
    <n v="107874"/>
    <n v="1"/>
    <s v="Healthcare Representative"/>
    <s v="Healthcare"/>
  </r>
  <r>
    <n v="49"/>
    <s v="No"/>
    <s v="Travel_Frequently"/>
    <n v="279"/>
    <s v="Research &amp; Development"/>
    <n v="8"/>
    <n v="1"/>
    <s v="Life Sciences"/>
    <n v="1"/>
    <n v="2"/>
    <n v="3"/>
    <s v="Male"/>
    <n v="61"/>
    <n v="2"/>
    <n v="2"/>
    <s v="Research Scientist"/>
    <n v="2"/>
    <s v="Married"/>
    <n v="5130"/>
    <n v="24907"/>
    <n v="1"/>
    <s v="Y"/>
    <s v="No"/>
    <n v="23"/>
    <n v="4"/>
    <n v="4"/>
    <n v="80"/>
    <n v="1"/>
    <n v="10"/>
    <n v="3"/>
    <n v="3"/>
    <n v="10"/>
    <n v="7"/>
    <n v="1"/>
    <n v="7"/>
    <x v="1"/>
    <n v="0"/>
    <n v="0"/>
    <n v="1"/>
    <s v="Human Resources"/>
    <s v="Human Resources"/>
  </r>
  <r>
    <n v="37"/>
    <s v="Yes"/>
    <s v="Travel_Rarely"/>
    <n v="1373"/>
    <s v="Research &amp; Development"/>
    <n v="2"/>
    <n v="2"/>
    <s v="Other"/>
    <n v="1"/>
    <n v="4"/>
    <n v="4"/>
    <s v="Male"/>
    <n v="92"/>
    <n v="2"/>
    <n v="1"/>
    <s v="Laboratory Technician"/>
    <n v="3"/>
    <s v="Single"/>
    <n v="2090"/>
    <n v="2396"/>
    <n v="6"/>
    <s v="Y"/>
    <s v="Yes"/>
    <n v="15"/>
    <n v="3"/>
    <n v="2"/>
    <n v="80"/>
    <n v="0"/>
    <n v="7"/>
    <n v="3"/>
    <n v="3"/>
    <n v="0"/>
    <n v="0"/>
    <n v="0"/>
    <n v="0"/>
    <x v="1"/>
    <n v="1"/>
    <n v="37620"/>
    <n v="1"/>
    <s v="Laboratory Technician"/>
    <s v="Research"/>
  </r>
  <r>
    <n v="33"/>
    <s v="No"/>
    <s v="Travel_Frequently"/>
    <n v="1392"/>
    <s v="Research &amp; Development"/>
    <n v="3"/>
    <n v="4"/>
    <s v="Life Sciences"/>
    <n v="1"/>
    <n v="5"/>
    <n v="4"/>
    <s v="Female"/>
    <n v="56"/>
    <n v="3"/>
    <n v="1"/>
    <s v="Research Scientist"/>
    <n v="3"/>
    <s v="Married"/>
    <n v="2909"/>
    <n v="23159"/>
    <n v="1"/>
    <s v="Y"/>
    <s v="Yes"/>
    <n v="11"/>
    <n v="3"/>
    <n v="3"/>
    <n v="80"/>
    <n v="0"/>
    <n v="8"/>
    <n v="3"/>
    <n v="3"/>
    <n v="8"/>
    <n v="7"/>
    <n v="3"/>
    <n v="0"/>
    <x v="1"/>
    <n v="0"/>
    <n v="0"/>
    <n v="1"/>
    <s v="Manager"/>
    <s v="Management"/>
  </r>
  <r>
    <n v="27"/>
    <s v="No"/>
    <s v="Travel_Rarely"/>
    <n v="591"/>
    <s v="Research &amp; Development"/>
    <n v="2"/>
    <n v="1"/>
    <s v="Medical"/>
    <n v="1"/>
    <n v="7"/>
    <n v="1"/>
    <s v="Male"/>
    <n v="40"/>
    <n v="3"/>
    <n v="1"/>
    <s v="Laboratory Technician"/>
    <n v="2"/>
    <s v="Married"/>
    <n v="3468"/>
    <n v="16632"/>
    <n v="9"/>
    <s v="Y"/>
    <s v="No"/>
    <n v="12"/>
    <n v="3"/>
    <n v="4"/>
    <n v="80"/>
    <n v="1"/>
    <n v="6"/>
    <n v="3"/>
    <n v="3"/>
    <n v="2"/>
    <n v="2"/>
    <n v="2"/>
    <n v="2"/>
    <x v="1"/>
    <n v="0"/>
    <n v="0"/>
    <n v="1"/>
    <s v="Manufacturing Director"/>
    <s v="Operations"/>
  </r>
  <r>
    <n v="32"/>
    <s v="No"/>
    <s v="Travel_Frequently"/>
    <n v="1005"/>
    <s v="Research &amp; Development"/>
    <n v="2"/>
    <n v="2"/>
    <s v="Life Sciences"/>
    <n v="1"/>
    <n v="8"/>
    <n v="4"/>
    <s v="Male"/>
    <n v="79"/>
    <n v="3"/>
    <n v="1"/>
    <s v="Laboratory Technician"/>
    <n v="4"/>
    <s v="Single"/>
    <n v="3068"/>
    <n v="11864"/>
    <n v="0"/>
    <s v="Y"/>
    <s v="No"/>
    <n v="13"/>
    <n v="3"/>
    <n v="3"/>
    <n v="80"/>
    <n v="0"/>
    <n v="8"/>
    <n v="2"/>
    <n v="2"/>
    <n v="7"/>
    <n v="7"/>
    <n v="3"/>
    <n v="6"/>
    <x v="1"/>
    <n v="0"/>
    <n v="0"/>
    <n v="1"/>
    <s v="Research Scientist"/>
    <s v="Research"/>
  </r>
  <r>
    <n v="59"/>
    <s v="No"/>
    <s v="Travel_Rarely"/>
    <n v="1324"/>
    <s v="Research &amp; Development"/>
    <n v="3"/>
    <n v="3"/>
    <s v="Medical"/>
    <n v="1"/>
    <n v="10"/>
    <n v="3"/>
    <s v="Female"/>
    <n v="81"/>
    <n v="4"/>
    <n v="1"/>
    <s v="Laboratory Technician"/>
    <n v="1"/>
    <s v="Married"/>
    <n v="2670"/>
    <n v="9964"/>
    <n v="4"/>
    <s v="Y"/>
    <s v="Yes"/>
    <n v="20"/>
    <n v="4"/>
    <n v="1"/>
    <n v="80"/>
    <n v="3"/>
    <n v="12"/>
    <n v="3"/>
    <n v="2"/>
    <n v="1"/>
    <n v="0"/>
    <n v="0"/>
    <n v="0"/>
    <x v="1"/>
    <n v="0"/>
    <n v="0"/>
    <n v="1"/>
    <s v="Research Director"/>
    <s v="Research"/>
  </r>
  <r>
    <n v="30"/>
    <s v="No"/>
    <s v="Travel_Rarely"/>
    <n v="1358"/>
    <s v="Research &amp; Development"/>
    <n v="24"/>
    <n v="1"/>
    <s v="Life Sciences"/>
    <n v="1"/>
    <n v="11"/>
    <n v="4"/>
    <s v="Male"/>
    <n v="67"/>
    <n v="3"/>
    <n v="1"/>
    <s v="Laboratory Technician"/>
    <n v="3"/>
    <s v="Divorced"/>
    <n v="2693"/>
    <n v="13335"/>
    <n v="1"/>
    <s v="Y"/>
    <s v="No"/>
    <n v="22"/>
    <n v="4"/>
    <n v="2"/>
    <n v="80"/>
    <n v="1"/>
    <n v="1"/>
    <n v="2"/>
    <n v="3"/>
    <n v="1"/>
    <n v="0"/>
    <n v="0"/>
    <n v="0"/>
    <x v="1"/>
    <n v="0"/>
    <n v="0"/>
    <n v="1"/>
    <s v="Sales Executive"/>
    <s v="Sales"/>
  </r>
  <r>
    <n v="38"/>
    <s v="No"/>
    <s v="Travel_Frequently"/>
    <n v="216"/>
    <s v="Research &amp; Development"/>
    <n v="23"/>
    <n v="3"/>
    <s v="Life Sciences"/>
    <n v="1"/>
    <n v="12"/>
    <n v="4"/>
    <s v="Male"/>
    <n v="44"/>
    <n v="2"/>
    <n v="3"/>
    <s v="Manufacturing Director"/>
    <n v="3"/>
    <s v="Single"/>
    <n v="9526"/>
    <n v="8787"/>
    <n v="0"/>
    <s v="Y"/>
    <s v="No"/>
    <n v="21"/>
    <n v="4"/>
    <n v="2"/>
    <n v="80"/>
    <n v="0"/>
    <n v="10"/>
    <n v="2"/>
    <n v="3"/>
    <n v="9"/>
    <n v="7"/>
    <n v="1"/>
    <n v="8"/>
    <x v="2"/>
    <n v="0"/>
    <n v="0"/>
    <n v="1"/>
    <s v="Sales Representative"/>
    <s v="Sales"/>
  </r>
  <r>
    <n v="36"/>
    <s v="No"/>
    <s v="Travel_Rarely"/>
    <n v="1299"/>
    <s v="Research &amp; Development"/>
    <n v="27"/>
    <n v="3"/>
    <s v="Medical"/>
    <n v="1"/>
    <n v="13"/>
    <n v="3"/>
    <s v="Male"/>
    <n v="94"/>
    <n v="3"/>
    <n v="2"/>
    <s v="Healthcare Representative"/>
    <n v="3"/>
    <s v="Married"/>
    <n v="5237"/>
    <n v="16577"/>
    <n v="6"/>
    <s v="Y"/>
    <s v="No"/>
    <n v="13"/>
    <n v="3"/>
    <n v="2"/>
    <n v="80"/>
    <n v="2"/>
    <n v="17"/>
    <n v="3"/>
    <n v="2"/>
    <n v="7"/>
    <n v="7"/>
    <n v="7"/>
    <n v="7"/>
    <x v="3"/>
    <n v="0"/>
    <n v="0"/>
    <n v="1"/>
    <m/>
    <m/>
  </r>
  <r>
    <n v="35"/>
    <s v="No"/>
    <s v="Travel_Rarely"/>
    <n v="809"/>
    <s v="Research &amp; Development"/>
    <n v="16"/>
    <n v="3"/>
    <s v="Medical"/>
    <n v="1"/>
    <n v="14"/>
    <n v="1"/>
    <s v="Male"/>
    <n v="84"/>
    <n v="4"/>
    <n v="1"/>
    <s v="Laboratory Technician"/>
    <n v="2"/>
    <s v="Married"/>
    <n v="2426"/>
    <n v="16479"/>
    <n v="0"/>
    <s v="Y"/>
    <s v="No"/>
    <n v="13"/>
    <n v="3"/>
    <n v="3"/>
    <n v="80"/>
    <n v="1"/>
    <n v="6"/>
    <n v="5"/>
    <n v="3"/>
    <n v="5"/>
    <n v="4"/>
    <n v="0"/>
    <n v="3"/>
    <x v="1"/>
    <n v="0"/>
    <n v="0"/>
    <n v="1"/>
    <m/>
    <m/>
  </r>
  <r>
    <n v="29"/>
    <s v="No"/>
    <s v="Travel_Rarely"/>
    <n v="153"/>
    <s v="Research &amp; Development"/>
    <n v="15"/>
    <n v="2"/>
    <s v="Life Sciences"/>
    <n v="1"/>
    <n v="15"/>
    <n v="4"/>
    <s v="Female"/>
    <n v="49"/>
    <n v="2"/>
    <n v="2"/>
    <s v="Laboratory Technician"/>
    <n v="3"/>
    <s v="Single"/>
    <n v="4193"/>
    <n v="12682"/>
    <n v="0"/>
    <s v="Y"/>
    <s v="Yes"/>
    <n v="12"/>
    <n v="3"/>
    <n v="4"/>
    <n v="80"/>
    <n v="0"/>
    <n v="10"/>
    <n v="3"/>
    <n v="3"/>
    <n v="9"/>
    <n v="5"/>
    <n v="0"/>
    <n v="8"/>
    <x v="1"/>
    <n v="0"/>
    <n v="0"/>
    <n v="1"/>
    <m/>
    <m/>
  </r>
  <r>
    <n v="31"/>
    <s v="No"/>
    <s v="Travel_Rarely"/>
    <n v="670"/>
    <s v="Research &amp; Development"/>
    <n v="26"/>
    <n v="1"/>
    <s v="Life Sciences"/>
    <n v="1"/>
    <n v="16"/>
    <n v="1"/>
    <s v="Male"/>
    <n v="31"/>
    <n v="3"/>
    <n v="1"/>
    <s v="Research Scientist"/>
    <n v="3"/>
    <s v="Divorced"/>
    <n v="2911"/>
    <n v="15170"/>
    <n v="1"/>
    <s v="Y"/>
    <s v="No"/>
    <n v="17"/>
    <n v="3"/>
    <n v="4"/>
    <n v="80"/>
    <n v="1"/>
    <n v="5"/>
    <n v="1"/>
    <n v="2"/>
    <n v="5"/>
    <n v="2"/>
    <n v="4"/>
    <n v="3"/>
    <x v="1"/>
    <n v="0"/>
    <n v="0"/>
    <n v="1"/>
    <m/>
    <m/>
  </r>
  <r>
    <n v="34"/>
    <s v="No"/>
    <s v="Travel_Rarely"/>
    <n v="1346"/>
    <s v="Research &amp; Development"/>
    <n v="19"/>
    <n v="2"/>
    <s v="Medical"/>
    <n v="1"/>
    <n v="18"/>
    <n v="2"/>
    <s v="Male"/>
    <n v="93"/>
    <n v="3"/>
    <n v="1"/>
    <s v="Laboratory Technician"/>
    <n v="4"/>
    <s v="Divorced"/>
    <n v="2661"/>
    <n v="8758"/>
    <n v="0"/>
    <s v="Y"/>
    <s v="No"/>
    <n v="11"/>
    <n v="3"/>
    <n v="3"/>
    <n v="80"/>
    <n v="1"/>
    <n v="3"/>
    <n v="2"/>
    <n v="3"/>
    <n v="2"/>
    <n v="2"/>
    <n v="1"/>
    <n v="2"/>
    <x v="1"/>
    <n v="0"/>
    <n v="0"/>
    <n v="1"/>
    <m/>
    <m/>
  </r>
  <r>
    <n v="28"/>
    <s v="Yes"/>
    <s v="Travel_Rarely"/>
    <n v="103"/>
    <s v="Research &amp; Development"/>
    <n v="24"/>
    <n v="3"/>
    <s v="Life Sciences"/>
    <n v="1"/>
    <n v="19"/>
    <n v="3"/>
    <s v="Male"/>
    <n v="50"/>
    <n v="2"/>
    <n v="1"/>
    <s v="Laboratory Technician"/>
    <n v="3"/>
    <s v="Single"/>
    <n v="2028"/>
    <n v="12947"/>
    <n v="5"/>
    <s v="Y"/>
    <s v="Yes"/>
    <n v="14"/>
    <n v="3"/>
    <n v="2"/>
    <n v="80"/>
    <n v="0"/>
    <n v="6"/>
    <n v="4"/>
    <n v="3"/>
    <n v="4"/>
    <n v="2"/>
    <n v="0"/>
    <n v="3"/>
    <x v="1"/>
    <n v="1"/>
    <n v="36504"/>
    <n v="1"/>
    <m/>
    <m/>
  </r>
  <r>
    <n v="29"/>
    <s v="No"/>
    <s v="Travel_Rarely"/>
    <n v="1389"/>
    <s v="Research &amp; Development"/>
    <n v="21"/>
    <n v="4"/>
    <s v="Life Sciences"/>
    <n v="1"/>
    <n v="20"/>
    <n v="2"/>
    <s v="Female"/>
    <n v="51"/>
    <n v="4"/>
    <n v="3"/>
    <s v="Manufacturing Director"/>
    <n v="1"/>
    <s v="Divorced"/>
    <n v="9980"/>
    <n v="10195"/>
    <n v="1"/>
    <s v="Y"/>
    <s v="No"/>
    <n v="11"/>
    <n v="3"/>
    <n v="3"/>
    <n v="80"/>
    <n v="1"/>
    <n v="10"/>
    <n v="1"/>
    <n v="3"/>
    <n v="10"/>
    <n v="9"/>
    <n v="8"/>
    <n v="8"/>
    <x v="2"/>
    <n v="0"/>
    <n v="0"/>
    <n v="1"/>
    <m/>
    <m/>
  </r>
  <r>
    <n v="32"/>
    <s v="No"/>
    <s v="Travel_Rarely"/>
    <n v="334"/>
    <s v="Research &amp; Development"/>
    <n v="5"/>
    <n v="2"/>
    <s v="Life Sciences"/>
    <n v="1"/>
    <n v="21"/>
    <n v="1"/>
    <s v="Male"/>
    <n v="80"/>
    <n v="4"/>
    <n v="1"/>
    <s v="Research Scientist"/>
    <n v="2"/>
    <s v="Divorced"/>
    <n v="3298"/>
    <n v="15053"/>
    <n v="0"/>
    <s v="Y"/>
    <s v="Yes"/>
    <n v="12"/>
    <n v="3"/>
    <n v="4"/>
    <n v="80"/>
    <n v="2"/>
    <n v="7"/>
    <n v="5"/>
    <n v="2"/>
    <n v="6"/>
    <n v="2"/>
    <n v="0"/>
    <n v="5"/>
    <x v="1"/>
    <n v="0"/>
    <n v="0"/>
    <n v="1"/>
    <m/>
    <m/>
  </r>
  <r>
    <n v="22"/>
    <s v="No"/>
    <s v="Non-Travel"/>
    <n v="1123"/>
    <s v="Research &amp; Development"/>
    <n v="16"/>
    <n v="2"/>
    <s v="Medical"/>
    <n v="1"/>
    <n v="22"/>
    <n v="4"/>
    <s v="Male"/>
    <n v="96"/>
    <n v="4"/>
    <n v="1"/>
    <s v="Laboratory Technician"/>
    <n v="4"/>
    <s v="Divorced"/>
    <n v="2935"/>
    <n v="7324"/>
    <n v="1"/>
    <s v="Y"/>
    <s v="Yes"/>
    <n v="13"/>
    <n v="3"/>
    <n v="2"/>
    <n v="80"/>
    <n v="2"/>
    <n v="1"/>
    <n v="2"/>
    <n v="2"/>
    <n v="1"/>
    <n v="0"/>
    <n v="0"/>
    <n v="0"/>
    <x v="1"/>
    <n v="0"/>
    <n v="0"/>
    <n v="1"/>
    <m/>
    <m/>
  </r>
  <r>
    <n v="53"/>
    <s v="No"/>
    <s v="Travel_Rarely"/>
    <n v="1219"/>
    <s v="Sales"/>
    <n v="2"/>
    <n v="4"/>
    <s v="Life Sciences"/>
    <n v="1"/>
    <n v="23"/>
    <n v="1"/>
    <s v="Female"/>
    <n v="78"/>
    <n v="2"/>
    <n v="4"/>
    <s v="Manager"/>
    <n v="4"/>
    <s v="Married"/>
    <n v="15427"/>
    <n v="22021"/>
    <n v="2"/>
    <s v="Y"/>
    <s v="No"/>
    <n v="16"/>
    <n v="3"/>
    <n v="3"/>
    <n v="80"/>
    <n v="0"/>
    <n v="31"/>
    <n v="3"/>
    <n v="3"/>
    <n v="25"/>
    <n v="8"/>
    <n v="3"/>
    <n v="7"/>
    <x v="4"/>
    <n v="0"/>
    <n v="0"/>
    <n v="1"/>
    <m/>
    <m/>
  </r>
  <r>
    <n v="38"/>
    <s v="No"/>
    <s v="Travel_Rarely"/>
    <n v="371"/>
    <s v="Research &amp; Development"/>
    <n v="2"/>
    <n v="3"/>
    <s v="Life Sciences"/>
    <n v="1"/>
    <n v="24"/>
    <n v="4"/>
    <s v="Male"/>
    <n v="45"/>
    <n v="3"/>
    <n v="1"/>
    <s v="Research Scientist"/>
    <n v="4"/>
    <s v="Single"/>
    <n v="3944"/>
    <n v="4306"/>
    <n v="5"/>
    <s v="Y"/>
    <s v="Yes"/>
    <n v="11"/>
    <n v="3"/>
    <n v="3"/>
    <n v="80"/>
    <n v="0"/>
    <n v="6"/>
    <n v="3"/>
    <n v="3"/>
    <n v="3"/>
    <n v="2"/>
    <n v="1"/>
    <n v="2"/>
    <x v="1"/>
    <n v="0"/>
    <n v="0"/>
    <n v="1"/>
    <m/>
    <m/>
  </r>
  <r>
    <n v="24"/>
    <s v="No"/>
    <s v="Non-Travel"/>
    <n v="673"/>
    <s v="Research &amp; Development"/>
    <n v="11"/>
    <n v="2"/>
    <s v="Other"/>
    <n v="1"/>
    <n v="26"/>
    <n v="1"/>
    <s v="Female"/>
    <n v="96"/>
    <n v="4"/>
    <n v="2"/>
    <s v="Manufacturing Director"/>
    <n v="3"/>
    <s v="Divorced"/>
    <n v="4011"/>
    <n v="8232"/>
    <n v="0"/>
    <s v="Y"/>
    <s v="No"/>
    <n v="18"/>
    <n v="3"/>
    <n v="4"/>
    <n v="80"/>
    <n v="1"/>
    <n v="5"/>
    <n v="5"/>
    <n v="2"/>
    <n v="4"/>
    <n v="2"/>
    <n v="1"/>
    <n v="3"/>
    <x v="2"/>
    <n v="0"/>
    <n v="0"/>
    <n v="1"/>
    <m/>
    <m/>
  </r>
  <r>
    <n v="36"/>
    <s v="Yes"/>
    <s v="Travel_Rarely"/>
    <n v="1218"/>
    <s v="Sales"/>
    <n v="9"/>
    <n v="4"/>
    <s v="Life Sciences"/>
    <n v="1"/>
    <n v="27"/>
    <n v="3"/>
    <s v="Male"/>
    <n v="82"/>
    <n v="2"/>
    <n v="1"/>
    <s v="Sales Representative"/>
    <n v="1"/>
    <s v="Single"/>
    <n v="3407"/>
    <n v="6986"/>
    <n v="7"/>
    <s v="Y"/>
    <s v="No"/>
    <n v="23"/>
    <n v="4"/>
    <n v="2"/>
    <n v="80"/>
    <n v="0"/>
    <n v="10"/>
    <n v="4"/>
    <n v="3"/>
    <n v="5"/>
    <n v="3"/>
    <n v="0"/>
    <n v="3"/>
    <x v="0"/>
    <n v="1"/>
    <n v="61326"/>
    <n v="1"/>
    <m/>
    <m/>
  </r>
  <r>
    <n v="34"/>
    <s v="No"/>
    <s v="Travel_Rarely"/>
    <n v="419"/>
    <s v="Research &amp; Development"/>
    <n v="7"/>
    <n v="4"/>
    <s v="Life Sciences"/>
    <n v="1"/>
    <n v="28"/>
    <n v="1"/>
    <s v="Female"/>
    <n v="53"/>
    <n v="3"/>
    <n v="3"/>
    <s v="Research Director"/>
    <n v="2"/>
    <s v="Single"/>
    <n v="11994"/>
    <n v="21293"/>
    <n v="0"/>
    <s v="Y"/>
    <s v="No"/>
    <n v="11"/>
    <n v="3"/>
    <n v="3"/>
    <n v="80"/>
    <n v="0"/>
    <n v="13"/>
    <n v="4"/>
    <n v="3"/>
    <n v="12"/>
    <n v="6"/>
    <n v="2"/>
    <n v="11"/>
    <x v="1"/>
    <n v="0"/>
    <n v="0"/>
    <n v="1"/>
    <m/>
    <m/>
  </r>
  <r>
    <n v="21"/>
    <s v="No"/>
    <s v="Travel_Rarely"/>
    <n v="391"/>
    <s v="Research &amp; Development"/>
    <n v="15"/>
    <n v="2"/>
    <s v="Life Sciences"/>
    <n v="1"/>
    <n v="30"/>
    <n v="3"/>
    <s v="Male"/>
    <n v="96"/>
    <n v="3"/>
    <n v="1"/>
    <s v="Research Scientist"/>
    <n v="4"/>
    <s v="Single"/>
    <n v="1232"/>
    <n v="19281"/>
    <n v="1"/>
    <s v="Y"/>
    <s v="No"/>
    <n v="14"/>
    <n v="3"/>
    <n v="4"/>
    <n v="80"/>
    <n v="0"/>
    <n v="0"/>
    <n v="6"/>
    <n v="3"/>
    <n v="0"/>
    <n v="0"/>
    <n v="0"/>
    <n v="0"/>
    <x v="1"/>
    <n v="0"/>
    <n v="0"/>
    <n v="1"/>
    <m/>
    <m/>
  </r>
  <r>
    <n v="34"/>
    <s v="Yes"/>
    <s v="Travel_Rarely"/>
    <n v="699"/>
    <s v="Research &amp; Development"/>
    <n v="6"/>
    <n v="1"/>
    <s v="Medical"/>
    <n v="1"/>
    <n v="31"/>
    <n v="2"/>
    <s v="Male"/>
    <n v="83"/>
    <n v="3"/>
    <n v="1"/>
    <s v="Research Scientist"/>
    <n v="1"/>
    <s v="Single"/>
    <n v="2960"/>
    <n v="17102"/>
    <n v="2"/>
    <s v="Y"/>
    <s v="No"/>
    <n v="11"/>
    <n v="3"/>
    <n v="3"/>
    <n v="80"/>
    <n v="0"/>
    <n v="8"/>
    <n v="2"/>
    <n v="3"/>
    <n v="4"/>
    <n v="2"/>
    <n v="1"/>
    <n v="3"/>
    <x v="1"/>
    <n v="1"/>
    <n v="53280"/>
    <n v="1"/>
    <m/>
    <m/>
  </r>
  <r>
    <n v="53"/>
    <s v="No"/>
    <s v="Travel_Rarely"/>
    <n v="1282"/>
    <s v="Research &amp; Development"/>
    <n v="5"/>
    <n v="3"/>
    <s v="Other"/>
    <n v="1"/>
    <n v="32"/>
    <n v="3"/>
    <s v="Female"/>
    <n v="58"/>
    <n v="3"/>
    <n v="5"/>
    <s v="Manager"/>
    <n v="3"/>
    <s v="Divorced"/>
    <n v="19094"/>
    <n v="10735"/>
    <n v="4"/>
    <s v="Y"/>
    <s v="No"/>
    <n v="11"/>
    <n v="3"/>
    <n v="4"/>
    <n v="80"/>
    <n v="1"/>
    <n v="26"/>
    <n v="3"/>
    <n v="2"/>
    <n v="14"/>
    <n v="13"/>
    <n v="4"/>
    <n v="8"/>
    <x v="4"/>
    <n v="0"/>
    <n v="0"/>
    <n v="1"/>
    <m/>
    <m/>
  </r>
  <r>
    <n v="32"/>
    <s v="Yes"/>
    <s v="Travel_Frequently"/>
    <n v="1125"/>
    <s v="Research &amp; Development"/>
    <n v="16"/>
    <n v="1"/>
    <s v="Life Sciences"/>
    <n v="1"/>
    <n v="33"/>
    <n v="2"/>
    <s v="Female"/>
    <n v="72"/>
    <n v="1"/>
    <n v="1"/>
    <s v="Research Scientist"/>
    <n v="1"/>
    <s v="Single"/>
    <n v="3919"/>
    <n v="4681"/>
    <n v="1"/>
    <s v="Y"/>
    <s v="Yes"/>
    <n v="22"/>
    <n v="4"/>
    <n v="2"/>
    <n v="80"/>
    <n v="0"/>
    <n v="10"/>
    <n v="5"/>
    <n v="3"/>
    <n v="10"/>
    <n v="2"/>
    <n v="6"/>
    <n v="7"/>
    <x v="1"/>
    <n v="1"/>
    <n v="70542"/>
    <n v="1"/>
    <m/>
    <m/>
  </r>
  <r>
    <n v="42"/>
    <s v="No"/>
    <s v="Travel_Rarely"/>
    <n v="691"/>
    <s v="Sales"/>
    <n v="8"/>
    <n v="4"/>
    <s v="Marketing"/>
    <n v="1"/>
    <n v="35"/>
    <n v="3"/>
    <s v="Male"/>
    <n v="48"/>
    <n v="3"/>
    <n v="2"/>
    <s v="Sales Executive"/>
    <n v="2"/>
    <s v="Married"/>
    <n v="6825"/>
    <n v="21173"/>
    <n v="0"/>
    <s v="Y"/>
    <s v="No"/>
    <n v="11"/>
    <n v="3"/>
    <n v="4"/>
    <n v="80"/>
    <n v="1"/>
    <n v="10"/>
    <n v="2"/>
    <n v="3"/>
    <n v="9"/>
    <n v="7"/>
    <n v="4"/>
    <n v="2"/>
    <x v="0"/>
    <n v="0"/>
    <n v="0"/>
    <n v="1"/>
    <m/>
    <m/>
  </r>
  <r>
    <n v="44"/>
    <s v="No"/>
    <s v="Travel_Rarely"/>
    <n v="477"/>
    <s v="Research &amp; Development"/>
    <n v="7"/>
    <n v="4"/>
    <s v="Medical"/>
    <n v="1"/>
    <n v="36"/>
    <n v="1"/>
    <s v="Female"/>
    <n v="42"/>
    <n v="2"/>
    <n v="3"/>
    <s v="Healthcare Representative"/>
    <n v="4"/>
    <s v="Married"/>
    <n v="10248"/>
    <n v="2094"/>
    <n v="3"/>
    <s v="Y"/>
    <s v="No"/>
    <n v="14"/>
    <n v="3"/>
    <n v="4"/>
    <n v="80"/>
    <n v="1"/>
    <n v="24"/>
    <n v="4"/>
    <n v="3"/>
    <n v="22"/>
    <n v="6"/>
    <n v="5"/>
    <n v="17"/>
    <x v="3"/>
    <n v="0"/>
    <n v="0"/>
    <n v="1"/>
    <m/>
    <m/>
  </r>
  <r>
    <n v="46"/>
    <s v="No"/>
    <s v="Travel_Rarely"/>
    <n v="705"/>
    <s v="Sales"/>
    <n v="2"/>
    <n v="4"/>
    <s v="Marketing"/>
    <n v="1"/>
    <n v="38"/>
    <n v="2"/>
    <s v="Female"/>
    <n v="83"/>
    <n v="3"/>
    <n v="5"/>
    <s v="Manager"/>
    <n v="1"/>
    <s v="Single"/>
    <n v="18947"/>
    <n v="22822"/>
    <n v="3"/>
    <s v="Y"/>
    <s v="No"/>
    <n v="12"/>
    <n v="3"/>
    <n v="4"/>
    <n v="80"/>
    <n v="0"/>
    <n v="22"/>
    <n v="2"/>
    <n v="2"/>
    <n v="2"/>
    <n v="2"/>
    <n v="2"/>
    <n v="1"/>
    <x v="4"/>
    <n v="0"/>
    <n v="0"/>
    <n v="1"/>
    <m/>
    <m/>
  </r>
  <r>
    <n v="33"/>
    <s v="No"/>
    <s v="Travel_Rarely"/>
    <n v="924"/>
    <s v="Research &amp; Development"/>
    <n v="2"/>
    <n v="3"/>
    <s v="Medical"/>
    <n v="1"/>
    <n v="39"/>
    <n v="3"/>
    <s v="Male"/>
    <n v="78"/>
    <n v="3"/>
    <n v="1"/>
    <s v="Laboratory Technician"/>
    <n v="4"/>
    <s v="Single"/>
    <n v="2496"/>
    <n v="6670"/>
    <n v="4"/>
    <s v="Y"/>
    <s v="No"/>
    <n v="11"/>
    <n v="3"/>
    <n v="4"/>
    <n v="80"/>
    <n v="0"/>
    <n v="7"/>
    <n v="3"/>
    <n v="3"/>
    <n v="1"/>
    <n v="1"/>
    <n v="0"/>
    <n v="0"/>
    <x v="1"/>
    <n v="0"/>
    <n v="0"/>
    <n v="1"/>
    <m/>
    <m/>
  </r>
  <r>
    <n v="44"/>
    <s v="No"/>
    <s v="Travel_Rarely"/>
    <n v="1459"/>
    <s v="Research &amp; Development"/>
    <n v="10"/>
    <n v="4"/>
    <s v="Other"/>
    <n v="1"/>
    <n v="40"/>
    <n v="4"/>
    <s v="Male"/>
    <n v="41"/>
    <n v="3"/>
    <n v="2"/>
    <s v="Healthcare Representative"/>
    <n v="4"/>
    <s v="Married"/>
    <n v="6465"/>
    <n v="19121"/>
    <n v="2"/>
    <s v="Y"/>
    <s v="Yes"/>
    <n v="13"/>
    <n v="3"/>
    <n v="4"/>
    <n v="80"/>
    <n v="0"/>
    <n v="9"/>
    <n v="5"/>
    <n v="4"/>
    <n v="4"/>
    <n v="2"/>
    <n v="1"/>
    <n v="3"/>
    <x v="3"/>
    <n v="0"/>
    <n v="0"/>
    <n v="1"/>
    <m/>
    <m/>
  </r>
  <r>
    <n v="30"/>
    <s v="No"/>
    <s v="Travel_Rarely"/>
    <n v="125"/>
    <s v="Research &amp; Development"/>
    <n v="9"/>
    <n v="2"/>
    <s v="Medical"/>
    <n v="1"/>
    <n v="41"/>
    <n v="4"/>
    <s v="Male"/>
    <n v="83"/>
    <n v="2"/>
    <n v="1"/>
    <s v="Laboratory Technician"/>
    <n v="3"/>
    <s v="Single"/>
    <n v="2206"/>
    <n v="16117"/>
    <n v="1"/>
    <s v="Y"/>
    <s v="No"/>
    <n v="13"/>
    <n v="3"/>
    <n v="1"/>
    <n v="80"/>
    <n v="0"/>
    <n v="10"/>
    <n v="5"/>
    <n v="3"/>
    <n v="10"/>
    <n v="0"/>
    <n v="1"/>
    <n v="8"/>
    <x v="1"/>
    <n v="0"/>
    <n v="0"/>
    <n v="1"/>
    <m/>
    <m/>
  </r>
  <r>
    <n v="39"/>
    <s v="Yes"/>
    <s v="Travel_Rarely"/>
    <n v="895"/>
    <s v="Sales"/>
    <n v="5"/>
    <n v="3"/>
    <s v="Technical Degree"/>
    <n v="1"/>
    <n v="42"/>
    <n v="4"/>
    <s v="Male"/>
    <n v="56"/>
    <n v="3"/>
    <n v="2"/>
    <s v="Sales Representative"/>
    <n v="4"/>
    <s v="Married"/>
    <n v="2086"/>
    <n v="3335"/>
    <n v="3"/>
    <s v="Y"/>
    <s v="No"/>
    <n v="14"/>
    <n v="3"/>
    <n v="3"/>
    <n v="80"/>
    <n v="1"/>
    <n v="19"/>
    <n v="6"/>
    <n v="4"/>
    <n v="1"/>
    <n v="0"/>
    <n v="0"/>
    <n v="0"/>
    <x v="0"/>
    <n v="1"/>
    <n v="37548"/>
    <n v="1"/>
    <m/>
    <m/>
  </r>
  <r>
    <n v="24"/>
    <s v="Yes"/>
    <s v="Travel_Rarely"/>
    <n v="813"/>
    <s v="Research &amp; Development"/>
    <n v="1"/>
    <n v="3"/>
    <s v="Medical"/>
    <n v="1"/>
    <n v="45"/>
    <n v="2"/>
    <s v="Male"/>
    <n v="61"/>
    <n v="3"/>
    <n v="1"/>
    <s v="Research Scientist"/>
    <n v="4"/>
    <s v="Married"/>
    <n v="2293"/>
    <n v="3020"/>
    <n v="2"/>
    <s v="Y"/>
    <s v="Yes"/>
    <n v="16"/>
    <n v="3"/>
    <n v="1"/>
    <n v="80"/>
    <n v="1"/>
    <n v="6"/>
    <n v="2"/>
    <n v="2"/>
    <n v="2"/>
    <n v="0"/>
    <n v="2"/>
    <n v="0"/>
    <x v="1"/>
    <n v="1"/>
    <n v="41274"/>
    <n v="1"/>
    <m/>
    <m/>
  </r>
  <r>
    <n v="43"/>
    <s v="No"/>
    <s v="Travel_Rarely"/>
    <n v="1273"/>
    <s v="Research &amp; Development"/>
    <n v="2"/>
    <n v="2"/>
    <s v="Medical"/>
    <n v="1"/>
    <n v="46"/>
    <n v="4"/>
    <s v="Female"/>
    <n v="72"/>
    <n v="4"/>
    <n v="1"/>
    <s v="Research Scientist"/>
    <n v="3"/>
    <s v="Divorced"/>
    <n v="2645"/>
    <n v="21923"/>
    <n v="1"/>
    <s v="Y"/>
    <s v="No"/>
    <n v="12"/>
    <n v="3"/>
    <n v="4"/>
    <n v="80"/>
    <n v="2"/>
    <n v="6"/>
    <n v="3"/>
    <n v="2"/>
    <n v="5"/>
    <n v="3"/>
    <n v="1"/>
    <n v="4"/>
    <x v="1"/>
    <n v="0"/>
    <n v="0"/>
    <n v="1"/>
    <m/>
    <m/>
  </r>
  <r>
    <n v="50"/>
    <s v="Yes"/>
    <s v="Travel_Rarely"/>
    <n v="869"/>
    <s v="Sales"/>
    <n v="3"/>
    <n v="2"/>
    <s v="Marketing"/>
    <n v="1"/>
    <n v="47"/>
    <n v="1"/>
    <s v="Male"/>
    <n v="86"/>
    <n v="2"/>
    <n v="1"/>
    <s v="Sales Representative"/>
    <n v="3"/>
    <s v="Married"/>
    <n v="2683"/>
    <n v="3810"/>
    <n v="1"/>
    <s v="Y"/>
    <s v="Yes"/>
    <n v="14"/>
    <n v="3"/>
    <n v="3"/>
    <n v="80"/>
    <n v="0"/>
    <n v="3"/>
    <n v="2"/>
    <n v="3"/>
    <n v="3"/>
    <n v="2"/>
    <n v="0"/>
    <n v="2"/>
    <x v="0"/>
    <n v="1"/>
    <n v="48294"/>
    <n v="1"/>
    <m/>
    <m/>
  </r>
  <r>
    <n v="35"/>
    <s v="No"/>
    <s v="Travel_Rarely"/>
    <n v="890"/>
    <s v="Sales"/>
    <n v="2"/>
    <n v="3"/>
    <s v="Marketing"/>
    <n v="1"/>
    <n v="49"/>
    <n v="4"/>
    <s v="Female"/>
    <n v="97"/>
    <n v="3"/>
    <n v="1"/>
    <s v="Sales Representative"/>
    <n v="4"/>
    <s v="Married"/>
    <n v="2014"/>
    <n v="9687"/>
    <n v="1"/>
    <s v="Y"/>
    <s v="No"/>
    <n v="13"/>
    <n v="3"/>
    <n v="1"/>
    <n v="80"/>
    <n v="0"/>
    <n v="2"/>
    <n v="3"/>
    <n v="3"/>
    <n v="2"/>
    <n v="2"/>
    <n v="2"/>
    <n v="2"/>
    <x v="0"/>
    <n v="0"/>
    <n v="0"/>
    <n v="1"/>
    <m/>
    <m/>
  </r>
  <r>
    <n v="36"/>
    <s v="No"/>
    <s v="Travel_Rarely"/>
    <n v="852"/>
    <s v="Research &amp; Development"/>
    <n v="5"/>
    <n v="4"/>
    <s v="Life Sciences"/>
    <n v="1"/>
    <n v="51"/>
    <n v="2"/>
    <s v="Female"/>
    <n v="82"/>
    <n v="2"/>
    <n v="1"/>
    <s v="Research Scientist"/>
    <n v="1"/>
    <s v="Married"/>
    <n v="3419"/>
    <n v="13072"/>
    <n v="9"/>
    <s v="Y"/>
    <s v="Yes"/>
    <n v="14"/>
    <n v="3"/>
    <n v="4"/>
    <n v="80"/>
    <n v="1"/>
    <n v="6"/>
    <n v="3"/>
    <n v="4"/>
    <n v="1"/>
    <n v="1"/>
    <n v="0"/>
    <n v="0"/>
    <x v="1"/>
    <n v="0"/>
    <n v="0"/>
    <n v="1"/>
    <m/>
    <m/>
  </r>
  <r>
    <n v="33"/>
    <s v="No"/>
    <s v="Travel_Frequently"/>
    <n v="1141"/>
    <s v="Sales"/>
    <n v="1"/>
    <n v="3"/>
    <s v="Life Sciences"/>
    <n v="1"/>
    <n v="52"/>
    <n v="3"/>
    <s v="Female"/>
    <n v="42"/>
    <n v="4"/>
    <n v="2"/>
    <s v="Sales Executive"/>
    <n v="1"/>
    <s v="Married"/>
    <n v="5376"/>
    <n v="3193"/>
    <n v="2"/>
    <s v="Y"/>
    <s v="No"/>
    <n v="19"/>
    <n v="3"/>
    <n v="1"/>
    <n v="80"/>
    <n v="2"/>
    <n v="10"/>
    <n v="3"/>
    <n v="3"/>
    <n v="5"/>
    <n v="3"/>
    <n v="1"/>
    <n v="3"/>
    <x v="0"/>
    <n v="0"/>
    <n v="0"/>
    <n v="1"/>
    <m/>
    <m/>
  </r>
  <r>
    <n v="35"/>
    <s v="No"/>
    <s v="Travel_Rarely"/>
    <n v="464"/>
    <s v="Research &amp; Development"/>
    <n v="4"/>
    <n v="2"/>
    <s v="Other"/>
    <n v="1"/>
    <n v="53"/>
    <n v="3"/>
    <s v="Male"/>
    <n v="75"/>
    <n v="3"/>
    <n v="1"/>
    <s v="Laboratory Technician"/>
    <n v="4"/>
    <s v="Divorced"/>
    <n v="1951"/>
    <n v="10910"/>
    <n v="1"/>
    <s v="Y"/>
    <s v="No"/>
    <n v="12"/>
    <n v="3"/>
    <n v="3"/>
    <n v="80"/>
    <n v="1"/>
    <n v="1"/>
    <n v="3"/>
    <n v="3"/>
    <n v="1"/>
    <n v="0"/>
    <n v="0"/>
    <n v="0"/>
    <x v="1"/>
    <n v="0"/>
    <n v="0"/>
    <n v="1"/>
    <m/>
    <m/>
  </r>
  <r>
    <n v="27"/>
    <s v="No"/>
    <s v="Travel_Rarely"/>
    <n v="1240"/>
    <s v="Research &amp; Development"/>
    <n v="2"/>
    <n v="4"/>
    <s v="Life Sciences"/>
    <n v="1"/>
    <n v="54"/>
    <n v="4"/>
    <s v="Female"/>
    <n v="33"/>
    <n v="3"/>
    <n v="1"/>
    <s v="Laboratory Technician"/>
    <n v="1"/>
    <s v="Divorced"/>
    <n v="2341"/>
    <n v="19715"/>
    <n v="1"/>
    <s v="Y"/>
    <s v="No"/>
    <n v="13"/>
    <n v="3"/>
    <n v="4"/>
    <n v="80"/>
    <n v="1"/>
    <n v="1"/>
    <n v="6"/>
    <n v="3"/>
    <n v="1"/>
    <n v="0"/>
    <n v="0"/>
    <n v="0"/>
    <x v="1"/>
    <n v="0"/>
    <n v="0"/>
    <n v="1"/>
    <m/>
    <m/>
  </r>
  <r>
    <n v="26"/>
    <s v="Yes"/>
    <s v="Travel_Rarely"/>
    <n v="1357"/>
    <s v="Research &amp; Development"/>
    <n v="25"/>
    <n v="3"/>
    <s v="Life Sciences"/>
    <n v="1"/>
    <n v="55"/>
    <n v="1"/>
    <s v="Male"/>
    <n v="48"/>
    <n v="1"/>
    <n v="1"/>
    <s v="Laboratory Technician"/>
    <n v="3"/>
    <s v="Single"/>
    <n v="2293"/>
    <n v="10558"/>
    <n v="1"/>
    <s v="Y"/>
    <s v="No"/>
    <n v="12"/>
    <n v="3"/>
    <n v="3"/>
    <n v="80"/>
    <n v="0"/>
    <n v="1"/>
    <n v="2"/>
    <n v="2"/>
    <n v="1"/>
    <n v="0"/>
    <n v="0"/>
    <n v="1"/>
    <x v="1"/>
    <n v="1"/>
    <n v="41274"/>
    <n v="1"/>
    <m/>
    <m/>
  </r>
  <r>
    <n v="27"/>
    <s v="No"/>
    <s v="Travel_Frequently"/>
    <n v="994"/>
    <s v="Sales"/>
    <n v="8"/>
    <n v="3"/>
    <s v="Life Sciences"/>
    <n v="1"/>
    <n v="56"/>
    <n v="4"/>
    <s v="Male"/>
    <n v="37"/>
    <n v="3"/>
    <n v="3"/>
    <s v="Sales Executive"/>
    <n v="3"/>
    <s v="Single"/>
    <n v="8726"/>
    <n v="2975"/>
    <n v="1"/>
    <s v="Y"/>
    <s v="No"/>
    <n v="15"/>
    <n v="3"/>
    <n v="4"/>
    <n v="80"/>
    <n v="0"/>
    <n v="9"/>
    <n v="0"/>
    <n v="3"/>
    <n v="9"/>
    <n v="8"/>
    <n v="1"/>
    <n v="7"/>
    <x v="0"/>
    <n v="0"/>
    <n v="0"/>
    <n v="1"/>
    <m/>
    <m/>
  </r>
  <r>
    <n v="30"/>
    <s v="No"/>
    <s v="Travel_Frequently"/>
    <n v="721"/>
    <s v="Research &amp; Development"/>
    <n v="1"/>
    <n v="2"/>
    <s v="Medical"/>
    <n v="1"/>
    <n v="57"/>
    <n v="3"/>
    <s v="Female"/>
    <n v="58"/>
    <n v="3"/>
    <n v="2"/>
    <s v="Laboratory Technician"/>
    <n v="4"/>
    <s v="Single"/>
    <n v="4011"/>
    <n v="10781"/>
    <n v="1"/>
    <s v="Y"/>
    <s v="No"/>
    <n v="23"/>
    <n v="4"/>
    <n v="4"/>
    <n v="80"/>
    <n v="0"/>
    <n v="12"/>
    <n v="2"/>
    <n v="3"/>
    <n v="12"/>
    <n v="8"/>
    <n v="3"/>
    <n v="7"/>
    <x v="1"/>
    <n v="0"/>
    <n v="0"/>
    <n v="1"/>
    <m/>
    <m/>
  </r>
  <r>
    <n v="41"/>
    <s v="Yes"/>
    <s v="Travel_Rarely"/>
    <n v="1360"/>
    <s v="Research &amp; Development"/>
    <n v="12"/>
    <n v="3"/>
    <s v="Technical Degree"/>
    <n v="1"/>
    <n v="58"/>
    <n v="2"/>
    <s v="Female"/>
    <n v="49"/>
    <n v="3"/>
    <n v="5"/>
    <s v="Research Director"/>
    <n v="3"/>
    <s v="Married"/>
    <n v="19545"/>
    <n v="16280"/>
    <n v="1"/>
    <s v="Y"/>
    <s v="No"/>
    <n v="12"/>
    <n v="3"/>
    <n v="4"/>
    <n v="80"/>
    <n v="0"/>
    <n v="23"/>
    <n v="0"/>
    <n v="3"/>
    <n v="22"/>
    <n v="15"/>
    <n v="15"/>
    <n v="8"/>
    <x v="1"/>
    <n v="1"/>
    <n v="351810"/>
    <n v="1"/>
    <m/>
    <m/>
  </r>
  <r>
    <n v="34"/>
    <s v="No"/>
    <s v="Non-Travel"/>
    <n v="1065"/>
    <s v="Sales"/>
    <n v="23"/>
    <n v="4"/>
    <s v="Marketing"/>
    <n v="1"/>
    <n v="60"/>
    <n v="2"/>
    <s v="Male"/>
    <n v="72"/>
    <n v="3"/>
    <n v="2"/>
    <s v="Sales Executive"/>
    <n v="3"/>
    <s v="Single"/>
    <n v="4568"/>
    <n v="10034"/>
    <n v="0"/>
    <s v="Y"/>
    <s v="No"/>
    <n v="20"/>
    <n v="4"/>
    <n v="3"/>
    <n v="80"/>
    <n v="0"/>
    <n v="10"/>
    <n v="2"/>
    <n v="3"/>
    <n v="9"/>
    <n v="5"/>
    <n v="8"/>
    <n v="7"/>
    <x v="0"/>
    <n v="0"/>
    <n v="0"/>
    <n v="1"/>
    <m/>
    <m/>
  </r>
  <r>
    <n v="37"/>
    <s v="No"/>
    <s v="Travel_Rarely"/>
    <n v="408"/>
    <s v="Research &amp; Development"/>
    <n v="19"/>
    <n v="2"/>
    <s v="Life Sciences"/>
    <n v="1"/>
    <n v="61"/>
    <n v="2"/>
    <s v="Male"/>
    <n v="73"/>
    <n v="3"/>
    <n v="1"/>
    <s v="Research Scientist"/>
    <n v="2"/>
    <s v="Married"/>
    <n v="3022"/>
    <n v="10227"/>
    <n v="4"/>
    <s v="Y"/>
    <s v="No"/>
    <n v="21"/>
    <n v="4"/>
    <n v="1"/>
    <n v="80"/>
    <n v="0"/>
    <n v="8"/>
    <n v="1"/>
    <n v="3"/>
    <n v="1"/>
    <n v="0"/>
    <n v="0"/>
    <n v="0"/>
    <x v="1"/>
    <n v="0"/>
    <n v="0"/>
    <n v="1"/>
    <m/>
    <m/>
  </r>
  <r>
    <n v="46"/>
    <s v="No"/>
    <s v="Travel_Frequently"/>
    <n v="1211"/>
    <s v="Sales"/>
    <n v="5"/>
    <n v="4"/>
    <s v="Marketing"/>
    <n v="1"/>
    <n v="62"/>
    <n v="1"/>
    <s v="Male"/>
    <n v="98"/>
    <n v="3"/>
    <n v="2"/>
    <s v="Sales Executive"/>
    <n v="4"/>
    <s v="Single"/>
    <n v="5772"/>
    <n v="20445"/>
    <n v="4"/>
    <s v="Y"/>
    <s v="Yes"/>
    <n v="21"/>
    <n v="4"/>
    <n v="3"/>
    <n v="80"/>
    <n v="0"/>
    <n v="14"/>
    <n v="4"/>
    <n v="3"/>
    <n v="9"/>
    <n v="6"/>
    <n v="0"/>
    <n v="8"/>
    <x v="0"/>
    <n v="0"/>
    <n v="0"/>
    <n v="1"/>
    <m/>
    <m/>
  </r>
  <r>
    <n v="35"/>
    <s v="No"/>
    <s v="Travel_Rarely"/>
    <n v="1229"/>
    <s v="Research &amp; Development"/>
    <n v="8"/>
    <n v="1"/>
    <s v="Life Sciences"/>
    <n v="1"/>
    <n v="63"/>
    <n v="4"/>
    <s v="Male"/>
    <n v="36"/>
    <n v="4"/>
    <n v="1"/>
    <s v="Laboratory Technician"/>
    <n v="4"/>
    <s v="Married"/>
    <n v="2269"/>
    <n v="4892"/>
    <n v="1"/>
    <s v="Y"/>
    <s v="No"/>
    <n v="19"/>
    <n v="3"/>
    <n v="4"/>
    <n v="80"/>
    <n v="0"/>
    <n v="1"/>
    <n v="2"/>
    <n v="3"/>
    <n v="1"/>
    <n v="0"/>
    <n v="0"/>
    <n v="1"/>
    <x v="1"/>
    <n v="0"/>
    <n v="0"/>
    <n v="1"/>
    <m/>
    <m/>
  </r>
  <r>
    <n v="48"/>
    <s v="Yes"/>
    <s v="Travel_Rarely"/>
    <n v="626"/>
    <s v="Research &amp; Development"/>
    <n v="1"/>
    <n v="2"/>
    <s v="Life Sciences"/>
    <n v="1"/>
    <n v="64"/>
    <n v="1"/>
    <s v="Male"/>
    <n v="98"/>
    <n v="2"/>
    <n v="3"/>
    <s v="Laboratory Technician"/>
    <n v="3"/>
    <s v="Single"/>
    <n v="5381"/>
    <n v="19294"/>
    <n v="9"/>
    <s v="Y"/>
    <s v="Yes"/>
    <n v="13"/>
    <n v="3"/>
    <n v="4"/>
    <n v="80"/>
    <n v="0"/>
    <n v="23"/>
    <n v="2"/>
    <n v="3"/>
    <n v="1"/>
    <n v="0"/>
    <n v="0"/>
    <n v="0"/>
    <x v="1"/>
    <n v="1"/>
    <n v="96858"/>
    <n v="1"/>
    <m/>
    <m/>
  </r>
  <r>
    <n v="28"/>
    <s v="Yes"/>
    <s v="Travel_Rarely"/>
    <n v="1434"/>
    <s v="Research &amp; Development"/>
    <n v="5"/>
    <n v="4"/>
    <s v="Technical Degree"/>
    <n v="1"/>
    <n v="65"/>
    <n v="3"/>
    <s v="Male"/>
    <n v="50"/>
    <n v="3"/>
    <n v="1"/>
    <s v="Laboratory Technician"/>
    <n v="3"/>
    <s v="Single"/>
    <n v="3441"/>
    <n v="11179"/>
    <n v="1"/>
    <s v="Y"/>
    <s v="Yes"/>
    <n v="13"/>
    <n v="3"/>
    <n v="3"/>
    <n v="80"/>
    <n v="0"/>
    <n v="2"/>
    <n v="3"/>
    <n v="2"/>
    <n v="2"/>
    <n v="2"/>
    <n v="2"/>
    <n v="2"/>
    <x v="1"/>
    <n v="1"/>
    <n v="61938"/>
    <n v="1"/>
    <m/>
    <m/>
  </r>
  <r>
    <n v="44"/>
    <s v="No"/>
    <s v="Travel_Rarely"/>
    <n v="1488"/>
    <s v="Sales"/>
    <n v="1"/>
    <n v="5"/>
    <s v="Marketing"/>
    <n v="1"/>
    <n v="68"/>
    <n v="2"/>
    <s v="Female"/>
    <n v="75"/>
    <n v="3"/>
    <n v="2"/>
    <s v="Sales Executive"/>
    <n v="1"/>
    <s v="Divorced"/>
    <n v="5454"/>
    <n v="4009"/>
    <n v="5"/>
    <s v="Y"/>
    <s v="Yes"/>
    <n v="21"/>
    <n v="4"/>
    <n v="3"/>
    <n v="80"/>
    <n v="1"/>
    <n v="9"/>
    <n v="2"/>
    <n v="2"/>
    <n v="4"/>
    <n v="3"/>
    <n v="1"/>
    <n v="3"/>
    <x v="0"/>
    <n v="0"/>
    <n v="0"/>
    <n v="1"/>
    <m/>
    <m/>
  </r>
  <r>
    <n v="35"/>
    <s v="No"/>
    <s v="Non-Travel"/>
    <n v="1097"/>
    <s v="Research &amp; Development"/>
    <n v="11"/>
    <n v="2"/>
    <s v="Medical"/>
    <n v="1"/>
    <n v="70"/>
    <n v="3"/>
    <s v="Male"/>
    <n v="79"/>
    <n v="2"/>
    <n v="3"/>
    <s v="Healthcare Representative"/>
    <n v="1"/>
    <s v="Married"/>
    <n v="9884"/>
    <n v="8302"/>
    <n v="2"/>
    <s v="Y"/>
    <s v="Yes"/>
    <n v="13"/>
    <n v="3"/>
    <n v="3"/>
    <n v="80"/>
    <n v="1"/>
    <n v="10"/>
    <n v="3"/>
    <n v="3"/>
    <n v="4"/>
    <n v="0"/>
    <n v="2"/>
    <n v="3"/>
    <x v="3"/>
    <n v="0"/>
    <n v="0"/>
    <n v="1"/>
    <m/>
    <m/>
  </r>
  <r>
    <n v="26"/>
    <s v="No"/>
    <s v="Travel_Rarely"/>
    <n v="1443"/>
    <s v="Sales"/>
    <n v="23"/>
    <n v="3"/>
    <s v="Marketing"/>
    <n v="1"/>
    <n v="72"/>
    <n v="3"/>
    <s v="Female"/>
    <n v="47"/>
    <n v="2"/>
    <n v="2"/>
    <s v="Sales Executive"/>
    <n v="4"/>
    <s v="Married"/>
    <n v="4157"/>
    <n v="21436"/>
    <n v="7"/>
    <s v="Y"/>
    <s v="Yes"/>
    <n v="19"/>
    <n v="3"/>
    <n v="3"/>
    <n v="80"/>
    <n v="1"/>
    <n v="5"/>
    <n v="2"/>
    <n v="2"/>
    <n v="2"/>
    <n v="2"/>
    <n v="0"/>
    <n v="0"/>
    <x v="0"/>
    <n v="0"/>
    <n v="0"/>
    <n v="1"/>
    <m/>
    <m/>
  </r>
  <r>
    <n v="33"/>
    <s v="No"/>
    <s v="Travel_Frequently"/>
    <n v="515"/>
    <s v="Research &amp; Development"/>
    <n v="1"/>
    <n v="2"/>
    <s v="Life Sciences"/>
    <n v="1"/>
    <n v="73"/>
    <n v="1"/>
    <s v="Female"/>
    <n v="98"/>
    <n v="3"/>
    <n v="3"/>
    <s v="Research Director"/>
    <n v="4"/>
    <s v="Single"/>
    <n v="13458"/>
    <n v="15146"/>
    <n v="1"/>
    <s v="Y"/>
    <s v="Yes"/>
    <n v="12"/>
    <n v="3"/>
    <n v="3"/>
    <n v="80"/>
    <n v="0"/>
    <n v="15"/>
    <n v="1"/>
    <n v="3"/>
    <n v="15"/>
    <n v="14"/>
    <n v="8"/>
    <n v="12"/>
    <x v="1"/>
    <n v="0"/>
    <n v="0"/>
    <n v="1"/>
    <m/>
    <m/>
  </r>
  <r>
    <n v="35"/>
    <s v="No"/>
    <s v="Travel_Frequently"/>
    <n v="853"/>
    <s v="Sales"/>
    <n v="18"/>
    <n v="5"/>
    <s v="Life Sciences"/>
    <n v="1"/>
    <n v="74"/>
    <n v="2"/>
    <s v="Male"/>
    <n v="71"/>
    <n v="3"/>
    <n v="3"/>
    <s v="Sales Executive"/>
    <n v="1"/>
    <s v="Married"/>
    <n v="9069"/>
    <n v="11031"/>
    <n v="1"/>
    <s v="Y"/>
    <s v="No"/>
    <n v="22"/>
    <n v="4"/>
    <n v="4"/>
    <n v="80"/>
    <n v="1"/>
    <n v="9"/>
    <n v="3"/>
    <n v="2"/>
    <n v="9"/>
    <n v="8"/>
    <n v="1"/>
    <n v="8"/>
    <x v="0"/>
    <n v="0"/>
    <n v="0"/>
    <n v="1"/>
    <m/>
    <m/>
  </r>
  <r>
    <n v="35"/>
    <s v="No"/>
    <s v="Travel_Rarely"/>
    <n v="1142"/>
    <s v="Research &amp; Development"/>
    <n v="23"/>
    <n v="4"/>
    <s v="Medical"/>
    <n v="1"/>
    <n v="75"/>
    <n v="3"/>
    <s v="Female"/>
    <n v="30"/>
    <n v="3"/>
    <n v="1"/>
    <s v="Laboratory Technician"/>
    <n v="1"/>
    <s v="Married"/>
    <n v="4014"/>
    <n v="16002"/>
    <n v="3"/>
    <s v="Y"/>
    <s v="Yes"/>
    <n v="15"/>
    <n v="3"/>
    <n v="3"/>
    <n v="80"/>
    <n v="1"/>
    <n v="4"/>
    <n v="3"/>
    <n v="3"/>
    <n v="2"/>
    <n v="2"/>
    <n v="2"/>
    <n v="2"/>
    <x v="1"/>
    <n v="0"/>
    <n v="0"/>
    <n v="1"/>
    <m/>
    <m/>
  </r>
  <r>
    <n v="31"/>
    <s v="No"/>
    <s v="Travel_Rarely"/>
    <n v="655"/>
    <s v="Research &amp; Development"/>
    <n v="7"/>
    <n v="4"/>
    <s v="Life Sciences"/>
    <n v="1"/>
    <n v="76"/>
    <n v="4"/>
    <s v="Male"/>
    <n v="48"/>
    <n v="3"/>
    <n v="2"/>
    <s v="Laboratory Technician"/>
    <n v="4"/>
    <s v="Divorced"/>
    <n v="5915"/>
    <n v="9528"/>
    <n v="3"/>
    <s v="Y"/>
    <s v="No"/>
    <n v="22"/>
    <n v="4"/>
    <n v="4"/>
    <n v="80"/>
    <n v="1"/>
    <n v="10"/>
    <n v="3"/>
    <n v="2"/>
    <n v="7"/>
    <n v="7"/>
    <n v="1"/>
    <n v="7"/>
    <x v="1"/>
    <n v="0"/>
    <n v="0"/>
    <n v="1"/>
    <m/>
    <m/>
  </r>
  <r>
    <n v="37"/>
    <s v="No"/>
    <s v="Travel_Rarely"/>
    <n v="1115"/>
    <s v="Research &amp; Development"/>
    <n v="1"/>
    <n v="4"/>
    <s v="Life Sciences"/>
    <n v="1"/>
    <n v="77"/>
    <n v="1"/>
    <s v="Male"/>
    <n v="51"/>
    <n v="2"/>
    <n v="2"/>
    <s v="Manufacturing Director"/>
    <n v="3"/>
    <s v="Divorced"/>
    <n v="5993"/>
    <n v="2689"/>
    <n v="1"/>
    <s v="Y"/>
    <s v="No"/>
    <n v="18"/>
    <n v="3"/>
    <n v="3"/>
    <n v="80"/>
    <n v="1"/>
    <n v="7"/>
    <n v="2"/>
    <n v="4"/>
    <n v="7"/>
    <n v="5"/>
    <n v="0"/>
    <n v="7"/>
    <x v="2"/>
    <n v="0"/>
    <n v="0"/>
    <n v="1"/>
    <m/>
    <m/>
  </r>
  <r>
    <n v="32"/>
    <s v="No"/>
    <s v="Travel_Rarely"/>
    <n v="427"/>
    <s v="Research &amp; Development"/>
    <n v="1"/>
    <n v="3"/>
    <s v="Medical"/>
    <n v="1"/>
    <n v="78"/>
    <n v="1"/>
    <s v="Male"/>
    <n v="33"/>
    <n v="3"/>
    <n v="2"/>
    <s v="Manufacturing Director"/>
    <n v="4"/>
    <s v="Married"/>
    <n v="6162"/>
    <n v="10877"/>
    <n v="1"/>
    <s v="Y"/>
    <s v="Yes"/>
    <n v="22"/>
    <n v="4"/>
    <n v="2"/>
    <n v="80"/>
    <n v="1"/>
    <n v="9"/>
    <n v="3"/>
    <n v="3"/>
    <n v="9"/>
    <n v="8"/>
    <n v="7"/>
    <n v="8"/>
    <x v="2"/>
    <n v="0"/>
    <n v="0"/>
    <n v="1"/>
    <m/>
    <m/>
  </r>
  <r>
    <n v="38"/>
    <s v="No"/>
    <s v="Travel_Frequently"/>
    <n v="653"/>
    <s v="Research &amp; Development"/>
    <n v="29"/>
    <n v="5"/>
    <s v="Life Sciences"/>
    <n v="1"/>
    <n v="79"/>
    <n v="4"/>
    <s v="Female"/>
    <n v="50"/>
    <n v="3"/>
    <n v="2"/>
    <s v="Laboratory Technician"/>
    <n v="4"/>
    <s v="Single"/>
    <n v="2406"/>
    <n v="5456"/>
    <n v="1"/>
    <s v="Y"/>
    <s v="No"/>
    <n v="11"/>
    <n v="3"/>
    <n v="4"/>
    <n v="80"/>
    <n v="0"/>
    <n v="10"/>
    <n v="2"/>
    <n v="3"/>
    <n v="10"/>
    <n v="3"/>
    <n v="9"/>
    <n v="9"/>
    <x v="1"/>
    <n v="0"/>
    <n v="0"/>
    <n v="1"/>
    <m/>
    <m/>
  </r>
  <r>
    <n v="50"/>
    <s v="No"/>
    <s v="Travel_Rarely"/>
    <n v="989"/>
    <s v="Research &amp; Development"/>
    <n v="7"/>
    <n v="2"/>
    <s v="Medical"/>
    <n v="1"/>
    <n v="80"/>
    <n v="2"/>
    <s v="Female"/>
    <n v="43"/>
    <n v="2"/>
    <n v="5"/>
    <s v="Research Director"/>
    <n v="3"/>
    <s v="Divorced"/>
    <n v="18740"/>
    <n v="16701"/>
    <n v="5"/>
    <s v="Y"/>
    <s v="Yes"/>
    <n v="12"/>
    <n v="3"/>
    <n v="4"/>
    <n v="80"/>
    <n v="1"/>
    <n v="29"/>
    <n v="2"/>
    <n v="2"/>
    <n v="27"/>
    <n v="3"/>
    <n v="13"/>
    <n v="8"/>
    <x v="1"/>
    <n v="0"/>
    <n v="0"/>
    <n v="1"/>
    <m/>
    <m/>
  </r>
  <r>
    <n v="59"/>
    <s v="No"/>
    <s v="Travel_Rarely"/>
    <n v="1435"/>
    <s v="Sales"/>
    <n v="25"/>
    <n v="3"/>
    <s v="Life Sciences"/>
    <n v="1"/>
    <n v="81"/>
    <n v="1"/>
    <s v="Female"/>
    <n v="99"/>
    <n v="3"/>
    <n v="3"/>
    <s v="Sales Executive"/>
    <n v="1"/>
    <s v="Single"/>
    <n v="7637"/>
    <n v="2354"/>
    <n v="7"/>
    <s v="Y"/>
    <s v="No"/>
    <n v="11"/>
    <n v="3"/>
    <n v="4"/>
    <n v="80"/>
    <n v="0"/>
    <n v="28"/>
    <n v="3"/>
    <n v="2"/>
    <n v="21"/>
    <n v="16"/>
    <n v="7"/>
    <n v="9"/>
    <x v="0"/>
    <n v="0"/>
    <n v="0"/>
    <n v="1"/>
    <m/>
    <m/>
  </r>
  <r>
    <n v="36"/>
    <s v="No"/>
    <s v="Travel_Rarely"/>
    <n v="1223"/>
    <s v="Research &amp; Development"/>
    <n v="8"/>
    <n v="3"/>
    <s v="Technical Degree"/>
    <n v="1"/>
    <n v="83"/>
    <n v="3"/>
    <s v="Female"/>
    <n v="59"/>
    <n v="3"/>
    <n v="3"/>
    <s v="Healthcare Representative"/>
    <n v="3"/>
    <s v="Divorced"/>
    <n v="10096"/>
    <n v="8202"/>
    <n v="1"/>
    <s v="Y"/>
    <s v="No"/>
    <n v="13"/>
    <n v="3"/>
    <n v="2"/>
    <n v="80"/>
    <n v="3"/>
    <n v="17"/>
    <n v="2"/>
    <n v="3"/>
    <n v="17"/>
    <n v="14"/>
    <n v="12"/>
    <n v="8"/>
    <x v="3"/>
    <n v="0"/>
    <n v="0"/>
    <n v="1"/>
    <m/>
    <m/>
  </r>
  <r>
    <n v="55"/>
    <s v="No"/>
    <s v="Travel_Rarely"/>
    <n v="836"/>
    <s v="Research &amp; Development"/>
    <n v="8"/>
    <n v="3"/>
    <s v="Medical"/>
    <n v="1"/>
    <n v="84"/>
    <n v="4"/>
    <s v="Female"/>
    <n v="33"/>
    <n v="3"/>
    <n v="4"/>
    <s v="Manager"/>
    <n v="3"/>
    <s v="Divorced"/>
    <n v="14756"/>
    <n v="19730"/>
    <n v="2"/>
    <s v="Y"/>
    <s v="Yes"/>
    <n v="14"/>
    <n v="3"/>
    <n v="3"/>
    <n v="80"/>
    <n v="3"/>
    <n v="21"/>
    <n v="2"/>
    <n v="3"/>
    <n v="5"/>
    <n v="0"/>
    <n v="0"/>
    <n v="2"/>
    <x v="4"/>
    <n v="0"/>
    <n v="0"/>
    <n v="1"/>
    <m/>
    <m/>
  </r>
  <r>
    <n v="36"/>
    <s v="No"/>
    <s v="Travel_Frequently"/>
    <n v="1195"/>
    <s v="Research &amp; Development"/>
    <n v="11"/>
    <n v="3"/>
    <s v="Life Sciences"/>
    <n v="1"/>
    <n v="85"/>
    <n v="2"/>
    <s v="Male"/>
    <n v="95"/>
    <n v="2"/>
    <n v="2"/>
    <s v="Manufacturing Director"/>
    <n v="2"/>
    <s v="Single"/>
    <n v="6499"/>
    <n v="22656"/>
    <n v="1"/>
    <s v="Y"/>
    <s v="No"/>
    <n v="13"/>
    <n v="3"/>
    <n v="3"/>
    <n v="80"/>
    <n v="0"/>
    <n v="6"/>
    <n v="3"/>
    <n v="3"/>
    <n v="6"/>
    <n v="5"/>
    <n v="0"/>
    <n v="3"/>
    <x v="2"/>
    <n v="0"/>
    <n v="0"/>
    <n v="1"/>
    <m/>
    <m/>
  </r>
  <r>
    <n v="45"/>
    <s v="No"/>
    <s v="Travel_Rarely"/>
    <n v="1339"/>
    <s v="Research &amp; Development"/>
    <n v="7"/>
    <n v="3"/>
    <s v="Life Sciences"/>
    <n v="1"/>
    <n v="86"/>
    <n v="2"/>
    <s v="Male"/>
    <n v="59"/>
    <n v="3"/>
    <n v="3"/>
    <s v="Research Scientist"/>
    <n v="1"/>
    <s v="Divorced"/>
    <n v="9724"/>
    <n v="18787"/>
    <n v="2"/>
    <s v="Y"/>
    <s v="No"/>
    <n v="17"/>
    <n v="3"/>
    <n v="3"/>
    <n v="80"/>
    <n v="1"/>
    <n v="25"/>
    <n v="2"/>
    <n v="3"/>
    <n v="1"/>
    <n v="0"/>
    <n v="0"/>
    <n v="0"/>
    <x v="1"/>
    <n v="0"/>
    <n v="0"/>
    <n v="1"/>
    <m/>
    <m/>
  </r>
  <r>
    <n v="35"/>
    <s v="No"/>
    <s v="Travel_Frequently"/>
    <n v="664"/>
    <s v="Research &amp; Development"/>
    <n v="1"/>
    <n v="3"/>
    <s v="Medical"/>
    <n v="1"/>
    <n v="88"/>
    <n v="2"/>
    <s v="Male"/>
    <n v="79"/>
    <n v="3"/>
    <n v="1"/>
    <s v="Research Scientist"/>
    <n v="1"/>
    <s v="Married"/>
    <n v="2194"/>
    <n v="5868"/>
    <n v="4"/>
    <s v="Y"/>
    <s v="No"/>
    <n v="13"/>
    <n v="3"/>
    <n v="4"/>
    <n v="80"/>
    <n v="1"/>
    <n v="5"/>
    <n v="2"/>
    <n v="2"/>
    <n v="3"/>
    <n v="2"/>
    <n v="1"/>
    <n v="2"/>
    <x v="1"/>
    <n v="0"/>
    <n v="0"/>
    <n v="1"/>
    <m/>
    <m/>
  </r>
  <r>
    <n v="36"/>
    <s v="Yes"/>
    <s v="Travel_Rarely"/>
    <n v="318"/>
    <s v="Research &amp; Development"/>
    <n v="9"/>
    <n v="3"/>
    <s v="Medical"/>
    <n v="1"/>
    <n v="90"/>
    <n v="4"/>
    <s v="Male"/>
    <n v="79"/>
    <n v="2"/>
    <n v="1"/>
    <s v="Research Scientist"/>
    <n v="3"/>
    <s v="Married"/>
    <n v="3388"/>
    <n v="21777"/>
    <n v="0"/>
    <s v="Y"/>
    <s v="Yes"/>
    <n v="17"/>
    <n v="3"/>
    <n v="1"/>
    <n v="80"/>
    <n v="1"/>
    <n v="2"/>
    <n v="0"/>
    <n v="2"/>
    <n v="1"/>
    <n v="0"/>
    <n v="0"/>
    <n v="0"/>
    <x v="1"/>
    <n v="1"/>
    <n v="60984"/>
    <n v="1"/>
    <m/>
    <m/>
  </r>
  <r>
    <n v="59"/>
    <s v="No"/>
    <s v="Travel_Frequently"/>
    <n v="1225"/>
    <s v="Sales"/>
    <n v="1"/>
    <n v="1"/>
    <s v="Life Sciences"/>
    <n v="1"/>
    <n v="91"/>
    <n v="1"/>
    <s v="Female"/>
    <n v="57"/>
    <n v="2"/>
    <n v="2"/>
    <s v="Sales Executive"/>
    <n v="3"/>
    <s v="Single"/>
    <n v="5473"/>
    <n v="24668"/>
    <n v="7"/>
    <s v="Y"/>
    <s v="No"/>
    <n v="11"/>
    <n v="3"/>
    <n v="4"/>
    <n v="80"/>
    <n v="0"/>
    <n v="20"/>
    <n v="2"/>
    <n v="2"/>
    <n v="4"/>
    <n v="3"/>
    <n v="1"/>
    <n v="3"/>
    <x v="0"/>
    <n v="0"/>
    <n v="0"/>
    <n v="1"/>
    <m/>
    <m/>
  </r>
  <r>
    <n v="29"/>
    <s v="No"/>
    <s v="Travel_Rarely"/>
    <n v="1328"/>
    <s v="Research &amp; Development"/>
    <n v="2"/>
    <n v="3"/>
    <s v="Life Sciences"/>
    <n v="1"/>
    <n v="94"/>
    <n v="3"/>
    <s v="Male"/>
    <n v="76"/>
    <n v="3"/>
    <n v="1"/>
    <s v="Research Scientist"/>
    <n v="2"/>
    <s v="Married"/>
    <n v="2703"/>
    <n v="4956"/>
    <n v="0"/>
    <s v="Y"/>
    <s v="No"/>
    <n v="23"/>
    <n v="4"/>
    <n v="4"/>
    <n v="80"/>
    <n v="1"/>
    <n v="6"/>
    <n v="3"/>
    <n v="3"/>
    <n v="5"/>
    <n v="4"/>
    <n v="0"/>
    <n v="4"/>
    <x v="1"/>
    <n v="0"/>
    <n v="0"/>
    <n v="1"/>
    <m/>
    <m/>
  </r>
  <r>
    <n v="31"/>
    <s v="No"/>
    <s v="Travel_Rarely"/>
    <n v="1082"/>
    <s v="Research &amp; Development"/>
    <n v="1"/>
    <n v="4"/>
    <s v="Medical"/>
    <n v="1"/>
    <n v="95"/>
    <n v="3"/>
    <s v="Male"/>
    <n v="87"/>
    <n v="3"/>
    <n v="1"/>
    <s v="Research Scientist"/>
    <n v="2"/>
    <s v="Single"/>
    <n v="2501"/>
    <n v="18775"/>
    <n v="1"/>
    <s v="Y"/>
    <s v="No"/>
    <n v="17"/>
    <n v="3"/>
    <n v="2"/>
    <n v="80"/>
    <n v="0"/>
    <n v="1"/>
    <n v="4"/>
    <n v="3"/>
    <n v="1"/>
    <n v="1"/>
    <n v="1"/>
    <n v="0"/>
    <x v="1"/>
    <n v="0"/>
    <n v="0"/>
    <n v="1"/>
    <m/>
    <m/>
  </r>
  <r>
    <n v="32"/>
    <s v="No"/>
    <s v="Travel_Rarely"/>
    <n v="548"/>
    <s v="Research &amp; Development"/>
    <n v="1"/>
    <n v="3"/>
    <s v="Life Sciences"/>
    <n v="1"/>
    <n v="96"/>
    <n v="2"/>
    <s v="Male"/>
    <n v="66"/>
    <n v="3"/>
    <n v="2"/>
    <s v="Research Scientist"/>
    <n v="2"/>
    <s v="Married"/>
    <n v="6220"/>
    <n v="7346"/>
    <n v="1"/>
    <s v="Y"/>
    <s v="No"/>
    <n v="17"/>
    <n v="3"/>
    <n v="2"/>
    <n v="80"/>
    <n v="2"/>
    <n v="10"/>
    <n v="3"/>
    <n v="3"/>
    <n v="10"/>
    <n v="4"/>
    <n v="0"/>
    <n v="9"/>
    <x v="1"/>
    <n v="0"/>
    <n v="0"/>
    <n v="1"/>
    <m/>
    <m/>
  </r>
  <r>
    <n v="36"/>
    <s v="No"/>
    <s v="Travel_Rarely"/>
    <n v="132"/>
    <s v="Research &amp; Development"/>
    <n v="6"/>
    <n v="3"/>
    <s v="Life Sciences"/>
    <n v="1"/>
    <n v="97"/>
    <n v="2"/>
    <s v="Female"/>
    <n v="55"/>
    <n v="4"/>
    <n v="1"/>
    <s v="Laboratory Technician"/>
    <n v="4"/>
    <s v="Married"/>
    <n v="3038"/>
    <n v="22002"/>
    <n v="3"/>
    <s v="Y"/>
    <s v="No"/>
    <n v="12"/>
    <n v="3"/>
    <n v="2"/>
    <n v="80"/>
    <n v="0"/>
    <n v="5"/>
    <n v="3"/>
    <n v="3"/>
    <n v="1"/>
    <n v="0"/>
    <n v="0"/>
    <n v="0"/>
    <x v="1"/>
    <n v="0"/>
    <n v="0"/>
    <n v="1"/>
    <m/>
    <m/>
  </r>
  <r>
    <n v="31"/>
    <s v="No"/>
    <s v="Travel_Rarely"/>
    <n v="746"/>
    <s v="Research &amp; Development"/>
    <n v="8"/>
    <n v="4"/>
    <s v="Life Sciences"/>
    <n v="1"/>
    <n v="98"/>
    <n v="3"/>
    <s v="Female"/>
    <n v="61"/>
    <n v="3"/>
    <n v="2"/>
    <s v="Manufacturing Director"/>
    <n v="4"/>
    <s v="Single"/>
    <n v="4424"/>
    <n v="20682"/>
    <n v="1"/>
    <s v="Y"/>
    <s v="No"/>
    <n v="23"/>
    <n v="4"/>
    <n v="4"/>
    <n v="80"/>
    <n v="0"/>
    <n v="11"/>
    <n v="2"/>
    <n v="3"/>
    <n v="11"/>
    <n v="7"/>
    <n v="1"/>
    <n v="8"/>
    <x v="2"/>
    <n v="0"/>
    <n v="0"/>
    <n v="1"/>
    <m/>
    <m/>
  </r>
  <r>
    <n v="35"/>
    <s v="No"/>
    <s v="Travel_Rarely"/>
    <n v="776"/>
    <s v="Sales"/>
    <n v="1"/>
    <n v="4"/>
    <s v="Marketing"/>
    <n v="1"/>
    <n v="100"/>
    <n v="3"/>
    <s v="Male"/>
    <n v="32"/>
    <n v="2"/>
    <n v="2"/>
    <s v="Sales Executive"/>
    <n v="1"/>
    <s v="Single"/>
    <n v="4312"/>
    <n v="23016"/>
    <n v="0"/>
    <s v="Y"/>
    <s v="No"/>
    <n v="14"/>
    <n v="3"/>
    <n v="2"/>
    <n v="80"/>
    <n v="0"/>
    <n v="16"/>
    <n v="2"/>
    <n v="3"/>
    <n v="15"/>
    <n v="13"/>
    <n v="2"/>
    <n v="8"/>
    <x v="0"/>
    <n v="0"/>
    <n v="0"/>
    <n v="1"/>
    <m/>
    <m/>
  </r>
  <r>
    <n v="45"/>
    <s v="No"/>
    <s v="Travel_Rarely"/>
    <n v="193"/>
    <s v="Research &amp; Development"/>
    <n v="6"/>
    <n v="4"/>
    <s v="Other"/>
    <n v="1"/>
    <n v="101"/>
    <n v="4"/>
    <s v="Male"/>
    <n v="52"/>
    <n v="3"/>
    <n v="3"/>
    <s v="Research Director"/>
    <n v="1"/>
    <s v="Married"/>
    <n v="13245"/>
    <n v="15067"/>
    <n v="4"/>
    <s v="Y"/>
    <s v="Yes"/>
    <n v="14"/>
    <n v="3"/>
    <n v="2"/>
    <n v="80"/>
    <n v="0"/>
    <n v="17"/>
    <n v="3"/>
    <n v="4"/>
    <n v="0"/>
    <n v="0"/>
    <n v="0"/>
    <n v="0"/>
    <x v="1"/>
    <n v="0"/>
    <n v="0"/>
    <n v="1"/>
    <m/>
    <m/>
  </r>
  <r>
    <n v="37"/>
    <s v="No"/>
    <s v="Travel_Rarely"/>
    <n v="397"/>
    <s v="Research &amp; Development"/>
    <n v="7"/>
    <n v="4"/>
    <s v="Medical"/>
    <n v="1"/>
    <n v="102"/>
    <n v="1"/>
    <s v="Male"/>
    <n v="30"/>
    <n v="3"/>
    <n v="3"/>
    <s v="Research Director"/>
    <n v="3"/>
    <s v="Single"/>
    <n v="13664"/>
    <n v="25258"/>
    <n v="4"/>
    <s v="Y"/>
    <s v="No"/>
    <n v="13"/>
    <n v="3"/>
    <n v="1"/>
    <n v="80"/>
    <n v="0"/>
    <n v="16"/>
    <n v="3"/>
    <n v="4"/>
    <n v="5"/>
    <n v="2"/>
    <n v="0"/>
    <n v="2"/>
    <x v="1"/>
    <n v="0"/>
    <n v="0"/>
    <n v="1"/>
    <m/>
    <m/>
  </r>
  <r>
    <n v="46"/>
    <s v="No"/>
    <s v="Travel_Rarely"/>
    <n v="945"/>
    <s v="Human Resources"/>
    <n v="5"/>
    <n v="2"/>
    <s v="Medical"/>
    <n v="1"/>
    <n v="103"/>
    <n v="2"/>
    <s v="Male"/>
    <n v="80"/>
    <n v="3"/>
    <n v="2"/>
    <s v="Human Resources"/>
    <n v="2"/>
    <s v="Divorced"/>
    <n v="5021"/>
    <n v="10425"/>
    <n v="8"/>
    <s v="Y"/>
    <s v="Yes"/>
    <n v="22"/>
    <n v="4"/>
    <n v="4"/>
    <n v="80"/>
    <n v="1"/>
    <n v="16"/>
    <n v="2"/>
    <n v="3"/>
    <n v="4"/>
    <n v="2"/>
    <n v="0"/>
    <n v="2"/>
    <x v="5"/>
    <n v="0"/>
    <n v="0"/>
    <n v="1"/>
    <m/>
    <m/>
  </r>
  <r>
    <n v="30"/>
    <s v="No"/>
    <s v="Travel_Rarely"/>
    <n v="852"/>
    <s v="Research &amp; Development"/>
    <n v="1"/>
    <n v="1"/>
    <s v="Life Sciences"/>
    <n v="1"/>
    <n v="104"/>
    <n v="4"/>
    <s v="Male"/>
    <n v="55"/>
    <n v="2"/>
    <n v="2"/>
    <s v="Laboratory Technician"/>
    <n v="4"/>
    <s v="Married"/>
    <n v="5126"/>
    <n v="15998"/>
    <n v="1"/>
    <s v="Y"/>
    <s v="Yes"/>
    <n v="12"/>
    <n v="3"/>
    <n v="3"/>
    <n v="80"/>
    <n v="2"/>
    <n v="10"/>
    <n v="1"/>
    <n v="2"/>
    <n v="10"/>
    <n v="8"/>
    <n v="3"/>
    <n v="0"/>
    <x v="1"/>
    <n v="0"/>
    <n v="0"/>
    <n v="1"/>
    <m/>
    <m/>
  </r>
  <r>
    <n v="35"/>
    <s v="No"/>
    <s v="Travel_Rarely"/>
    <n v="1214"/>
    <s v="Research &amp; Development"/>
    <n v="1"/>
    <n v="3"/>
    <s v="Medical"/>
    <n v="1"/>
    <n v="105"/>
    <n v="2"/>
    <s v="Male"/>
    <n v="30"/>
    <n v="2"/>
    <n v="1"/>
    <s v="Research Scientist"/>
    <n v="3"/>
    <s v="Single"/>
    <n v="2859"/>
    <n v="26278"/>
    <n v="1"/>
    <s v="Y"/>
    <s v="No"/>
    <n v="18"/>
    <n v="3"/>
    <n v="1"/>
    <n v="80"/>
    <n v="0"/>
    <n v="6"/>
    <n v="3"/>
    <n v="3"/>
    <n v="6"/>
    <n v="4"/>
    <n v="0"/>
    <n v="4"/>
    <x v="1"/>
    <n v="0"/>
    <n v="0"/>
    <n v="1"/>
    <m/>
    <m/>
  </r>
  <r>
    <n v="55"/>
    <s v="No"/>
    <s v="Travel_Rarely"/>
    <n v="111"/>
    <s v="Sales"/>
    <n v="1"/>
    <n v="2"/>
    <s v="Life Sciences"/>
    <n v="1"/>
    <n v="106"/>
    <n v="1"/>
    <s v="Male"/>
    <n v="70"/>
    <n v="3"/>
    <n v="3"/>
    <s v="Sales Executive"/>
    <n v="4"/>
    <s v="Married"/>
    <n v="10239"/>
    <n v="18092"/>
    <n v="3"/>
    <s v="Y"/>
    <s v="No"/>
    <n v="14"/>
    <n v="3"/>
    <n v="4"/>
    <n v="80"/>
    <n v="1"/>
    <n v="24"/>
    <n v="4"/>
    <n v="3"/>
    <n v="1"/>
    <n v="0"/>
    <n v="1"/>
    <n v="0"/>
    <x v="0"/>
    <n v="0"/>
    <n v="0"/>
    <n v="1"/>
    <m/>
    <m/>
  </r>
  <r>
    <n v="38"/>
    <s v="No"/>
    <s v="Non-Travel"/>
    <n v="573"/>
    <s v="Research &amp; Development"/>
    <n v="6"/>
    <n v="3"/>
    <s v="Medical"/>
    <n v="1"/>
    <n v="107"/>
    <n v="2"/>
    <s v="Female"/>
    <n v="79"/>
    <n v="1"/>
    <n v="2"/>
    <s v="Research Scientist"/>
    <n v="4"/>
    <s v="Divorced"/>
    <n v="5329"/>
    <n v="15717"/>
    <n v="7"/>
    <s v="Y"/>
    <s v="Yes"/>
    <n v="12"/>
    <n v="3"/>
    <n v="4"/>
    <n v="80"/>
    <n v="3"/>
    <n v="17"/>
    <n v="3"/>
    <n v="3"/>
    <n v="13"/>
    <n v="11"/>
    <n v="1"/>
    <n v="9"/>
    <x v="1"/>
    <n v="0"/>
    <n v="0"/>
    <n v="1"/>
    <m/>
    <m/>
  </r>
  <r>
    <n v="34"/>
    <s v="No"/>
    <s v="Travel_Rarely"/>
    <n v="1153"/>
    <s v="Research &amp; Development"/>
    <n v="1"/>
    <n v="2"/>
    <s v="Medical"/>
    <n v="1"/>
    <n v="110"/>
    <n v="1"/>
    <s v="Male"/>
    <n v="94"/>
    <n v="3"/>
    <n v="2"/>
    <s v="Manufacturing Director"/>
    <n v="2"/>
    <s v="Married"/>
    <n v="4325"/>
    <n v="17736"/>
    <n v="1"/>
    <s v="Y"/>
    <s v="No"/>
    <n v="15"/>
    <n v="3"/>
    <n v="3"/>
    <n v="80"/>
    <n v="0"/>
    <n v="5"/>
    <n v="2"/>
    <n v="3"/>
    <n v="5"/>
    <n v="2"/>
    <n v="1"/>
    <n v="3"/>
    <x v="2"/>
    <n v="0"/>
    <n v="0"/>
    <n v="1"/>
    <m/>
    <m/>
  </r>
  <r>
    <n v="56"/>
    <s v="No"/>
    <s v="Travel_Rarely"/>
    <n v="1400"/>
    <s v="Research &amp; Development"/>
    <n v="7"/>
    <n v="3"/>
    <s v="Life Sciences"/>
    <n v="1"/>
    <n v="112"/>
    <n v="4"/>
    <s v="Male"/>
    <n v="49"/>
    <n v="1"/>
    <n v="3"/>
    <s v="Manufacturing Director"/>
    <n v="4"/>
    <s v="Single"/>
    <n v="7260"/>
    <n v="21698"/>
    <n v="4"/>
    <s v="Y"/>
    <s v="No"/>
    <n v="11"/>
    <n v="3"/>
    <n v="1"/>
    <n v="80"/>
    <n v="0"/>
    <n v="37"/>
    <n v="3"/>
    <n v="2"/>
    <n v="6"/>
    <n v="4"/>
    <n v="0"/>
    <n v="2"/>
    <x v="2"/>
    <n v="0"/>
    <n v="0"/>
    <n v="1"/>
    <m/>
    <m/>
  </r>
  <r>
    <n v="23"/>
    <s v="No"/>
    <s v="Travel_Rarely"/>
    <n v="541"/>
    <s v="Sales"/>
    <n v="2"/>
    <n v="1"/>
    <s v="Technical Degree"/>
    <n v="1"/>
    <n v="113"/>
    <n v="3"/>
    <s v="Male"/>
    <n v="62"/>
    <n v="3"/>
    <n v="1"/>
    <s v="Sales Representative"/>
    <n v="1"/>
    <s v="Divorced"/>
    <n v="2322"/>
    <n v="9518"/>
    <n v="3"/>
    <s v="Y"/>
    <s v="No"/>
    <n v="13"/>
    <n v="3"/>
    <n v="3"/>
    <n v="80"/>
    <n v="1"/>
    <n v="3"/>
    <n v="3"/>
    <n v="3"/>
    <n v="0"/>
    <n v="0"/>
    <n v="0"/>
    <n v="0"/>
    <x v="0"/>
    <n v="0"/>
    <n v="0"/>
    <n v="1"/>
    <m/>
    <m/>
  </r>
  <r>
    <n v="51"/>
    <s v="No"/>
    <s v="Travel_Rarely"/>
    <n v="432"/>
    <s v="Research &amp; Development"/>
    <n v="9"/>
    <n v="4"/>
    <s v="Life Sciences"/>
    <n v="1"/>
    <n v="116"/>
    <n v="4"/>
    <s v="Male"/>
    <n v="96"/>
    <n v="3"/>
    <n v="1"/>
    <s v="Laboratory Technician"/>
    <n v="4"/>
    <s v="Married"/>
    <n v="2075"/>
    <n v="18725"/>
    <n v="3"/>
    <s v="Y"/>
    <s v="No"/>
    <n v="23"/>
    <n v="4"/>
    <n v="2"/>
    <n v="80"/>
    <n v="2"/>
    <n v="10"/>
    <n v="4"/>
    <n v="3"/>
    <n v="4"/>
    <n v="2"/>
    <n v="0"/>
    <n v="3"/>
    <x v="1"/>
    <n v="0"/>
    <n v="0"/>
    <n v="1"/>
    <m/>
    <m/>
  </r>
  <r>
    <n v="30"/>
    <s v="No"/>
    <s v="Travel_Rarely"/>
    <n v="288"/>
    <s v="Research &amp; Development"/>
    <n v="2"/>
    <n v="3"/>
    <s v="Life Sciences"/>
    <n v="1"/>
    <n v="117"/>
    <n v="3"/>
    <s v="Male"/>
    <n v="99"/>
    <n v="2"/>
    <n v="2"/>
    <s v="Healthcare Representative"/>
    <n v="4"/>
    <s v="Married"/>
    <n v="4152"/>
    <n v="15830"/>
    <n v="1"/>
    <s v="Y"/>
    <s v="No"/>
    <n v="19"/>
    <n v="3"/>
    <n v="1"/>
    <n v="80"/>
    <n v="3"/>
    <n v="11"/>
    <n v="3"/>
    <n v="3"/>
    <n v="11"/>
    <n v="10"/>
    <n v="10"/>
    <n v="8"/>
    <x v="3"/>
    <n v="0"/>
    <n v="0"/>
    <n v="1"/>
    <m/>
    <m/>
  </r>
  <r>
    <n v="46"/>
    <s v="Yes"/>
    <s v="Travel_Rarely"/>
    <n v="669"/>
    <s v="Sales"/>
    <n v="9"/>
    <n v="2"/>
    <s v="Medical"/>
    <n v="1"/>
    <n v="118"/>
    <n v="3"/>
    <s v="Male"/>
    <n v="64"/>
    <n v="2"/>
    <n v="3"/>
    <s v="Sales Executive"/>
    <n v="4"/>
    <s v="Single"/>
    <n v="9619"/>
    <n v="13596"/>
    <n v="1"/>
    <s v="Y"/>
    <s v="No"/>
    <n v="16"/>
    <n v="3"/>
    <n v="4"/>
    <n v="80"/>
    <n v="0"/>
    <n v="9"/>
    <n v="3"/>
    <n v="3"/>
    <n v="9"/>
    <n v="8"/>
    <n v="4"/>
    <n v="7"/>
    <x v="0"/>
    <n v="1"/>
    <n v="173142"/>
    <n v="1"/>
    <m/>
    <m/>
  </r>
  <r>
    <n v="40"/>
    <s v="No"/>
    <s v="Travel_Frequently"/>
    <n v="530"/>
    <s v="Research &amp; Development"/>
    <n v="1"/>
    <n v="4"/>
    <s v="Life Sciences"/>
    <n v="1"/>
    <n v="119"/>
    <n v="3"/>
    <s v="Male"/>
    <n v="78"/>
    <n v="2"/>
    <n v="4"/>
    <s v="Healthcare Representative"/>
    <n v="2"/>
    <s v="Married"/>
    <n v="13503"/>
    <n v="14115"/>
    <n v="1"/>
    <s v="Y"/>
    <s v="No"/>
    <n v="22"/>
    <n v="4"/>
    <n v="4"/>
    <n v="80"/>
    <n v="1"/>
    <n v="22"/>
    <n v="3"/>
    <n v="2"/>
    <n v="22"/>
    <n v="3"/>
    <n v="11"/>
    <n v="11"/>
    <x v="3"/>
    <n v="0"/>
    <n v="0"/>
    <n v="1"/>
    <m/>
    <m/>
  </r>
  <r>
    <n v="51"/>
    <s v="No"/>
    <s v="Travel_Rarely"/>
    <n v="632"/>
    <s v="Sales"/>
    <n v="21"/>
    <n v="4"/>
    <s v="Marketing"/>
    <n v="1"/>
    <n v="120"/>
    <n v="3"/>
    <s v="Male"/>
    <n v="71"/>
    <n v="3"/>
    <n v="2"/>
    <s v="Sales Executive"/>
    <n v="4"/>
    <s v="Single"/>
    <n v="5441"/>
    <n v="8423"/>
    <n v="0"/>
    <s v="Y"/>
    <s v="Yes"/>
    <n v="22"/>
    <n v="4"/>
    <n v="4"/>
    <n v="80"/>
    <n v="0"/>
    <n v="11"/>
    <n v="2"/>
    <n v="1"/>
    <n v="10"/>
    <n v="7"/>
    <n v="1"/>
    <n v="0"/>
    <x v="0"/>
    <n v="0"/>
    <n v="0"/>
    <n v="1"/>
    <m/>
    <m/>
  </r>
  <r>
    <n v="30"/>
    <s v="No"/>
    <s v="Travel_Rarely"/>
    <n v="1334"/>
    <s v="Sales"/>
    <n v="4"/>
    <n v="2"/>
    <s v="Medical"/>
    <n v="1"/>
    <n v="121"/>
    <n v="3"/>
    <s v="Female"/>
    <n v="63"/>
    <n v="2"/>
    <n v="2"/>
    <s v="Sales Executive"/>
    <n v="2"/>
    <s v="Divorced"/>
    <n v="5209"/>
    <n v="19760"/>
    <n v="1"/>
    <s v="Y"/>
    <s v="Yes"/>
    <n v="12"/>
    <n v="3"/>
    <n v="2"/>
    <n v="80"/>
    <n v="3"/>
    <n v="11"/>
    <n v="4"/>
    <n v="2"/>
    <n v="11"/>
    <n v="8"/>
    <n v="2"/>
    <n v="7"/>
    <x v="0"/>
    <n v="0"/>
    <n v="0"/>
    <n v="1"/>
    <m/>
    <m/>
  </r>
  <r>
    <n v="46"/>
    <s v="No"/>
    <s v="Travel_Frequently"/>
    <n v="638"/>
    <s v="Research &amp; Development"/>
    <n v="1"/>
    <n v="3"/>
    <s v="Medical"/>
    <n v="1"/>
    <n v="124"/>
    <n v="3"/>
    <s v="Male"/>
    <n v="40"/>
    <n v="2"/>
    <n v="3"/>
    <s v="Healthcare Representative"/>
    <n v="1"/>
    <s v="Married"/>
    <n v="10673"/>
    <n v="3142"/>
    <n v="2"/>
    <s v="Y"/>
    <s v="Yes"/>
    <n v="13"/>
    <n v="3"/>
    <n v="3"/>
    <n v="80"/>
    <n v="1"/>
    <n v="21"/>
    <n v="5"/>
    <n v="2"/>
    <n v="10"/>
    <n v="9"/>
    <n v="9"/>
    <n v="5"/>
    <x v="3"/>
    <n v="0"/>
    <n v="0"/>
    <n v="1"/>
    <m/>
    <m/>
  </r>
  <r>
    <n v="32"/>
    <s v="No"/>
    <s v="Travel_Rarely"/>
    <n v="1093"/>
    <s v="Sales"/>
    <n v="6"/>
    <n v="4"/>
    <s v="Medical"/>
    <n v="1"/>
    <n v="125"/>
    <n v="2"/>
    <s v="Male"/>
    <n v="87"/>
    <n v="3"/>
    <n v="2"/>
    <s v="Sales Executive"/>
    <n v="3"/>
    <s v="Single"/>
    <n v="5010"/>
    <n v="24301"/>
    <n v="1"/>
    <s v="Y"/>
    <s v="No"/>
    <n v="16"/>
    <n v="3"/>
    <n v="1"/>
    <n v="80"/>
    <n v="0"/>
    <n v="12"/>
    <n v="0"/>
    <n v="3"/>
    <n v="11"/>
    <n v="8"/>
    <n v="5"/>
    <n v="7"/>
    <x v="0"/>
    <n v="0"/>
    <n v="0"/>
    <n v="1"/>
    <m/>
    <m/>
  </r>
  <r>
    <n v="54"/>
    <s v="No"/>
    <s v="Travel_Rarely"/>
    <n v="1217"/>
    <s v="Research &amp; Development"/>
    <n v="2"/>
    <n v="4"/>
    <s v="Technical Degree"/>
    <n v="1"/>
    <n v="126"/>
    <n v="1"/>
    <s v="Female"/>
    <n v="60"/>
    <n v="3"/>
    <n v="3"/>
    <s v="Research Director"/>
    <n v="3"/>
    <s v="Married"/>
    <n v="13549"/>
    <n v="24001"/>
    <n v="9"/>
    <s v="Y"/>
    <s v="No"/>
    <n v="12"/>
    <n v="3"/>
    <n v="1"/>
    <n v="80"/>
    <n v="1"/>
    <n v="16"/>
    <n v="5"/>
    <n v="1"/>
    <n v="4"/>
    <n v="3"/>
    <n v="0"/>
    <n v="3"/>
    <x v="1"/>
    <n v="0"/>
    <n v="0"/>
    <n v="1"/>
    <m/>
    <m/>
  </r>
  <r>
    <n v="24"/>
    <s v="No"/>
    <s v="Travel_Rarely"/>
    <n v="1353"/>
    <s v="Sales"/>
    <n v="3"/>
    <n v="2"/>
    <s v="Other"/>
    <n v="1"/>
    <n v="128"/>
    <n v="1"/>
    <s v="Female"/>
    <n v="33"/>
    <n v="3"/>
    <n v="2"/>
    <s v="Sales Executive"/>
    <n v="3"/>
    <s v="Married"/>
    <n v="4999"/>
    <n v="17519"/>
    <n v="0"/>
    <s v="Y"/>
    <s v="No"/>
    <n v="21"/>
    <n v="4"/>
    <n v="1"/>
    <n v="80"/>
    <n v="1"/>
    <n v="4"/>
    <n v="2"/>
    <n v="2"/>
    <n v="3"/>
    <n v="2"/>
    <n v="0"/>
    <n v="2"/>
    <x v="0"/>
    <n v="0"/>
    <n v="0"/>
    <n v="1"/>
    <m/>
    <m/>
  </r>
  <r>
    <n v="28"/>
    <s v="No"/>
    <s v="Non-Travel"/>
    <n v="120"/>
    <s v="Sales"/>
    <n v="4"/>
    <n v="3"/>
    <s v="Medical"/>
    <n v="1"/>
    <n v="129"/>
    <n v="2"/>
    <s v="Male"/>
    <n v="43"/>
    <n v="3"/>
    <n v="2"/>
    <s v="Sales Executive"/>
    <n v="3"/>
    <s v="Married"/>
    <n v="4221"/>
    <n v="8863"/>
    <n v="1"/>
    <s v="Y"/>
    <s v="No"/>
    <n v="15"/>
    <n v="3"/>
    <n v="2"/>
    <n v="80"/>
    <n v="0"/>
    <n v="5"/>
    <n v="3"/>
    <n v="4"/>
    <n v="5"/>
    <n v="4"/>
    <n v="0"/>
    <n v="4"/>
    <x v="0"/>
    <n v="0"/>
    <n v="0"/>
    <n v="1"/>
    <m/>
    <m/>
  </r>
  <r>
    <n v="58"/>
    <s v="No"/>
    <s v="Travel_Rarely"/>
    <n v="682"/>
    <s v="Sales"/>
    <n v="10"/>
    <n v="4"/>
    <s v="Medical"/>
    <n v="1"/>
    <n v="131"/>
    <n v="4"/>
    <s v="Male"/>
    <n v="37"/>
    <n v="3"/>
    <n v="4"/>
    <s v="Sales Executive"/>
    <n v="3"/>
    <s v="Single"/>
    <n v="13872"/>
    <n v="24409"/>
    <n v="0"/>
    <s v="Y"/>
    <s v="No"/>
    <n v="13"/>
    <n v="3"/>
    <n v="3"/>
    <n v="80"/>
    <n v="0"/>
    <n v="38"/>
    <n v="1"/>
    <n v="2"/>
    <n v="37"/>
    <n v="10"/>
    <n v="1"/>
    <n v="8"/>
    <x v="0"/>
    <n v="0"/>
    <n v="0"/>
    <n v="1"/>
    <m/>
    <m/>
  </r>
  <r>
    <n v="44"/>
    <s v="No"/>
    <s v="Non-Travel"/>
    <n v="489"/>
    <s v="Research &amp; Development"/>
    <n v="23"/>
    <n v="3"/>
    <s v="Medical"/>
    <n v="1"/>
    <n v="132"/>
    <n v="2"/>
    <s v="Male"/>
    <n v="67"/>
    <n v="3"/>
    <n v="2"/>
    <s v="Laboratory Technician"/>
    <n v="2"/>
    <s v="Married"/>
    <n v="2042"/>
    <n v="25043"/>
    <n v="4"/>
    <s v="Y"/>
    <s v="No"/>
    <n v="12"/>
    <n v="3"/>
    <n v="3"/>
    <n v="80"/>
    <n v="1"/>
    <n v="17"/>
    <n v="3"/>
    <n v="4"/>
    <n v="3"/>
    <n v="2"/>
    <n v="1"/>
    <n v="2"/>
    <x v="1"/>
    <n v="0"/>
    <n v="0"/>
    <n v="1"/>
    <m/>
    <m/>
  </r>
  <r>
    <n v="37"/>
    <s v="Yes"/>
    <s v="Travel_Rarely"/>
    <n v="807"/>
    <s v="Human Resources"/>
    <n v="6"/>
    <n v="4"/>
    <s v="Human Resources"/>
    <n v="1"/>
    <n v="133"/>
    <n v="3"/>
    <s v="Male"/>
    <n v="63"/>
    <n v="3"/>
    <n v="1"/>
    <s v="Human Resources"/>
    <n v="1"/>
    <s v="Divorced"/>
    <n v="2073"/>
    <n v="23648"/>
    <n v="4"/>
    <s v="Y"/>
    <s v="Yes"/>
    <n v="22"/>
    <n v="4"/>
    <n v="4"/>
    <n v="80"/>
    <n v="0"/>
    <n v="7"/>
    <n v="3"/>
    <n v="3"/>
    <n v="3"/>
    <n v="2"/>
    <n v="0"/>
    <n v="2"/>
    <x v="5"/>
    <n v="1"/>
    <n v="37314"/>
    <n v="1"/>
    <m/>
    <m/>
  </r>
  <r>
    <n v="32"/>
    <s v="No"/>
    <s v="Travel_Rarely"/>
    <n v="827"/>
    <s v="Research &amp; Development"/>
    <n v="1"/>
    <n v="1"/>
    <s v="Life Sciences"/>
    <n v="1"/>
    <n v="134"/>
    <n v="4"/>
    <s v="Male"/>
    <n v="71"/>
    <n v="3"/>
    <n v="1"/>
    <s v="Research Scientist"/>
    <n v="1"/>
    <s v="Single"/>
    <n v="2956"/>
    <n v="15178"/>
    <n v="1"/>
    <s v="Y"/>
    <s v="No"/>
    <n v="13"/>
    <n v="3"/>
    <n v="4"/>
    <n v="80"/>
    <n v="0"/>
    <n v="1"/>
    <n v="2"/>
    <n v="3"/>
    <n v="1"/>
    <n v="0"/>
    <n v="0"/>
    <n v="0"/>
    <x v="1"/>
    <n v="0"/>
    <n v="0"/>
    <n v="1"/>
    <m/>
    <m/>
  </r>
  <r>
    <n v="20"/>
    <s v="Yes"/>
    <s v="Travel_Frequently"/>
    <n v="871"/>
    <s v="Research &amp; Development"/>
    <n v="6"/>
    <n v="3"/>
    <s v="Life Sciences"/>
    <n v="1"/>
    <n v="137"/>
    <n v="4"/>
    <s v="Female"/>
    <n v="66"/>
    <n v="2"/>
    <n v="1"/>
    <s v="Laboratory Technician"/>
    <n v="4"/>
    <s v="Single"/>
    <n v="2926"/>
    <n v="19783"/>
    <n v="1"/>
    <s v="Y"/>
    <s v="Yes"/>
    <n v="18"/>
    <n v="3"/>
    <n v="2"/>
    <n v="80"/>
    <n v="0"/>
    <n v="1"/>
    <n v="5"/>
    <n v="3"/>
    <n v="1"/>
    <n v="0"/>
    <n v="1"/>
    <n v="0"/>
    <x v="1"/>
    <n v="1"/>
    <n v="52668"/>
    <n v="1"/>
    <m/>
    <m/>
  </r>
  <r>
    <n v="34"/>
    <s v="No"/>
    <s v="Travel_Rarely"/>
    <n v="665"/>
    <s v="Research &amp; Development"/>
    <n v="6"/>
    <n v="4"/>
    <s v="Other"/>
    <n v="1"/>
    <n v="138"/>
    <n v="1"/>
    <s v="Female"/>
    <n v="41"/>
    <n v="3"/>
    <n v="2"/>
    <s v="Research Scientist"/>
    <n v="3"/>
    <s v="Single"/>
    <n v="4809"/>
    <n v="12482"/>
    <n v="1"/>
    <s v="Y"/>
    <s v="No"/>
    <n v="14"/>
    <n v="3"/>
    <n v="3"/>
    <n v="80"/>
    <n v="0"/>
    <n v="16"/>
    <n v="3"/>
    <n v="3"/>
    <n v="16"/>
    <n v="13"/>
    <n v="2"/>
    <n v="10"/>
    <x v="1"/>
    <n v="0"/>
    <n v="0"/>
    <n v="1"/>
    <m/>
    <m/>
  </r>
  <r>
    <n v="37"/>
    <s v="No"/>
    <s v="Non-Travel"/>
    <n v="1040"/>
    <s v="Research &amp; Development"/>
    <n v="2"/>
    <n v="2"/>
    <s v="Life Sciences"/>
    <n v="1"/>
    <n v="139"/>
    <n v="3"/>
    <s v="Male"/>
    <n v="100"/>
    <n v="2"/>
    <n v="2"/>
    <s v="Healthcare Representative"/>
    <n v="4"/>
    <s v="Divorced"/>
    <n v="5163"/>
    <n v="15850"/>
    <n v="5"/>
    <s v="Y"/>
    <s v="No"/>
    <n v="14"/>
    <n v="3"/>
    <n v="4"/>
    <n v="80"/>
    <n v="1"/>
    <n v="17"/>
    <n v="2"/>
    <n v="4"/>
    <n v="1"/>
    <n v="0"/>
    <n v="0"/>
    <n v="0"/>
    <x v="3"/>
    <n v="0"/>
    <n v="0"/>
    <n v="1"/>
    <m/>
    <m/>
  </r>
  <r>
    <n v="59"/>
    <s v="No"/>
    <s v="Non-Travel"/>
    <n v="1420"/>
    <s v="Human Resources"/>
    <n v="2"/>
    <n v="4"/>
    <s v="Human Resources"/>
    <n v="1"/>
    <n v="140"/>
    <n v="3"/>
    <s v="Female"/>
    <n v="32"/>
    <n v="2"/>
    <n v="5"/>
    <s v="Manager"/>
    <n v="4"/>
    <s v="Married"/>
    <n v="18844"/>
    <n v="21922"/>
    <n v="9"/>
    <s v="Y"/>
    <s v="No"/>
    <n v="21"/>
    <n v="4"/>
    <n v="4"/>
    <n v="80"/>
    <n v="1"/>
    <n v="30"/>
    <n v="3"/>
    <n v="3"/>
    <n v="3"/>
    <n v="2"/>
    <n v="2"/>
    <n v="2"/>
    <x v="4"/>
    <n v="0"/>
    <n v="0"/>
    <n v="1"/>
    <m/>
    <m/>
  </r>
  <r>
    <n v="50"/>
    <s v="No"/>
    <s v="Travel_Frequently"/>
    <n v="1115"/>
    <s v="Research &amp; Development"/>
    <n v="1"/>
    <n v="3"/>
    <s v="Life Sciences"/>
    <n v="1"/>
    <n v="141"/>
    <n v="1"/>
    <s v="Female"/>
    <n v="73"/>
    <n v="3"/>
    <n v="5"/>
    <s v="Research Director"/>
    <n v="2"/>
    <s v="Married"/>
    <n v="18172"/>
    <n v="9755"/>
    <n v="3"/>
    <s v="Y"/>
    <s v="Yes"/>
    <n v="19"/>
    <n v="3"/>
    <n v="1"/>
    <n v="80"/>
    <n v="0"/>
    <n v="28"/>
    <n v="1"/>
    <n v="2"/>
    <n v="8"/>
    <n v="3"/>
    <n v="0"/>
    <n v="7"/>
    <x v="1"/>
    <n v="0"/>
    <n v="0"/>
    <n v="1"/>
    <m/>
    <m/>
  </r>
  <r>
    <n v="25"/>
    <s v="Yes"/>
    <s v="Travel_Rarely"/>
    <n v="240"/>
    <s v="Sales"/>
    <n v="5"/>
    <n v="3"/>
    <s v="Marketing"/>
    <n v="1"/>
    <n v="142"/>
    <n v="3"/>
    <s v="Male"/>
    <n v="46"/>
    <n v="2"/>
    <n v="2"/>
    <s v="Sales Executive"/>
    <n v="3"/>
    <s v="Single"/>
    <n v="5744"/>
    <n v="26959"/>
    <n v="1"/>
    <s v="Y"/>
    <s v="Yes"/>
    <n v="11"/>
    <n v="3"/>
    <n v="4"/>
    <n v="80"/>
    <n v="0"/>
    <n v="6"/>
    <n v="1"/>
    <n v="3"/>
    <n v="6"/>
    <n v="4"/>
    <n v="0"/>
    <n v="3"/>
    <x v="0"/>
    <n v="1"/>
    <n v="103392"/>
    <n v="1"/>
    <m/>
    <m/>
  </r>
  <r>
    <n v="25"/>
    <s v="No"/>
    <s v="Travel_Rarely"/>
    <n v="1280"/>
    <s v="Research &amp; Development"/>
    <n v="7"/>
    <n v="1"/>
    <s v="Medical"/>
    <n v="1"/>
    <n v="143"/>
    <n v="4"/>
    <s v="Male"/>
    <n v="64"/>
    <n v="2"/>
    <n v="1"/>
    <s v="Research Scientist"/>
    <n v="4"/>
    <s v="Married"/>
    <n v="2889"/>
    <n v="26897"/>
    <n v="1"/>
    <s v="Y"/>
    <s v="No"/>
    <n v="11"/>
    <n v="3"/>
    <n v="3"/>
    <n v="80"/>
    <n v="2"/>
    <n v="2"/>
    <n v="2"/>
    <n v="3"/>
    <n v="2"/>
    <n v="2"/>
    <n v="2"/>
    <n v="1"/>
    <x v="1"/>
    <n v="0"/>
    <n v="0"/>
    <n v="1"/>
    <m/>
    <m/>
  </r>
  <r>
    <n v="22"/>
    <s v="No"/>
    <s v="Travel_Rarely"/>
    <n v="534"/>
    <s v="Research &amp; Development"/>
    <n v="15"/>
    <n v="3"/>
    <s v="Medical"/>
    <n v="1"/>
    <n v="144"/>
    <n v="2"/>
    <s v="Female"/>
    <n v="59"/>
    <n v="3"/>
    <n v="1"/>
    <s v="Laboratory Technician"/>
    <n v="4"/>
    <s v="Single"/>
    <n v="2871"/>
    <n v="23785"/>
    <n v="1"/>
    <s v="Y"/>
    <s v="No"/>
    <n v="15"/>
    <n v="3"/>
    <n v="3"/>
    <n v="80"/>
    <n v="0"/>
    <n v="1"/>
    <n v="5"/>
    <n v="3"/>
    <n v="0"/>
    <n v="0"/>
    <n v="0"/>
    <n v="0"/>
    <x v="1"/>
    <n v="0"/>
    <n v="0"/>
    <n v="1"/>
    <m/>
    <m/>
  </r>
  <r>
    <n v="51"/>
    <s v="No"/>
    <s v="Travel_Frequently"/>
    <n v="1456"/>
    <s v="Research &amp; Development"/>
    <n v="1"/>
    <n v="4"/>
    <s v="Medical"/>
    <n v="1"/>
    <n v="145"/>
    <n v="1"/>
    <s v="Female"/>
    <n v="30"/>
    <n v="2"/>
    <n v="3"/>
    <s v="Healthcare Representative"/>
    <n v="1"/>
    <s v="Single"/>
    <n v="7484"/>
    <n v="25796"/>
    <n v="3"/>
    <s v="Y"/>
    <s v="No"/>
    <n v="20"/>
    <n v="4"/>
    <n v="3"/>
    <n v="80"/>
    <n v="0"/>
    <n v="23"/>
    <n v="1"/>
    <n v="2"/>
    <n v="13"/>
    <n v="12"/>
    <n v="12"/>
    <n v="8"/>
    <x v="3"/>
    <n v="0"/>
    <n v="0"/>
    <n v="1"/>
    <m/>
    <m/>
  </r>
  <r>
    <n v="34"/>
    <s v="Yes"/>
    <s v="Travel_Frequently"/>
    <n v="658"/>
    <s v="Research &amp; Development"/>
    <n v="7"/>
    <n v="3"/>
    <s v="Life Sciences"/>
    <n v="1"/>
    <n v="147"/>
    <n v="1"/>
    <s v="Male"/>
    <n v="66"/>
    <n v="1"/>
    <n v="2"/>
    <s v="Laboratory Technician"/>
    <n v="3"/>
    <s v="Single"/>
    <n v="6074"/>
    <n v="22887"/>
    <n v="1"/>
    <s v="Y"/>
    <s v="Yes"/>
    <n v="24"/>
    <n v="4"/>
    <n v="4"/>
    <n v="80"/>
    <n v="0"/>
    <n v="9"/>
    <n v="3"/>
    <n v="3"/>
    <n v="9"/>
    <n v="7"/>
    <n v="0"/>
    <n v="6"/>
    <x v="1"/>
    <n v="1"/>
    <n v="109332"/>
    <n v="1"/>
    <m/>
    <m/>
  </r>
  <r>
    <n v="54"/>
    <s v="No"/>
    <s v="Non-Travel"/>
    <n v="142"/>
    <s v="Human Resources"/>
    <n v="26"/>
    <n v="3"/>
    <s v="Human Resources"/>
    <n v="1"/>
    <n v="148"/>
    <n v="4"/>
    <s v="Female"/>
    <n v="30"/>
    <n v="4"/>
    <n v="4"/>
    <s v="Manager"/>
    <n v="4"/>
    <s v="Single"/>
    <n v="17328"/>
    <n v="13871"/>
    <n v="2"/>
    <s v="Y"/>
    <s v="Yes"/>
    <n v="12"/>
    <n v="3"/>
    <n v="3"/>
    <n v="80"/>
    <n v="0"/>
    <n v="23"/>
    <n v="3"/>
    <n v="3"/>
    <n v="5"/>
    <n v="3"/>
    <n v="4"/>
    <n v="4"/>
    <x v="4"/>
    <n v="0"/>
    <n v="0"/>
    <n v="1"/>
    <m/>
    <m/>
  </r>
  <r>
    <n v="24"/>
    <s v="No"/>
    <s v="Travel_Rarely"/>
    <n v="1127"/>
    <s v="Research &amp; Development"/>
    <n v="18"/>
    <n v="1"/>
    <s v="Life Sciences"/>
    <n v="1"/>
    <n v="150"/>
    <n v="2"/>
    <s v="Male"/>
    <n v="52"/>
    <n v="3"/>
    <n v="1"/>
    <s v="Laboratory Technician"/>
    <n v="3"/>
    <s v="Married"/>
    <n v="2774"/>
    <n v="13257"/>
    <n v="0"/>
    <s v="Y"/>
    <s v="No"/>
    <n v="12"/>
    <n v="3"/>
    <n v="3"/>
    <n v="80"/>
    <n v="1"/>
    <n v="6"/>
    <n v="2"/>
    <n v="3"/>
    <n v="5"/>
    <n v="3"/>
    <n v="1"/>
    <n v="2"/>
    <x v="1"/>
    <n v="0"/>
    <n v="0"/>
    <n v="1"/>
    <m/>
    <m/>
  </r>
  <r>
    <n v="34"/>
    <s v="No"/>
    <s v="Travel_Rarely"/>
    <n v="1031"/>
    <s v="Research &amp; Development"/>
    <n v="6"/>
    <n v="4"/>
    <s v="Life Sciences"/>
    <n v="1"/>
    <n v="151"/>
    <n v="3"/>
    <s v="Female"/>
    <n v="45"/>
    <n v="2"/>
    <n v="2"/>
    <s v="Research Scientist"/>
    <n v="2"/>
    <s v="Divorced"/>
    <n v="4505"/>
    <n v="15000"/>
    <n v="6"/>
    <s v="Y"/>
    <s v="No"/>
    <n v="15"/>
    <n v="3"/>
    <n v="3"/>
    <n v="80"/>
    <n v="1"/>
    <n v="12"/>
    <n v="3"/>
    <n v="3"/>
    <n v="1"/>
    <n v="0"/>
    <n v="0"/>
    <n v="0"/>
    <x v="1"/>
    <n v="0"/>
    <n v="0"/>
    <n v="1"/>
    <m/>
    <m/>
  </r>
  <r>
    <n v="37"/>
    <s v="No"/>
    <s v="Travel_Rarely"/>
    <n v="1189"/>
    <s v="Sales"/>
    <n v="3"/>
    <n v="3"/>
    <s v="Life Sciences"/>
    <n v="1"/>
    <n v="152"/>
    <n v="3"/>
    <s v="Male"/>
    <n v="87"/>
    <n v="3"/>
    <n v="3"/>
    <s v="Sales Executive"/>
    <n v="4"/>
    <s v="Single"/>
    <n v="7428"/>
    <n v="14506"/>
    <n v="2"/>
    <s v="Y"/>
    <s v="No"/>
    <n v="12"/>
    <n v="3"/>
    <n v="1"/>
    <n v="80"/>
    <n v="0"/>
    <n v="12"/>
    <n v="3"/>
    <n v="3"/>
    <n v="5"/>
    <n v="3"/>
    <n v="1"/>
    <n v="3"/>
    <x v="0"/>
    <n v="0"/>
    <n v="0"/>
    <n v="1"/>
    <m/>
    <m/>
  </r>
  <r>
    <n v="34"/>
    <s v="No"/>
    <s v="Travel_Rarely"/>
    <n v="1354"/>
    <s v="Research &amp; Development"/>
    <n v="5"/>
    <n v="3"/>
    <s v="Medical"/>
    <n v="1"/>
    <n v="153"/>
    <n v="3"/>
    <s v="Female"/>
    <n v="45"/>
    <n v="2"/>
    <n v="3"/>
    <s v="Manager"/>
    <n v="1"/>
    <s v="Single"/>
    <n v="11631"/>
    <n v="5615"/>
    <n v="2"/>
    <s v="Y"/>
    <s v="No"/>
    <n v="12"/>
    <n v="3"/>
    <n v="4"/>
    <n v="80"/>
    <n v="0"/>
    <n v="14"/>
    <n v="6"/>
    <n v="3"/>
    <n v="11"/>
    <n v="10"/>
    <n v="5"/>
    <n v="8"/>
    <x v="4"/>
    <n v="0"/>
    <n v="0"/>
    <n v="1"/>
    <m/>
    <m/>
  </r>
  <r>
    <n v="36"/>
    <s v="No"/>
    <s v="Travel_Frequently"/>
    <n v="1467"/>
    <s v="Sales"/>
    <n v="11"/>
    <n v="2"/>
    <s v="Technical Degree"/>
    <n v="1"/>
    <n v="154"/>
    <n v="2"/>
    <s v="Female"/>
    <n v="92"/>
    <n v="3"/>
    <n v="3"/>
    <s v="Sales Executive"/>
    <n v="4"/>
    <s v="Married"/>
    <n v="9738"/>
    <n v="22952"/>
    <n v="0"/>
    <s v="Y"/>
    <s v="No"/>
    <n v="14"/>
    <n v="3"/>
    <n v="3"/>
    <n v="80"/>
    <n v="1"/>
    <n v="10"/>
    <n v="6"/>
    <n v="3"/>
    <n v="9"/>
    <n v="7"/>
    <n v="2"/>
    <n v="8"/>
    <x v="0"/>
    <n v="0"/>
    <n v="0"/>
    <n v="1"/>
    <m/>
    <m/>
  </r>
  <r>
    <n v="36"/>
    <s v="No"/>
    <s v="Travel_Rarely"/>
    <n v="922"/>
    <s v="Research &amp; Development"/>
    <n v="3"/>
    <n v="2"/>
    <s v="Life Sciences"/>
    <n v="1"/>
    <n v="155"/>
    <n v="1"/>
    <s v="Female"/>
    <n v="39"/>
    <n v="3"/>
    <n v="1"/>
    <s v="Laboratory Technician"/>
    <n v="4"/>
    <s v="Divorced"/>
    <n v="2835"/>
    <n v="2561"/>
    <n v="5"/>
    <s v="Y"/>
    <s v="No"/>
    <n v="22"/>
    <n v="4"/>
    <n v="1"/>
    <n v="80"/>
    <n v="1"/>
    <n v="7"/>
    <n v="2"/>
    <n v="3"/>
    <n v="1"/>
    <n v="0"/>
    <n v="0"/>
    <n v="0"/>
    <x v="1"/>
    <n v="0"/>
    <n v="0"/>
    <n v="1"/>
    <m/>
    <m/>
  </r>
  <r>
    <n v="43"/>
    <s v="No"/>
    <s v="Travel_Frequently"/>
    <n v="394"/>
    <s v="Sales"/>
    <n v="26"/>
    <n v="2"/>
    <s v="Life Sciences"/>
    <n v="1"/>
    <n v="158"/>
    <n v="3"/>
    <s v="Male"/>
    <n v="92"/>
    <n v="3"/>
    <n v="4"/>
    <s v="Manager"/>
    <n v="4"/>
    <s v="Married"/>
    <n v="16959"/>
    <n v="19494"/>
    <n v="1"/>
    <s v="Y"/>
    <s v="Yes"/>
    <n v="12"/>
    <n v="3"/>
    <n v="4"/>
    <n v="80"/>
    <n v="2"/>
    <n v="25"/>
    <n v="3"/>
    <n v="4"/>
    <n v="25"/>
    <n v="12"/>
    <n v="4"/>
    <n v="12"/>
    <x v="4"/>
    <n v="0"/>
    <n v="0"/>
    <n v="1"/>
    <m/>
    <m/>
  </r>
  <r>
    <n v="30"/>
    <s v="No"/>
    <s v="Travel_Frequently"/>
    <n v="1312"/>
    <s v="Research &amp; Development"/>
    <n v="23"/>
    <n v="3"/>
    <s v="Life Sciences"/>
    <n v="1"/>
    <n v="159"/>
    <n v="1"/>
    <s v="Male"/>
    <n v="96"/>
    <n v="1"/>
    <n v="1"/>
    <s v="Research Scientist"/>
    <n v="3"/>
    <s v="Divorced"/>
    <n v="2613"/>
    <n v="22310"/>
    <n v="1"/>
    <s v="Y"/>
    <s v="No"/>
    <n v="25"/>
    <n v="4"/>
    <n v="3"/>
    <n v="80"/>
    <n v="3"/>
    <n v="10"/>
    <n v="2"/>
    <n v="2"/>
    <n v="10"/>
    <n v="7"/>
    <n v="0"/>
    <n v="9"/>
    <x v="1"/>
    <n v="0"/>
    <n v="0"/>
    <n v="1"/>
    <m/>
    <m/>
  </r>
  <r>
    <n v="33"/>
    <s v="No"/>
    <s v="Non-Travel"/>
    <n v="750"/>
    <s v="Sales"/>
    <n v="22"/>
    <n v="2"/>
    <s v="Marketing"/>
    <n v="1"/>
    <n v="160"/>
    <n v="3"/>
    <s v="Male"/>
    <n v="95"/>
    <n v="3"/>
    <n v="2"/>
    <s v="Sales Executive"/>
    <n v="2"/>
    <s v="Married"/>
    <n v="6146"/>
    <n v="15480"/>
    <n v="0"/>
    <s v="Y"/>
    <s v="No"/>
    <n v="13"/>
    <n v="3"/>
    <n v="1"/>
    <n v="80"/>
    <n v="1"/>
    <n v="8"/>
    <n v="2"/>
    <n v="4"/>
    <n v="7"/>
    <n v="7"/>
    <n v="0"/>
    <n v="7"/>
    <x v="0"/>
    <n v="0"/>
    <n v="0"/>
    <n v="1"/>
    <m/>
    <m/>
  </r>
  <r>
    <n v="56"/>
    <s v="Yes"/>
    <s v="Travel_Rarely"/>
    <n v="441"/>
    <s v="Research &amp; Development"/>
    <n v="14"/>
    <n v="4"/>
    <s v="Life Sciences"/>
    <n v="1"/>
    <n v="161"/>
    <n v="2"/>
    <s v="Female"/>
    <n v="72"/>
    <n v="3"/>
    <n v="1"/>
    <s v="Research Scientist"/>
    <n v="2"/>
    <s v="Married"/>
    <n v="4963"/>
    <n v="4510"/>
    <n v="9"/>
    <s v="Y"/>
    <s v="Yes"/>
    <n v="18"/>
    <n v="3"/>
    <n v="1"/>
    <n v="80"/>
    <n v="3"/>
    <n v="7"/>
    <n v="2"/>
    <n v="3"/>
    <n v="5"/>
    <n v="4"/>
    <n v="4"/>
    <n v="3"/>
    <x v="1"/>
    <n v="1"/>
    <n v="89334"/>
    <n v="1"/>
    <m/>
    <m/>
  </r>
  <r>
    <n v="51"/>
    <s v="No"/>
    <s v="Travel_Rarely"/>
    <n v="684"/>
    <s v="Research &amp; Development"/>
    <n v="6"/>
    <n v="3"/>
    <s v="Life Sciences"/>
    <n v="1"/>
    <n v="162"/>
    <n v="1"/>
    <s v="Male"/>
    <n v="51"/>
    <n v="3"/>
    <n v="5"/>
    <s v="Research Director"/>
    <n v="3"/>
    <s v="Single"/>
    <n v="19537"/>
    <n v="6462"/>
    <n v="7"/>
    <s v="Y"/>
    <s v="No"/>
    <n v="13"/>
    <n v="3"/>
    <n v="3"/>
    <n v="80"/>
    <n v="0"/>
    <n v="23"/>
    <n v="5"/>
    <n v="3"/>
    <n v="20"/>
    <n v="18"/>
    <n v="15"/>
    <n v="15"/>
    <x v="1"/>
    <n v="0"/>
    <n v="0"/>
    <n v="1"/>
    <m/>
    <m/>
  </r>
  <r>
    <n v="31"/>
    <s v="Yes"/>
    <s v="Travel_Rarely"/>
    <n v="249"/>
    <s v="Sales"/>
    <n v="6"/>
    <n v="4"/>
    <s v="Life Sciences"/>
    <n v="1"/>
    <n v="163"/>
    <n v="2"/>
    <s v="Male"/>
    <n v="76"/>
    <n v="1"/>
    <n v="2"/>
    <s v="Sales Executive"/>
    <n v="3"/>
    <s v="Married"/>
    <n v="6172"/>
    <n v="20739"/>
    <n v="4"/>
    <s v="Y"/>
    <s v="Yes"/>
    <n v="18"/>
    <n v="3"/>
    <n v="2"/>
    <n v="80"/>
    <n v="0"/>
    <n v="12"/>
    <n v="3"/>
    <n v="2"/>
    <n v="7"/>
    <n v="7"/>
    <n v="7"/>
    <n v="7"/>
    <x v="0"/>
    <n v="1"/>
    <n v="111096"/>
    <n v="1"/>
    <m/>
    <m/>
  </r>
  <r>
    <n v="26"/>
    <s v="No"/>
    <s v="Travel_Rarely"/>
    <n v="841"/>
    <s v="Research &amp; Development"/>
    <n v="6"/>
    <n v="3"/>
    <s v="Other"/>
    <n v="1"/>
    <n v="164"/>
    <n v="3"/>
    <s v="Female"/>
    <n v="46"/>
    <n v="2"/>
    <n v="1"/>
    <s v="Research Scientist"/>
    <n v="2"/>
    <s v="Married"/>
    <n v="2368"/>
    <n v="23300"/>
    <n v="1"/>
    <s v="Y"/>
    <s v="No"/>
    <n v="19"/>
    <n v="3"/>
    <n v="3"/>
    <n v="80"/>
    <n v="0"/>
    <n v="5"/>
    <n v="3"/>
    <n v="2"/>
    <n v="5"/>
    <n v="4"/>
    <n v="4"/>
    <n v="3"/>
    <x v="1"/>
    <n v="0"/>
    <n v="0"/>
    <n v="1"/>
    <m/>
    <m/>
  </r>
  <r>
    <n v="58"/>
    <s v="Yes"/>
    <s v="Travel_Rarely"/>
    <n v="147"/>
    <s v="Research &amp; Development"/>
    <n v="23"/>
    <n v="4"/>
    <s v="Medical"/>
    <n v="1"/>
    <n v="165"/>
    <n v="4"/>
    <s v="Female"/>
    <n v="94"/>
    <n v="3"/>
    <n v="3"/>
    <s v="Healthcare Representative"/>
    <n v="4"/>
    <s v="Married"/>
    <n v="10312"/>
    <n v="3465"/>
    <n v="1"/>
    <s v="Y"/>
    <s v="No"/>
    <n v="12"/>
    <n v="3"/>
    <n v="4"/>
    <n v="80"/>
    <n v="1"/>
    <n v="40"/>
    <n v="3"/>
    <n v="2"/>
    <n v="40"/>
    <n v="10"/>
    <n v="15"/>
    <n v="6"/>
    <x v="3"/>
    <n v="1"/>
    <n v="185616"/>
    <n v="1"/>
    <m/>
    <m/>
  </r>
  <r>
    <n v="19"/>
    <s v="Yes"/>
    <s v="Travel_Rarely"/>
    <n v="528"/>
    <s v="Sales"/>
    <n v="22"/>
    <n v="1"/>
    <s v="Marketing"/>
    <n v="1"/>
    <n v="167"/>
    <n v="4"/>
    <s v="Male"/>
    <n v="50"/>
    <n v="3"/>
    <n v="1"/>
    <s v="Sales Representative"/>
    <n v="3"/>
    <s v="Single"/>
    <n v="1675"/>
    <n v="26820"/>
    <n v="1"/>
    <s v="Y"/>
    <s v="Yes"/>
    <n v="19"/>
    <n v="3"/>
    <n v="4"/>
    <n v="80"/>
    <n v="0"/>
    <n v="0"/>
    <n v="2"/>
    <n v="2"/>
    <n v="0"/>
    <n v="0"/>
    <n v="0"/>
    <n v="0"/>
    <x v="0"/>
    <n v="1"/>
    <n v="30150"/>
    <n v="1"/>
    <m/>
    <m/>
  </r>
  <r>
    <n v="22"/>
    <s v="No"/>
    <s v="Travel_Rarely"/>
    <n v="594"/>
    <s v="Research &amp; Development"/>
    <n v="2"/>
    <n v="1"/>
    <s v="Technical Degree"/>
    <n v="1"/>
    <n v="169"/>
    <n v="3"/>
    <s v="Male"/>
    <n v="100"/>
    <n v="3"/>
    <n v="1"/>
    <s v="Laboratory Technician"/>
    <n v="4"/>
    <s v="Married"/>
    <n v="2523"/>
    <n v="19299"/>
    <n v="0"/>
    <s v="Y"/>
    <s v="No"/>
    <n v="14"/>
    <n v="3"/>
    <n v="3"/>
    <n v="80"/>
    <n v="1"/>
    <n v="3"/>
    <n v="2"/>
    <n v="3"/>
    <n v="2"/>
    <n v="1"/>
    <n v="2"/>
    <n v="1"/>
    <x v="1"/>
    <n v="0"/>
    <n v="0"/>
    <n v="1"/>
    <m/>
    <m/>
  </r>
  <r>
    <n v="49"/>
    <s v="No"/>
    <s v="Travel_Rarely"/>
    <n v="470"/>
    <s v="Research &amp; Development"/>
    <n v="20"/>
    <n v="4"/>
    <s v="Medical"/>
    <n v="1"/>
    <n v="170"/>
    <n v="3"/>
    <s v="Female"/>
    <n v="96"/>
    <n v="3"/>
    <n v="2"/>
    <s v="Manufacturing Director"/>
    <n v="1"/>
    <s v="Married"/>
    <n v="6567"/>
    <n v="5549"/>
    <n v="1"/>
    <s v="Y"/>
    <s v="No"/>
    <n v="14"/>
    <n v="3"/>
    <n v="3"/>
    <n v="80"/>
    <n v="0"/>
    <n v="16"/>
    <n v="2"/>
    <n v="2"/>
    <n v="15"/>
    <n v="11"/>
    <n v="5"/>
    <n v="11"/>
    <x v="2"/>
    <n v="0"/>
    <n v="0"/>
    <n v="1"/>
    <m/>
    <m/>
  </r>
  <r>
    <n v="43"/>
    <s v="No"/>
    <s v="Travel_Frequently"/>
    <n v="957"/>
    <s v="Research &amp; Development"/>
    <n v="28"/>
    <n v="3"/>
    <s v="Medical"/>
    <n v="1"/>
    <n v="171"/>
    <n v="2"/>
    <s v="Female"/>
    <n v="72"/>
    <n v="4"/>
    <n v="1"/>
    <s v="Research Scientist"/>
    <n v="3"/>
    <s v="Single"/>
    <n v="4739"/>
    <n v="16090"/>
    <n v="4"/>
    <s v="Y"/>
    <s v="No"/>
    <n v="12"/>
    <n v="3"/>
    <n v="4"/>
    <n v="80"/>
    <n v="0"/>
    <n v="18"/>
    <n v="2"/>
    <n v="3"/>
    <n v="3"/>
    <n v="2"/>
    <n v="1"/>
    <n v="2"/>
    <x v="1"/>
    <n v="0"/>
    <n v="0"/>
    <n v="1"/>
    <m/>
    <m/>
  </r>
  <r>
    <n v="50"/>
    <s v="No"/>
    <s v="Travel_Frequently"/>
    <n v="809"/>
    <s v="Sales"/>
    <n v="12"/>
    <n v="3"/>
    <s v="Marketing"/>
    <n v="1"/>
    <n v="174"/>
    <n v="3"/>
    <s v="Female"/>
    <n v="77"/>
    <n v="3"/>
    <n v="3"/>
    <s v="Sales Executive"/>
    <n v="4"/>
    <s v="Single"/>
    <n v="9208"/>
    <n v="6645"/>
    <n v="4"/>
    <s v="Y"/>
    <s v="No"/>
    <n v="11"/>
    <n v="3"/>
    <n v="4"/>
    <n v="80"/>
    <n v="0"/>
    <n v="16"/>
    <n v="3"/>
    <n v="3"/>
    <n v="2"/>
    <n v="2"/>
    <n v="2"/>
    <n v="1"/>
    <x v="0"/>
    <n v="0"/>
    <n v="0"/>
    <n v="1"/>
    <m/>
    <m/>
  </r>
  <r>
    <n v="31"/>
    <s v="Yes"/>
    <s v="Travel_Rarely"/>
    <n v="542"/>
    <s v="Sales"/>
    <n v="20"/>
    <n v="3"/>
    <s v="Life Sciences"/>
    <n v="1"/>
    <n v="175"/>
    <n v="2"/>
    <s v="Female"/>
    <n v="71"/>
    <n v="1"/>
    <n v="2"/>
    <s v="Sales Executive"/>
    <n v="3"/>
    <s v="Married"/>
    <n v="4559"/>
    <n v="24788"/>
    <n v="3"/>
    <s v="Y"/>
    <s v="Yes"/>
    <n v="11"/>
    <n v="3"/>
    <n v="3"/>
    <n v="80"/>
    <n v="1"/>
    <n v="4"/>
    <n v="2"/>
    <n v="3"/>
    <n v="2"/>
    <n v="2"/>
    <n v="2"/>
    <n v="2"/>
    <x v="0"/>
    <n v="1"/>
    <n v="82062"/>
    <n v="1"/>
    <m/>
    <m/>
  </r>
  <r>
    <n v="41"/>
    <s v="No"/>
    <s v="Travel_Rarely"/>
    <n v="802"/>
    <s v="Sales"/>
    <n v="9"/>
    <n v="1"/>
    <s v="Life Sciences"/>
    <n v="1"/>
    <n v="176"/>
    <n v="3"/>
    <s v="Male"/>
    <n v="96"/>
    <n v="3"/>
    <n v="3"/>
    <s v="Sales Executive"/>
    <n v="3"/>
    <s v="Divorced"/>
    <n v="8189"/>
    <n v="21196"/>
    <n v="3"/>
    <s v="Y"/>
    <s v="Yes"/>
    <n v="13"/>
    <n v="3"/>
    <n v="3"/>
    <n v="80"/>
    <n v="1"/>
    <n v="12"/>
    <n v="2"/>
    <n v="3"/>
    <n v="9"/>
    <n v="7"/>
    <n v="0"/>
    <n v="7"/>
    <x v="0"/>
    <n v="0"/>
    <n v="0"/>
    <n v="1"/>
    <m/>
    <m/>
  </r>
  <r>
    <n v="26"/>
    <s v="No"/>
    <s v="Travel_Rarely"/>
    <n v="1355"/>
    <s v="Human Resources"/>
    <n v="25"/>
    <n v="1"/>
    <s v="Life Sciences"/>
    <n v="1"/>
    <n v="177"/>
    <n v="3"/>
    <s v="Female"/>
    <n v="61"/>
    <n v="3"/>
    <n v="1"/>
    <s v="Human Resources"/>
    <n v="3"/>
    <s v="Married"/>
    <n v="2942"/>
    <n v="8916"/>
    <n v="1"/>
    <s v="Y"/>
    <s v="No"/>
    <n v="23"/>
    <n v="4"/>
    <n v="4"/>
    <n v="80"/>
    <n v="1"/>
    <n v="8"/>
    <n v="3"/>
    <n v="3"/>
    <n v="8"/>
    <n v="7"/>
    <n v="5"/>
    <n v="7"/>
    <x v="5"/>
    <n v="0"/>
    <n v="0"/>
    <n v="1"/>
    <m/>
    <m/>
  </r>
  <r>
    <n v="36"/>
    <s v="No"/>
    <s v="Travel_Rarely"/>
    <n v="216"/>
    <s v="Research &amp; Development"/>
    <n v="6"/>
    <n v="2"/>
    <s v="Medical"/>
    <n v="1"/>
    <n v="178"/>
    <n v="2"/>
    <s v="Male"/>
    <n v="84"/>
    <n v="3"/>
    <n v="2"/>
    <s v="Manufacturing Director"/>
    <n v="2"/>
    <s v="Divorced"/>
    <n v="4941"/>
    <n v="2819"/>
    <n v="6"/>
    <s v="Y"/>
    <s v="No"/>
    <n v="20"/>
    <n v="4"/>
    <n v="4"/>
    <n v="80"/>
    <n v="2"/>
    <n v="7"/>
    <n v="0"/>
    <n v="3"/>
    <n v="3"/>
    <n v="2"/>
    <n v="0"/>
    <n v="1"/>
    <x v="2"/>
    <n v="0"/>
    <n v="0"/>
    <n v="1"/>
    <m/>
    <m/>
  </r>
  <r>
    <n v="51"/>
    <s v="Yes"/>
    <s v="Travel_Frequently"/>
    <n v="1150"/>
    <s v="Research &amp; Development"/>
    <n v="8"/>
    <n v="4"/>
    <s v="Life Sciences"/>
    <n v="1"/>
    <n v="179"/>
    <n v="1"/>
    <s v="Male"/>
    <n v="53"/>
    <n v="1"/>
    <n v="3"/>
    <s v="Manufacturing Director"/>
    <n v="4"/>
    <s v="Single"/>
    <n v="10650"/>
    <n v="25150"/>
    <n v="2"/>
    <s v="Y"/>
    <s v="No"/>
    <n v="15"/>
    <n v="3"/>
    <n v="4"/>
    <n v="80"/>
    <n v="0"/>
    <n v="18"/>
    <n v="2"/>
    <n v="3"/>
    <n v="4"/>
    <n v="2"/>
    <n v="0"/>
    <n v="3"/>
    <x v="2"/>
    <n v="1"/>
    <n v="191700"/>
    <n v="1"/>
    <m/>
    <m/>
  </r>
  <r>
    <n v="39"/>
    <s v="No"/>
    <s v="Travel_Rarely"/>
    <n v="1329"/>
    <s v="Sales"/>
    <n v="4"/>
    <n v="4"/>
    <s v="Life Sciences"/>
    <n v="1"/>
    <n v="182"/>
    <n v="4"/>
    <s v="Female"/>
    <n v="47"/>
    <n v="2"/>
    <n v="2"/>
    <s v="Sales Executive"/>
    <n v="3"/>
    <s v="Married"/>
    <n v="5902"/>
    <n v="14590"/>
    <n v="4"/>
    <s v="Y"/>
    <s v="No"/>
    <n v="14"/>
    <n v="3"/>
    <n v="3"/>
    <n v="80"/>
    <n v="1"/>
    <n v="17"/>
    <n v="1"/>
    <n v="4"/>
    <n v="15"/>
    <n v="11"/>
    <n v="5"/>
    <n v="9"/>
    <x v="0"/>
    <n v="0"/>
    <n v="0"/>
    <n v="1"/>
    <m/>
    <m/>
  </r>
  <r>
    <n v="25"/>
    <s v="No"/>
    <s v="Travel_Rarely"/>
    <n v="959"/>
    <s v="Sales"/>
    <n v="28"/>
    <n v="3"/>
    <s v="Life Sciences"/>
    <n v="1"/>
    <n v="183"/>
    <n v="1"/>
    <s v="Male"/>
    <n v="41"/>
    <n v="2"/>
    <n v="2"/>
    <s v="Sales Executive"/>
    <n v="3"/>
    <s v="Married"/>
    <n v="8639"/>
    <n v="24835"/>
    <n v="2"/>
    <s v="Y"/>
    <s v="No"/>
    <n v="18"/>
    <n v="3"/>
    <n v="4"/>
    <n v="80"/>
    <n v="0"/>
    <n v="6"/>
    <n v="3"/>
    <n v="3"/>
    <n v="2"/>
    <n v="2"/>
    <n v="2"/>
    <n v="2"/>
    <x v="0"/>
    <n v="0"/>
    <n v="0"/>
    <n v="1"/>
    <m/>
    <m/>
  </r>
  <r>
    <n v="30"/>
    <s v="No"/>
    <s v="Travel_Rarely"/>
    <n v="1240"/>
    <s v="Human Resources"/>
    <n v="9"/>
    <n v="3"/>
    <s v="Human Resources"/>
    <n v="1"/>
    <n v="184"/>
    <n v="3"/>
    <s v="Male"/>
    <n v="48"/>
    <n v="3"/>
    <n v="2"/>
    <s v="Human Resources"/>
    <n v="4"/>
    <s v="Married"/>
    <n v="6347"/>
    <n v="13982"/>
    <n v="0"/>
    <s v="Y"/>
    <s v="Yes"/>
    <n v="19"/>
    <n v="3"/>
    <n v="4"/>
    <n v="80"/>
    <n v="0"/>
    <n v="12"/>
    <n v="2"/>
    <n v="1"/>
    <n v="11"/>
    <n v="9"/>
    <n v="4"/>
    <n v="7"/>
    <x v="5"/>
    <n v="0"/>
    <n v="0"/>
    <n v="1"/>
    <m/>
    <m/>
  </r>
  <r>
    <n v="32"/>
    <s v="Yes"/>
    <s v="Travel_Rarely"/>
    <n v="1033"/>
    <s v="Research &amp; Development"/>
    <n v="9"/>
    <n v="3"/>
    <s v="Medical"/>
    <n v="1"/>
    <n v="190"/>
    <n v="1"/>
    <s v="Female"/>
    <n v="41"/>
    <n v="3"/>
    <n v="1"/>
    <s v="Laboratory Technician"/>
    <n v="1"/>
    <s v="Single"/>
    <n v="4200"/>
    <n v="10224"/>
    <n v="7"/>
    <s v="Y"/>
    <s v="No"/>
    <n v="22"/>
    <n v="4"/>
    <n v="1"/>
    <n v="80"/>
    <n v="0"/>
    <n v="10"/>
    <n v="2"/>
    <n v="4"/>
    <n v="5"/>
    <n v="4"/>
    <n v="0"/>
    <n v="4"/>
    <x v="1"/>
    <n v="1"/>
    <n v="75600"/>
    <n v="1"/>
    <m/>
    <m/>
  </r>
  <r>
    <n v="45"/>
    <s v="No"/>
    <s v="Travel_Rarely"/>
    <n v="1316"/>
    <s v="Research &amp; Development"/>
    <n v="29"/>
    <n v="3"/>
    <s v="Medical"/>
    <n v="1"/>
    <n v="192"/>
    <n v="3"/>
    <s v="Male"/>
    <n v="83"/>
    <n v="3"/>
    <n v="1"/>
    <s v="Research Scientist"/>
    <n v="4"/>
    <s v="Single"/>
    <n v="3452"/>
    <n v="9752"/>
    <n v="5"/>
    <s v="Y"/>
    <s v="No"/>
    <n v="13"/>
    <n v="3"/>
    <n v="2"/>
    <n v="80"/>
    <n v="0"/>
    <n v="9"/>
    <n v="2"/>
    <n v="2"/>
    <n v="6"/>
    <n v="5"/>
    <n v="0"/>
    <n v="3"/>
    <x v="1"/>
    <n v="0"/>
    <n v="0"/>
    <n v="1"/>
    <m/>
    <m/>
  </r>
  <r>
    <n v="38"/>
    <s v="No"/>
    <s v="Travel_Rarely"/>
    <n v="364"/>
    <s v="Research &amp; Development"/>
    <n v="3"/>
    <n v="5"/>
    <s v="Technical Degree"/>
    <n v="1"/>
    <n v="193"/>
    <n v="4"/>
    <s v="Female"/>
    <n v="32"/>
    <n v="3"/>
    <n v="2"/>
    <s v="Research Scientist"/>
    <n v="3"/>
    <s v="Single"/>
    <n v="4317"/>
    <n v="2302"/>
    <n v="3"/>
    <s v="Y"/>
    <s v="Yes"/>
    <n v="20"/>
    <n v="4"/>
    <n v="2"/>
    <n v="80"/>
    <n v="0"/>
    <n v="19"/>
    <n v="2"/>
    <n v="3"/>
    <n v="3"/>
    <n v="2"/>
    <n v="2"/>
    <n v="2"/>
    <x v="1"/>
    <n v="0"/>
    <n v="0"/>
    <n v="1"/>
    <m/>
    <m/>
  </r>
  <r>
    <n v="30"/>
    <s v="No"/>
    <s v="Travel_Rarely"/>
    <n v="438"/>
    <s v="Research &amp; Development"/>
    <n v="18"/>
    <n v="3"/>
    <s v="Life Sciences"/>
    <n v="1"/>
    <n v="194"/>
    <n v="1"/>
    <s v="Female"/>
    <n v="75"/>
    <n v="3"/>
    <n v="1"/>
    <s v="Research Scientist"/>
    <n v="3"/>
    <s v="Single"/>
    <n v="2632"/>
    <n v="23910"/>
    <n v="1"/>
    <s v="Y"/>
    <s v="No"/>
    <n v="14"/>
    <n v="3"/>
    <n v="3"/>
    <n v="80"/>
    <n v="0"/>
    <n v="5"/>
    <n v="4"/>
    <n v="2"/>
    <n v="5"/>
    <n v="4"/>
    <n v="0"/>
    <n v="4"/>
    <x v="1"/>
    <n v="0"/>
    <n v="0"/>
    <n v="1"/>
    <m/>
    <m/>
  </r>
  <r>
    <n v="32"/>
    <s v="No"/>
    <s v="Travel_Frequently"/>
    <n v="689"/>
    <s v="Sales"/>
    <n v="9"/>
    <n v="2"/>
    <s v="Medical"/>
    <n v="1"/>
    <n v="195"/>
    <n v="4"/>
    <s v="Male"/>
    <n v="35"/>
    <n v="1"/>
    <n v="2"/>
    <s v="Sales Executive"/>
    <n v="4"/>
    <s v="Divorced"/>
    <n v="4668"/>
    <n v="22812"/>
    <n v="0"/>
    <s v="Y"/>
    <s v="No"/>
    <n v="17"/>
    <n v="3"/>
    <n v="4"/>
    <n v="80"/>
    <n v="3"/>
    <n v="9"/>
    <n v="2"/>
    <n v="4"/>
    <n v="8"/>
    <n v="7"/>
    <n v="0"/>
    <n v="7"/>
    <x v="0"/>
    <n v="0"/>
    <n v="0"/>
    <n v="1"/>
    <m/>
    <m/>
  </r>
  <r>
    <n v="30"/>
    <s v="No"/>
    <s v="Travel_Rarely"/>
    <n v="201"/>
    <s v="Research &amp; Development"/>
    <n v="5"/>
    <n v="3"/>
    <s v="Technical Degree"/>
    <n v="1"/>
    <n v="197"/>
    <n v="4"/>
    <s v="Female"/>
    <n v="84"/>
    <n v="3"/>
    <n v="1"/>
    <s v="Research Scientist"/>
    <n v="1"/>
    <s v="Divorced"/>
    <n v="3204"/>
    <n v="10415"/>
    <n v="5"/>
    <s v="Y"/>
    <s v="No"/>
    <n v="14"/>
    <n v="3"/>
    <n v="4"/>
    <n v="80"/>
    <n v="1"/>
    <n v="8"/>
    <n v="3"/>
    <n v="3"/>
    <n v="3"/>
    <n v="2"/>
    <n v="2"/>
    <n v="2"/>
    <x v="1"/>
    <n v="0"/>
    <n v="0"/>
    <n v="1"/>
    <m/>
    <m/>
  </r>
  <r>
    <n v="30"/>
    <s v="No"/>
    <s v="Travel_Rarely"/>
    <n v="1427"/>
    <s v="Research &amp; Development"/>
    <n v="2"/>
    <n v="1"/>
    <s v="Medical"/>
    <n v="1"/>
    <n v="198"/>
    <n v="2"/>
    <s v="Male"/>
    <n v="35"/>
    <n v="2"/>
    <n v="1"/>
    <s v="Laboratory Technician"/>
    <n v="4"/>
    <s v="Single"/>
    <n v="2720"/>
    <n v="11162"/>
    <n v="0"/>
    <s v="Y"/>
    <s v="No"/>
    <n v="13"/>
    <n v="3"/>
    <n v="4"/>
    <n v="80"/>
    <n v="0"/>
    <n v="6"/>
    <n v="3"/>
    <n v="3"/>
    <n v="5"/>
    <n v="3"/>
    <n v="1"/>
    <n v="2"/>
    <x v="1"/>
    <n v="0"/>
    <n v="0"/>
    <n v="1"/>
    <m/>
    <m/>
  </r>
  <r>
    <n v="41"/>
    <s v="No"/>
    <s v="Travel_Frequently"/>
    <n v="857"/>
    <s v="Research &amp; Development"/>
    <n v="10"/>
    <n v="3"/>
    <s v="Life Sciences"/>
    <n v="1"/>
    <n v="199"/>
    <n v="4"/>
    <s v="Male"/>
    <n v="91"/>
    <n v="2"/>
    <n v="4"/>
    <s v="Manager"/>
    <n v="1"/>
    <s v="Divorced"/>
    <n v="17181"/>
    <n v="12888"/>
    <n v="4"/>
    <s v="Y"/>
    <s v="No"/>
    <n v="13"/>
    <n v="3"/>
    <n v="2"/>
    <n v="80"/>
    <n v="1"/>
    <n v="21"/>
    <n v="2"/>
    <n v="2"/>
    <n v="7"/>
    <n v="6"/>
    <n v="7"/>
    <n v="7"/>
    <x v="4"/>
    <n v="0"/>
    <n v="0"/>
    <n v="1"/>
    <m/>
    <m/>
  </r>
  <r>
    <n v="41"/>
    <s v="No"/>
    <s v="Travel_Rarely"/>
    <n v="933"/>
    <s v="Research &amp; Development"/>
    <n v="9"/>
    <n v="4"/>
    <s v="Life Sciences"/>
    <n v="1"/>
    <n v="200"/>
    <n v="3"/>
    <s v="Male"/>
    <n v="94"/>
    <n v="3"/>
    <n v="1"/>
    <s v="Laboratory Technician"/>
    <n v="1"/>
    <s v="Married"/>
    <n v="2238"/>
    <n v="6961"/>
    <n v="2"/>
    <s v="Y"/>
    <s v="No"/>
    <n v="21"/>
    <n v="4"/>
    <n v="4"/>
    <n v="80"/>
    <n v="1"/>
    <n v="7"/>
    <n v="2"/>
    <n v="3"/>
    <n v="5"/>
    <n v="0"/>
    <n v="1"/>
    <n v="4"/>
    <x v="1"/>
    <n v="0"/>
    <n v="0"/>
    <n v="1"/>
    <m/>
    <m/>
  </r>
  <r>
    <n v="19"/>
    <s v="No"/>
    <s v="Travel_Rarely"/>
    <n v="1181"/>
    <s v="Research &amp; Development"/>
    <n v="3"/>
    <n v="1"/>
    <s v="Medical"/>
    <n v="1"/>
    <n v="201"/>
    <n v="2"/>
    <s v="Female"/>
    <n v="79"/>
    <n v="3"/>
    <n v="1"/>
    <s v="Laboratory Technician"/>
    <n v="2"/>
    <s v="Single"/>
    <n v="1483"/>
    <n v="16102"/>
    <n v="1"/>
    <s v="Y"/>
    <s v="No"/>
    <n v="14"/>
    <n v="3"/>
    <n v="4"/>
    <n v="80"/>
    <n v="0"/>
    <n v="1"/>
    <n v="3"/>
    <n v="3"/>
    <n v="1"/>
    <n v="0"/>
    <n v="0"/>
    <n v="0"/>
    <x v="1"/>
    <n v="0"/>
    <n v="0"/>
    <n v="1"/>
    <m/>
    <m/>
  </r>
  <r>
    <n v="40"/>
    <s v="No"/>
    <s v="Travel_Frequently"/>
    <n v="1395"/>
    <s v="Research &amp; Development"/>
    <n v="26"/>
    <n v="3"/>
    <s v="Medical"/>
    <n v="1"/>
    <n v="202"/>
    <n v="2"/>
    <s v="Female"/>
    <n v="54"/>
    <n v="3"/>
    <n v="2"/>
    <s v="Research Scientist"/>
    <n v="2"/>
    <s v="Divorced"/>
    <n v="5605"/>
    <n v="8504"/>
    <n v="1"/>
    <s v="Y"/>
    <s v="No"/>
    <n v="11"/>
    <n v="3"/>
    <n v="1"/>
    <n v="80"/>
    <n v="1"/>
    <n v="20"/>
    <n v="2"/>
    <n v="3"/>
    <n v="20"/>
    <n v="7"/>
    <n v="2"/>
    <n v="13"/>
    <x v="1"/>
    <n v="0"/>
    <n v="0"/>
    <n v="1"/>
    <m/>
    <m/>
  </r>
  <r>
    <n v="35"/>
    <s v="No"/>
    <s v="Travel_Rarely"/>
    <n v="662"/>
    <s v="Sales"/>
    <n v="1"/>
    <n v="5"/>
    <s v="Marketing"/>
    <n v="1"/>
    <n v="204"/>
    <n v="3"/>
    <s v="Male"/>
    <n v="94"/>
    <n v="3"/>
    <n v="3"/>
    <s v="Sales Executive"/>
    <n v="2"/>
    <s v="Married"/>
    <n v="7295"/>
    <n v="11439"/>
    <n v="1"/>
    <s v="Y"/>
    <s v="No"/>
    <n v="13"/>
    <n v="3"/>
    <n v="1"/>
    <n v="80"/>
    <n v="2"/>
    <n v="10"/>
    <n v="3"/>
    <n v="3"/>
    <n v="10"/>
    <n v="8"/>
    <n v="0"/>
    <n v="6"/>
    <x v="0"/>
    <n v="0"/>
    <n v="0"/>
    <n v="1"/>
    <m/>
    <m/>
  </r>
  <r>
    <n v="53"/>
    <s v="No"/>
    <s v="Travel_Rarely"/>
    <n v="1436"/>
    <s v="Sales"/>
    <n v="6"/>
    <n v="2"/>
    <s v="Marketing"/>
    <n v="1"/>
    <n v="205"/>
    <n v="2"/>
    <s v="Male"/>
    <n v="34"/>
    <n v="3"/>
    <n v="2"/>
    <s v="Sales Representative"/>
    <n v="3"/>
    <s v="Married"/>
    <n v="2306"/>
    <n v="16047"/>
    <n v="2"/>
    <s v="Y"/>
    <s v="Yes"/>
    <n v="20"/>
    <n v="4"/>
    <n v="4"/>
    <n v="80"/>
    <n v="1"/>
    <n v="13"/>
    <n v="3"/>
    <n v="1"/>
    <n v="7"/>
    <n v="7"/>
    <n v="4"/>
    <n v="5"/>
    <x v="0"/>
    <n v="0"/>
    <n v="0"/>
    <n v="1"/>
    <m/>
    <m/>
  </r>
  <r>
    <n v="45"/>
    <s v="No"/>
    <s v="Travel_Rarely"/>
    <n v="194"/>
    <s v="Research &amp; Development"/>
    <n v="9"/>
    <n v="3"/>
    <s v="Life Sciences"/>
    <n v="1"/>
    <n v="206"/>
    <n v="2"/>
    <s v="Male"/>
    <n v="60"/>
    <n v="3"/>
    <n v="2"/>
    <s v="Laboratory Technician"/>
    <n v="2"/>
    <s v="Divorced"/>
    <n v="2348"/>
    <n v="10901"/>
    <n v="8"/>
    <s v="Y"/>
    <s v="No"/>
    <n v="18"/>
    <n v="3"/>
    <n v="3"/>
    <n v="80"/>
    <n v="1"/>
    <n v="20"/>
    <n v="2"/>
    <n v="1"/>
    <n v="17"/>
    <n v="9"/>
    <n v="0"/>
    <n v="15"/>
    <x v="1"/>
    <n v="0"/>
    <n v="0"/>
    <n v="1"/>
    <m/>
    <m/>
  </r>
  <r>
    <n v="32"/>
    <s v="No"/>
    <s v="Travel_Frequently"/>
    <n v="967"/>
    <s v="Sales"/>
    <n v="8"/>
    <n v="3"/>
    <s v="Marketing"/>
    <n v="1"/>
    <n v="207"/>
    <n v="2"/>
    <s v="Female"/>
    <n v="43"/>
    <n v="3"/>
    <n v="3"/>
    <s v="Sales Executive"/>
    <n v="4"/>
    <s v="Single"/>
    <n v="8998"/>
    <n v="15589"/>
    <n v="1"/>
    <s v="Y"/>
    <s v="No"/>
    <n v="14"/>
    <n v="3"/>
    <n v="4"/>
    <n v="80"/>
    <n v="0"/>
    <n v="9"/>
    <n v="2"/>
    <n v="3"/>
    <n v="9"/>
    <n v="8"/>
    <n v="3"/>
    <n v="7"/>
    <x v="0"/>
    <n v="0"/>
    <n v="0"/>
    <n v="1"/>
    <m/>
    <m/>
  </r>
  <r>
    <n v="29"/>
    <s v="No"/>
    <s v="Non-Travel"/>
    <n v="1496"/>
    <s v="Research &amp; Development"/>
    <n v="1"/>
    <n v="1"/>
    <s v="Technical Degree"/>
    <n v="1"/>
    <n v="208"/>
    <n v="4"/>
    <s v="Male"/>
    <n v="41"/>
    <n v="3"/>
    <n v="2"/>
    <s v="Manufacturing Director"/>
    <n v="3"/>
    <s v="Married"/>
    <n v="4319"/>
    <n v="26283"/>
    <n v="1"/>
    <s v="Y"/>
    <s v="No"/>
    <n v="13"/>
    <n v="3"/>
    <n v="1"/>
    <n v="80"/>
    <n v="1"/>
    <n v="10"/>
    <n v="1"/>
    <n v="3"/>
    <n v="10"/>
    <n v="7"/>
    <n v="0"/>
    <n v="9"/>
    <x v="2"/>
    <n v="0"/>
    <n v="0"/>
    <n v="1"/>
    <m/>
    <m/>
  </r>
  <r>
    <n v="51"/>
    <s v="No"/>
    <s v="Travel_Rarely"/>
    <n v="1169"/>
    <s v="Research &amp; Development"/>
    <n v="7"/>
    <n v="4"/>
    <s v="Medical"/>
    <n v="1"/>
    <n v="211"/>
    <n v="2"/>
    <s v="Male"/>
    <n v="34"/>
    <n v="2"/>
    <n v="2"/>
    <s v="Manufacturing Director"/>
    <n v="3"/>
    <s v="Married"/>
    <n v="6132"/>
    <n v="13983"/>
    <n v="2"/>
    <s v="Y"/>
    <s v="No"/>
    <n v="17"/>
    <n v="3"/>
    <n v="3"/>
    <n v="80"/>
    <n v="0"/>
    <n v="10"/>
    <n v="2"/>
    <n v="3"/>
    <n v="1"/>
    <n v="0"/>
    <n v="0"/>
    <n v="0"/>
    <x v="2"/>
    <n v="0"/>
    <n v="0"/>
    <n v="1"/>
    <m/>
    <m/>
  </r>
  <r>
    <n v="58"/>
    <s v="No"/>
    <s v="Travel_Rarely"/>
    <n v="1145"/>
    <s v="Research &amp; Development"/>
    <n v="9"/>
    <n v="3"/>
    <s v="Medical"/>
    <n v="1"/>
    <n v="214"/>
    <n v="2"/>
    <s v="Female"/>
    <n v="75"/>
    <n v="2"/>
    <n v="1"/>
    <s v="Research Scientist"/>
    <n v="2"/>
    <s v="Married"/>
    <n v="3346"/>
    <n v="11873"/>
    <n v="4"/>
    <s v="Y"/>
    <s v="Yes"/>
    <n v="20"/>
    <n v="4"/>
    <n v="2"/>
    <n v="80"/>
    <n v="1"/>
    <n v="9"/>
    <n v="3"/>
    <n v="2"/>
    <n v="1"/>
    <n v="0"/>
    <n v="0"/>
    <n v="0"/>
    <x v="1"/>
    <n v="0"/>
    <n v="0"/>
    <n v="1"/>
    <m/>
    <m/>
  </r>
  <r>
    <n v="40"/>
    <s v="No"/>
    <s v="Travel_Rarely"/>
    <n v="630"/>
    <s v="Sales"/>
    <n v="4"/>
    <n v="4"/>
    <s v="Marketing"/>
    <n v="1"/>
    <n v="215"/>
    <n v="3"/>
    <s v="Male"/>
    <n v="67"/>
    <n v="2"/>
    <n v="3"/>
    <s v="Sales Executive"/>
    <n v="4"/>
    <s v="Married"/>
    <n v="10855"/>
    <n v="8552"/>
    <n v="7"/>
    <s v="Y"/>
    <s v="No"/>
    <n v="11"/>
    <n v="3"/>
    <n v="1"/>
    <n v="80"/>
    <n v="1"/>
    <n v="15"/>
    <n v="2"/>
    <n v="2"/>
    <n v="12"/>
    <n v="11"/>
    <n v="2"/>
    <n v="11"/>
    <x v="0"/>
    <n v="0"/>
    <n v="0"/>
    <n v="1"/>
    <m/>
    <m/>
  </r>
  <r>
    <n v="34"/>
    <s v="No"/>
    <s v="Travel_Frequently"/>
    <n v="303"/>
    <s v="Sales"/>
    <n v="2"/>
    <n v="4"/>
    <s v="Marketing"/>
    <n v="1"/>
    <n v="216"/>
    <n v="3"/>
    <s v="Female"/>
    <n v="75"/>
    <n v="3"/>
    <n v="1"/>
    <s v="Sales Representative"/>
    <n v="3"/>
    <s v="Married"/>
    <n v="2231"/>
    <n v="11314"/>
    <n v="6"/>
    <s v="Y"/>
    <s v="No"/>
    <n v="18"/>
    <n v="3"/>
    <n v="4"/>
    <n v="80"/>
    <n v="1"/>
    <n v="6"/>
    <n v="3"/>
    <n v="3"/>
    <n v="4"/>
    <n v="3"/>
    <n v="1"/>
    <n v="2"/>
    <x v="0"/>
    <n v="0"/>
    <n v="0"/>
    <n v="1"/>
    <m/>
    <m/>
  </r>
  <r>
    <n v="22"/>
    <s v="No"/>
    <s v="Travel_Rarely"/>
    <n v="1256"/>
    <s v="Research &amp; Development"/>
    <n v="19"/>
    <n v="1"/>
    <s v="Medical"/>
    <n v="1"/>
    <n v="217"/>
    <n v="3"/>
    <s v="Male"/>
    <n v="80"/>
    <n v="3"/>
    <n v="1"/>
    <s v="Research Scientist"/>
    <n v="4"/>
    <s v="Married"/>
    <n v="2323"/>
    <n v="11992"/>
    <n v="1"/>
    <s v="Y"/>
    <s v="No"/>
    <n v="24"/>
    <n v="4"/>
    <n v="1"/>
    <n v="80"/>
    <n v="2"/>
    <n v="2"/>
    <n v="6"/>
    <n v="3"/>
    <n v="2"/>
    <n v="2"/>
    <n v="2"/>
    <n v="2"/>
    <x v="1"/>
    <n v="0"/>
    <n v="0"/>
    <n v="1"/>
    <m/>
    <m/>
  </r>
  <r>
    <n v="27"/>
    <s v="No"/>
    <s v="Non-Travel"/>
    <n v="691"/>
    <s v="Research &amp; Development"/>
    <n v="9"/>
    <n v="3"/>
    <s v="Medical"/>
    <n v="1"/>
    <n v="218"/>
    <n v="4"/>
    <s v="Male"/>
    <n v="57"/>
    <n v="3"/>
    <n v="1"/>
    <s v="Research Scientist"/>
    <n v="2"/>
    <s v="Divorced"/>
    <n v="2024"/>
    <n v="5970"/>
    <n v="6"/>
    <s v="Y"/>
    <s v="No"/>
    <n v="18"/>
    <n v="3"/>
    <n v="4"/>
    <n v="80"/>
    <n v="1"/>
    <n v="6"/>
    <n v="1"/>
    <n v="1"/>
    <n v="2"/>
    <n v="2"/>
    <n v="2"/>
    <n v="2"/>
    <x v="1"/>
    <n v="0"/>
    <n v="0"/>
    <n v="1"/>
    <m/>
    <m/>
  </r>
  <r>
    <n v="28"/>
    <s v="No"/>
    <s v="Travel_Rarely"/>
    <n v="440"/>
    <s v="Research &amp; Development"/>
    <n v="21"/>
    <n v="3"/>
    <s v="Medical"/>
    <n v="1"/>
    <n v="221"/>
    <n v="3"/>
    <s v="Male"/>
    <n v="42"/>
    <n v="3"/>
    <n v="1"/>
    <s v="Research Scientist"/>
    <n v="4"/>
    <s v="Married"/>
    <n v="2713"/>
    <n v="6672"/>
    <n v="1"/>
    <s v="Y"/>
    <s v="No"/>
    <n v="11"/>
    <n v="3"/>
    <n v="3"/>
    <n v="80"/>
    <n v="1"/>
    <n v="5"/>
    <n v="2"/>
    <n v="1"/>
    <n v="5"/>
    <n v="2"/>
    <n v="0"/>
    <n v="2"/>
    <x v="1"/>
    <n v="0"/>
    <n v="0"/>
    <n v="1"/>
    <m/>
    <m/>
  </r>
  <r>
    <n v="57"/>
    <s v="No"/>
    <s v="Travel_Rarely"/>
    <n v="334"/>
    <s v="Research &amp; Development"/>
    <n v="24"/>
    <n v="2"/>
    <s v="Life Sciences"/>
    <n v="1"/>
    <n v="223"/>
    <n v="3"/>
    <s v="Male"/>
    <n v="83"/>
    <n v="4"/>
    <n v="3"/>
    <s v="Healthcare Representative"/>
    <n v="4"/>
    <s v="Divorced"/>
    <n v="9439"/>
    <n v="23402"/>
    <n v="3"/>
    <s v="Y"/>
    <s v="Yes"/>
    <n v="16"/>
    <n v="3"/>
    <n v="2"/>
    <n v="80"/>
    <n v="1"/>
    <n v="12"/>
    <n v="2"/>
    <n v="1"/>
    <n v="5"/>
    <n v="3"/>
    <n v="1"/>
    <n v="4"/>
    <x v="3"/>
    <n v="0"/>
    <n v="0"/>
    <n v="1"/>
    <m/>
    <m/>
  </r>
  <r>
    <n v="27"/>
    <s v="No"/>
    <s v="Non-Travel"/>
    <n v="1450"/>
    <s v="Research &amp; Development"/>
    <n v="3"/>
    <n v="3"/>
    <s v="Medical"/>
    <n v="1"/>
    <n v="224"/>
    <n v="3"/>
    <s v="Male"/>
    <n v="79"/>
    <n v="2"/>
    <n v="1"/>
    <s v="Research Scientist"/>
    <n v="3"/>
    <s v="Divorced"/>
    <n v="2566"/>
    <n v="25326"/>
    <n v="1"/>
    <s v="Y"/>
    <s v="Yes"/>
    <n v="15"/>
    <n v="3"/>
    <n v="4"/>
    <n v="80"/>
    <n v="1"/>
    <n v="1"/>
    <n v="2"/>
    <n v="2"/>
    <n v="1"/>
    <n v="1"/>
    <n v="0"/>
    <n v="1"/>
    <x v="1"/>
    <n v="0"/>
    <n v="0"/>
    <n v="1"/>
    <m/>
    <m/>
  </r>
  <r>
    <n v="50"/>
    <s v="No"/>
    <s v="Travel_Rarely"/>
    <n v="1452"/>
    <s v="Research &amp; Development"/>
    <n v="11"/>
    <n v="3"/>
    <s v="Life Sciences"/>
    <n v="1"/>
    <n v="226"/>
    <n v="3"/>
    <s v="Female"/>
    <n v="53"/>
    <n v="3"/>
    <n v="5"/>
    <s v="Manager"/>
    <n v="2"/>
    <s v="Single"/>
    <n v="19926"/>
    <n v="17053"/>
    <n v="3"/>
    <s v="Y"/>
    <s v="No"/>
    <n v="15"/>
    <n v="3"/>
    <n v="2"/>
    <n v="80"/>
    <n v="0"/>
    <n v="21"/>
    <n v="5"/>
    <n v="3"/>
    <n v="5"/>
    <n v="4"/>
    <n v="4"/>
    <n v="4"/>
    <x v="4"/>
    <n v="0"/>
    <n v="0"/>
    <n v="1"/>
    <m/>
    <m/>
  </r>
  <r>
    <n v="41"/>
    <s v="No"/>
    <s v="Travel_Rarely"/>
    <n v="465"/>
    <s v="Research &amp; Development"/>
    <n v="14"/>
    <n v="3"/>
    <s v="Life Sciences"/>
    <n v="1"/>
    <n v="227"/>
    <n v="1"/>
    <s v="Male"/>
    <n v="56"/>
    <n v="3"/>
    <n v="1"/>
    <s v="Research Scientist"/>
    <n v="3"/>
    <s v="Divorced"/>
    <n v="2451"/>
    <n v="4609"/>
    <n v="4"/>
    <s v="Y"/>
    <s v="No"/>
    <n v="12"/>
    <n v="3"/>
    <n v="1"/>
    <n v="80"/>
    <n v="1"/>
    <n v="13"/>
    <n v="2"/>
    <n v="3"/>
    <n v="9"/>
    <n v="8"/>
    <n v="1"/>
    <n v="8"/>
    <x v="1"/>
    <n v="0"/>
    <n v="0"/>
    <n v="1"/>
    <m/>
    <m/>
  </r>
  <r>
    <n v="30"/>
    <s v="No"/>
    <s v="Travel_Rarely"/>
    <n v="1339"/>
    <s v="Sales"/>
    <n v="5"/>
    <n v="3"/>
    <s v="Life Sciences"/>
    <n v="1"/>
    <n v="228"/>
    <n v="2"/>
    <s v="Female"/>
    <n v="41"/>
    <n v="3"/>
    <n v="3"/>
    <s v="Sales Executive"/>
    <n v="4"/>
    <s v="Married"/>
    <n v="9419"/>
    <n v="8053"/>
    <n v="2"/>
    <s v="Y"/>
    <s v="No"/>
    <n v="12"/>
    <n v="3"/>
    <n v="3"/>
    <n v="80"/>
    <n v="1"/>
    <n v="12"/>
    <n v="2"/>
    <n v="3"/>
    <n v="10"/>
    <n v="9"/>
    <n v="7"/>
    <n v="4"/>
    <x v="0"/>
    <n v="0"/>
    <n v="0"/>
    <n v="1"/>
    <m/>
    <m/>
  </r>
  <r>
    <n v="38"/>
    <s v="No"/>
    <s v="Travel_Rarely"/>
    <n v="702"/>
    <s v="Sales"/>
    <n v="1"/>
    <n v="4"/>
    <s v="Life Sciences"/>
    <n v="1"/>
    <n v="230"/>
    <n v="1"/>
    <s v="Female"/>
    <n v="59"/>
    <n v="2"/>
    <n v="2"/>
    <s v="Sales Executive"/>
    <n v="4"/>
    <s v="Single"/>
    <n v="8686"/>
    <n v="12930"/>
    <n v="4"/>
    <s v="Y"/>
    <s v="No"/>
    <n v="22"/>
    <n v="4"/>
    <n v="3"/>
    <n v="80"/>
    <n v="0"/>
    <n v="12"/>
    <n v="2"/>
    <n v="4"/>
    <n v="8"/>
    <n v="3"/>
    <n v="0"/>
    <n v="7"/>
    <x v="0"/>
    <n v="0"/>
    <n v="0"/>
    <n v="1"/>
    <m/>
    <m/>
  </r>
  <r>
    <n v="32"/>
    <s v="No"/>
    <s v="Travel_Rarely"/>
    <n v="120"/>
    <s v="Research &amp; Development"/>
    <n v="6"/>
    <n v="5"/>
    <s v="Life Sciences"/>
    <n v="1"/>
    <n v="231"/>
    <n v="3"/>
    <s v="Male"/>
    <n v="43"/>
    <n v="3"/>
    <n v="1"/>
    <s v="Research Scientist"/>
    <n v="3"/>
    <s v="Single"/>
    <n v="3038"/>
    <n v="12430"/>
    <n v="3"/>
    <s v="Y"/>
    <s v="No"/>
    <n v="20"/>
    <n v="4"/>
    <n v="1"/>
    <n v="80"/>
    <n v="0"/>
    <n v="8"/>
    <n v="2"/>
    <n v="3"/>
    <n v="5"/>
    <n v="4"/>
    <n v="1"/>
    <n v="4"/>
    <x v="1"/>
    <n v="0"/>
    <n v="0"/>
    <n v="1"/>
    <m/>
    <m/>
  </r>
  <r>
    <n v="27"/>
    <s v="No"/>
    <s v="Travel_Rarely"/>
    <n v="1157"/>
    <s v="Research &amp; Development"/>
    <n v="17"/>
    <n v="3"/>
    <s v="Technical Degree"/>
    <n v="1"/>
    <n v="233"/>
    <n v="3"/>
    <s v="Male"/>
    <n v="51"/>
    <n v="3"/>
    <n v="1"/>
    <s v="Research Scientist"/>
    <n v="2"/>
    <s v="Married"/>
    <n v="3058"/>
    <n v="13364"/>
    <n v="0"/>
    <s v="Y"/>
    <s v="Yes"/>
    <n v="16"/>
    <n v="3"/>
    <n v="4"/>
    <n v="80"/>
    <n v="1"/>
    <n v="6"/>
    <n v="3"/>
    <n v="2"/>
    <n v="5"/>
    <n v="2"/>
    <n v="1"/>
    <n v="1"/>
    <x v="1"/>
    <n v="0"/>
    <n v="0"/>
    <n v="1"/>
    <m/>
    <m/>
  </r>
  <r>
    <n v="19"/>
    <s v="Yes"/>
    <s v="Travel_Frequently"/>
    <n v="602"/>
    <s v="Sales"/>
    <n v="1"/>
    <n v="1"/>
    <s v="Technical Degree"/>
    <n v="1"/>
    <n v="235"/>
    <n v="3"/>
    <s v="Female"/>
    <n v="100"/>
    <n v="1"/>
    <n v="1"/>
    <s v="Sales Representative"/>
    <n v="1"/>
    <s v="Single"/>
    <n v="2325"/>
    <n v="20989"/>
    <n v="0"/>
    <s v="Y"/>
    <s v="No"/>
    <n v="21"/>
    <n v="4"/>
    <n v="1"/>
    <n v="80"/>
    <n v="0"/>
    <n v="1"/>
    <n v="5"/>
    <n v="4"/>
    <n v="0"/>
    <n v="0"/>
    <n v="0"/>
    <n v="0"/>
    <x v="0"/>
    <n v="1"/>
    <n v="41850"/>
    <n v="1"/>
    <m/>
    <m/>
  </r>
  <r>
    <n v="36"/>
    <s v="No"/>
    <s v="Travel_Frequently"/>
    <n v="1480"/>
    <s v="Research &amp; Development"/>
    <n v="3"/>
    <n v="2"/>
    <s v="Medical"/>
    <n v="1"/>
    <n v="238"/>
    <n v="4"/>
    <s v="Male"/>
    <n v="30"/>
    <n v="3"/>
    <n v="1"/>
    <s v="Laboratory Technician"/>
    <n v="2"/>
    <s v="Single"/>
    <n v="2088"/>
    <n v="15062"/>
    <n v="4"/>
    <s v="Y"/>
    <s v="No"/>
    <n v="12"/>
    <n v="3"/>
    <n v="3"/>
    <n v="80"/>
    <n v="0"/>
    <n v="13"/>
    <n v="3"/>
    <n v="2"/>
    <n v="8"/>
    <n v="7"/>
    <n v="7"/>
    <n v="2"/>
    <x v="1"/>
    <n v="0"/>
    <n v="0"/>
    <n v="1"/>
    <m/>
    <m/>
  </r>
  <r>
    <n v="30"/>
    <s v="No"/>
    <s v="Non-Travel"/>
    <n v="111"/>
    <s v="Research &amp; Development"/>
    <n v="9"/>
    <n v="3"/>
    <s v="Medical"/>
    <n v="1"/>
    <n v="239"/>
    <n v="3"/>
    <s v="Male"/>
    <n v="66"/>
    <n v="3"/>
    <n v="2"/>
    <s v="Laboratory Technician"/>
    <n v="1"/>
    <s v="Divorced"/>
    <n v="3072"/>
    <n v="11012"/>
    <n v="1"/>
    <s v="Y"/>
    <s v="No"/>
    <n v="11"/>
    <n v="3"/>
    <n v="3"/>
    <n v="80"/>
    <n v="2"/>
    <n v="12"/>
    <n v="4"/>
    <n v="3"/>
    <n v="12"/>
    <n v="9"/>
    <n v="6"/>
    <n v="10"/>
    <x v="1"/>
    <n v="0"/>
    <n v="0"/>
    <n v="1"/>
    <m/>
    <m/>
  </r>
  <r>
    <n v="45"/>
    <s v="No"/>
    <s v="Travel_Rarely"/>
    <n v="1268"/>
    <s v="Sales"/>
    <n v="4"/>
    <n v="2"/>
    <s v="Life Sciences"/>
    <n v="1"/>
    <n v="240"/>
    <n v="3"/>
    <s v="Female"/>
    <n v="30"/>
    <n v="3"/>
    <n v="2"/>
    <s v="Sales Executive"/>
    <n v="1"/>
    <s v="Divorced"/>
    <n v="5006"/>
    <n v="6319"/>
    <n v="4"/>
    <s v="Y"/>
    <s v="Yes"/>
    <n v="11"/>
    <n v="3"/>
    <n v="1"/>
    <n v="80"/>
    <n v="1"/>
    <n v="9"/>
    <n v="3"/>
    <n v="4"/>
    <n v="5"/>
    <n v="4"/>
    <n v="0"/>
    <n v="3"/>
    <x v="0"/>
    <n v="0"/>
    <n v="0"/>
    <n v="1"/>
    <m/>
    <m/>
  </r>
  <r>
    <n v="56"/>
    <s v="No"/>
    <s v="Travel_Rarely"/>
    <n v="713"/>
    <s v="Research &amp; Development"/>
    <n v="8"/>
    <n v="3"/>
    <s v="Life Sciences"/>
    <n v="1"/>
    <n v="241"/>
    <n v="3"/>
    <s v="Female"/>
    <n v="67"/>
    <n v="3"/>
    <n v="1"/>
    <s v="Research Scientist"/>
    <n v="1"/>
    <s v="Divorced"/>
    <n v="4257"/>
    <n v="13939"/>
    <n v="4"/>
    <s v="Y"/>
    <s v="Yes"/>
    <n v="18"/>
    <n v="3"/>
    <n v="3"/>
    <n v="80"/>
    <n v="1"/>
    <n v="19"/>
    <n v="3"/>
    <n v="3"/>
    <n v="2"/>
    <n v="2"/>
    <n v="2"/>
    <n v="2"/>
    <x v="1"/>
    <n v="0"/>
    <n v="0"/>
    <n v="1"/>
    <m/>
    <m/>
  </r>
  <r>
    <n v="33"/>
    <s v="No"/>
    <s v="Travel_Rarely"/>
    <n v="134"/>
    <s v="Research &amp; Development"/>
    <n v="2"/>
    <n v="3"/>
    <s v="Life Sciences"/>
    <n v="1"/>
    <n v="242"/>
    <n v="3"/>
    <s v="Male"/>
    <n v="90"/>
    <n v="3"/>
    <n v="1"/>
    <s v="Research Scientist"/>
    <n v="4"/>
    <s v="Single"/>
    <n v="2500"/>
    <n v="10515"/>
    <n v="0"/>
    <s v="Y"/>
    <s v="No"/>
    <n v="14"/>
    <n v="3"/>
    <n v="1"/>
    <n v="80"/>
    <n v="0"/>
    <n v="4"/>
    <n v="2"/>
    <n v="4"/>
    <n v="3"/>
    <n v="1"/>
    <n v="0"/>
    <n v="2"/>
    <x v="1"/>
    <n v="0"/>
    <n v="0"/>
    <n v="1"/>
    <m/>
    <m/>
  </r>
  <r>
    <n v="19"/>
    <s v="Yes"/>
    <s v="Travel_Rarely"/>
    <n v="303"/>
    <s v="Research &amp; Development"/>
    <n v="2"/>
    <n v="3"/>
    <s v="Life Sciences"/>
    <n v="1"/>
    <n v="243"/>
    <n v="2"/>
    <s v="Male"/>
    <n v="47"/>
    <n v="2"/>
    <n v="1"/>
    <s v="Laboratory Technician"/>
    <n v="4"/>
    <s v="Single"/>
    <n v="1102"/>
    <n v="9241"/>
    <n v="1"/>
    <s v="Y"/>
    <s v="No"/>
    <n v="22"/>
    <n v="4"/>
    <n v="3"/>
    <n v="80"/>
    <n v="0"/>
    <n v="1"/>
    <n v="3"/>
    <n v="2"/>
    <n v="1"/>
    <n v="0"/>
    <n v="1"/>
    <n v="0"/>
    <x v="1"/>
    <n v="1"/>
    <n v="19836"/>
    <n v="1"/>
    <m/>
    <m/>
  </r>
  <r>
    <n v="46"/>
    <s v="No"/>
    <s v="Travel_Rarely"/>
    <n v="526"/>
    <s v="Sales"/>
    <n v="1"/>
    <n v="2"/>
    <s v="Marketing"/>
    <n v="1"/>
    <n v="244"/>
    <n v="2"/>
    <s v="Female"/>
    <n v="92"/>
    <n v="3"/>
    <n v="3"/>
    <s v="Sales Executive"/>
    <n v="1"/>
    <s v="Divorced"/>
    <n v="10453"/>
    <n v="2137"/>
    <n v="1"/>
    <s v="Y"/>
    <s v="No"/>
    <n v="25"/>
    <n v="4"/>
    <n v="3"/>
    <n v="80"/>
    <n v="3"/>
    <n v="24"/>
    <n v="2"/>
    <n v="3"/>
    <n v="24"/>
    <n v="13"/>
    <n v="15"/>
    <n v="7"/>
    <x v="0"/>
    <n v="0"/>
    <n v="0"/>
    <n v="1"/>
    <m/>
    <m/>
  </r>
  <r>
    <n v="38"/>
    <s v="No"/>
    <s v="Travel_Rarely"/>
    <n v="1380"/>
    <s v="Research &amp; Development"/>
    <n v="9"/>
    <n v="2"/>
    <s v="Life Sciences"/>
    <n v="1"/>
    <n v="245"/>
    <n v="3"/>
    <s v="Female"/>
    <n v="75"/>
    <n v="3"/>
    <n v="1"/>
    <s v="Laboratory Technician"/>
    <n v="4"/>
    <s v="Single"/>
    <n v="2288"/>
    <n v="6319"/>
    <n v="1"/>
    <s v="Y"/>
    <s v="No"/>
    <n v="12"/>
    <n v="3"/>
    <n v="3"/>
    <n v="80"/>
    <n v="0"/>
    <n v="2"/>
    <n v="3"/>
    <n v="3"/>
    <n v="2"/>
    <n v="2"/>
    <n v="2"/>
    <n v="1"/>
    <x v="1"/>
    <n v="0"/>
    <n v="0"/>
    <n v="1"/>
    <m/>
    <m/>
  </r>
  <r>
    <n v="31"/>
    <s v="No"/>
    <s v="Travel_Rarely"/>
    <n v="140"/>
    <s v="Research &amp; Development"/>
    <n v="12"/>
    <n v="1"/>
    <s v="Medical"/>
    <n v="1"/>
    <n v="246"/>
    <n v="3"/>
    <s v="Female"/>
    <n v="95"/>
    <n v="3"/>
    <n v="1"/>
    <s v="Research Scientist"/>
    <n v="4"/>
    <s v="Married"/>
    <n v="3929"/>
    <n v="6984"/>
    <n v="8"/>
    <s v="Y"/>
    <s v="Yes"/>
    <n v="23"/>
    <n v="4"/>
    <n v="3"/>
    <n v="80"/>
    <n v="1"/>
    <n v="7"/>
    <n v="0"/>
    <n v="3"/>
    <n v="4"/>
    <n v="2"/>
    <n v="0"/>
    <n v="2"/>
    <x v="1"/>
    <n v="0"/>
    <n v="0"/>
    <n v="1"/>
    <m/>
    <m/>
  </r>
  <r>
    <n v="34"/>
    <s v="No"/>
    <s v="Travel_Rarely"/>
    <n v="629"/>
    <s v="Research &amp; Development"/>
    <n v="27"/>
    <n v="2"/>
    <s v="Medical"/>
    <n v="1"/>
    <n v="247"/>
    <n v="4"/>
    <s v="Female"/>
    <n v="95"/>
    <n v="3"/>
    <n v="1"/>
    <s v="Research Scientist"/>
    <n v="2"/>
    <s v="Single"/>
    <n v="2311"/>
    <n v="5711"/>
    <n v="2"/>
    <s v="Y"/>
    <s v="No"/>
    <n v="15"/>
    <n v="3"/>
    <n v="4"/>
    <n v="80"/>
    <n v="0"/>
    <n v="9"/>
    <n v="3"/>
    <n v="3"/>
    <n v="3"/>
    <n v="2"/>
    <n v="1"/>
    <n v="2"/>
    <x v="1"/>
    <n v="0"/>
    <n v="0"/>
    <n v="1"/>
    <m/>
    <m/>
  </r>
  <r>
    <n v="41"/>
    <s v="Yes"/>
    <s v="Travel_Rarely"/>
    <n v="1356"/>
    <s v="Sales"/>
    <n v="20"/>
    <n v="2"/>
    <s v="Marketing"/>
    <n v="1"/>
    <n v="248"/>
    <n v="2"/>
    <s v="Female"/>
    <n v="70"/>
    <n v="3"/>
    <n v="1"/>
    <s v="Sales Representative"/>
    <n v="2"/>
    <s v="Single"/>
    <n v="3140"/>
    <n v="21728"/>
    <n v="1"/>
    <s v="Y"/>
    <s v="Yes"/>
    <n v="22"/>
    <n v="4"/>
    <n v="4"/>
    <n v="80"/>
    <n v="0"/>
    <n v="4"/>
    <n v="5"/>
    <n v="2"/>
    <n v="4"/>
    <n v="3"/>
    <n v="0"/>
    <n v="2"/>
    <x v="0"/>
    <n v="1"/>
    <n v="56520"/>
    <n v="1"/>
    <m/>
    <m/>
  </r>
  <r>
    <n v="50"/>
    <s v="No"/>
    <s v="Travel_Rarely"/>
    <n v="328"/>
    <s v="Research &amp; Development"/>
    <n v="1"/>
    <n v="3"/>
    <s v="Medical"/>
    <n v="1"/>
    <n v="249"/>
    <n v="3"/>
    <s v="Male"/>
    <n v="86"/>
    <n v="2"/>
    <n v="1"/>
    <s v="Laboratory Technician"/>
    <n v="3"/>
    <s v="Married"/>
    <n v="3690"/>
    <n v="3425"/>
    <n v="2"/>
    <s v="Y"/>
    <s v="No"/>
    <n v="15"/>
    <n v="3"/>
    <n v="4"/>
    <n v="80"/>
    <n v="1"/>
    <n v="5"/>
    <n v="2"/>
    <n v="2"/>
    <n v="3"/>
    <n v="2"/>
    <n v="0"/>
    <n v="2"/>
    <x v="1"/>
    <n v="0"/>
    <n v="0"/>
    <n v="1"/>
    <m/>
    <m/>
  </r>
  <r>
    <n v="53"/>
    <s v="No"/>
    <s v="Travel_Rarely"/>
    <n v="1084"/>
    <s v="Research &amp; Development"/>
    <n v="13"/>
    <n v="2"/>
    <s v="Medical"/>
    <n v="1"/>
    <n v="250"/>
    <n v="4"/>
    <s v="Female"/>
    <n v="57"/>
    <n v="4"/>
    <n v="2"/>
    <s v="Manufacturing Director"/>
    <n v="1"/>
    <s v="Divorced"/>
    <n v="4450"/>
    <n v="26250"/>
    <n v="1"/>
    <s v="Y"/>
    <s v="No"/>
    <n v="11"/>
    <n v="3"/>
    <n v="3"/>
    <n v="80"/>
    <n v="2"/>
    <n v="5"/>
    <n v="3"/>
    <n v="3"/>
    <n v="4"/>
    <n v="2"/>
    <n v="1"/>
    <n v="3"/>
    <x v="2"/>
    <n v="0"/>
    <n v="0"/>
    <n v="1"/>
    <m/>
    <m/>
  </r>
  <r>
    <n v="33"/>
    <s v="No"/>
    <s v="Travel_Rarely"/>
    <n v="931"/>
    <s v="Research &amp; Development"/>
    <n v="14"/>
    <n v="3"/>
    <s v="Medical"/>
    <n v="1"/>
    <n v="252"/>
    <n v="4"/>
    <s v="Female"/>
    <n v="72"/>
    <n v="3"/>
    <n v="1"/>
    <s v="Research Scientist"/>
    <n v="2"/>
    <s v="Married"/>
    <n v="2756"/>
    <n v="4673"/>
    <n v="1"/>
    <s v="Y"/>
    <s v="No"/>
    <n v="13"/>
    <n v="3"/>
    <n v="4"/>
    <n v="80"/>
    <n v="1"/>
    <n v="8"/>
    <n v="5"/>
    <n v="3"/>
    <n v="8"/>
    <n v="7"/>
    <n v="1"/>
    <n v="6"/>
    <x v="1"/>
    <n v="0"/>
    <n v="0"/>
    <n v="1"/>
    <m/>
    <m/>
  </r>
  <r>
    <n v="40"/>
    <s v="No"/>
    <s v="Travel_Rarely"/>
    <n v="989"/>
    <s v="Research &amp; Development"/>
    <n v="4"/>
    <n v="1"/>
    <s v="Medical"/>
    <n v="1"/>
    <n v="253"/>
    <n v="4"/>
    <s v="Female"/>
    <n v="46"/>
    <n v="3"/>
    <n v="5"/>
    <s v="Manager"/>
    <n v="3"/>
    <s v="Married"/>
    <n v="19033"/>
    <n v="6499"/>
    <n v="1"/>
    <s v="Y"/>
    <s v="No"/>
    <n v="14"/>
    <n v="3"/>
    <n v="2"/>
    <n v="80"/>
    <n v="1"/>
    <n v="21"/>
    <n v="2"/>
    <n v="3"/>
    <n v="20"/>
    <n v="8"/>
    <n v="9"/>
    <n v="9"/>
    <x v="4"/>
    <n v="0"/>
    <n v="0"/>
    <n v="1"/>
    <m/>
    <m/>
  </r>
  <r>
    <n v="55"/>
    <s v="No"/>
    <s v="Travel_Rarely"/>
    <n v="692"/>
    <s v="Research &amp; Development"/>
    <n v="14"/>
    <n v="4"/>
    <s v="Medical"/>
    <n v="1"/>
    <n v="254"/>
    <n v="3"/>
    <s v="Male"/>
    <n v="61"/>
    <n v="4"/>
    <n v="5"/>
    <s v="Research Director"/>
    <n v="2"/>
    <s v="Single"/>
    <n v="18722"/>
    <n v="13339"/>
    <n v="8"/>
    <s v="Y"/>
    <s v="No"/>
    <n v="11"/>
    <n v="3"/>
    <n v="4"/>
    <n v="80"/>
    <n v="0"/>
    <n v="36"/>
    <n v="3"/>
    <n v="3"/>
    <n v="24"/>
    <n v="15"/>
    <n v="2"/>
    <n v="15"/>
    <x v="1"/>
    <n v="0"/>
    <n v="0"/>
    <n v="1"/>
    <m/>
    <m/>
  </r>
  <r>
    <n v="34"/>
    <s v="No"/>
    <s v="Travel_Frequently"/>
    <n v="1069"/>
    <s v="Research &amp; Development"/>
    <n v="2"/>
    <n v="1"/>
    <s v="Life Sciences"/>
    <n v="1"/>
    <n v="256"/>
    <n v="4"/>
    <s v="Male"/>
    <n v="45"/>
    <n v="2"/>
    <n v="2"/>
    <s v="Manufacturing Director"/>
    <n v="3"/>
    <s v="Married"/>
    <n v="9547"/>
    <n v="14074"/>
    <n v="1"/>
    <s v="Y"/>
    <s v="No"/>
    <n v="17"/>
    <n v="3"/>
    <n v="3"/>
    <n v="80"/>
    <n v="0"/>
    <n v="10"/>
    <n v="2"/>
    <n v="2"/>
    <n v="10"/>
    <n v="9"/>
    <n v="1"/>
    <n v="9"/>
    <x v="2"/>
    <n v="0"/>
    <n v="0"/>
    <n v="1"/>
    <m/>
    <m/>
  </r>
  <r>
    <n v="51"/>
    <s v="No"/>
    <s v="Travel_Rarely"/>
    <n v="313"/>
    <s v="Research &amp; Development"/>
    <n v="3"/>
    <n v="3"/>
    <s v="Medical"/>
    <n v="1"/>
    <n v="258"/>
    <n v="4"/>
    <s v="Female"/>
    <n v="98"/>
    <n v="3"/>
    <n v="4"/>
    <s v="Healthcare Representative"/>
    <n v="2"/>
    <s v="Single"/>
    <n v="13734"/>
    <n v="7192"/>
    <n v="3"/>
    <s v="Y"/>
    <s v="No"/>
    <n v="18"/>
    <n v="3"/>
    <n v="3"/>
    <n v="80"/>
    <n v="0"/>
    <n v="21"/>
    <n v="6"/>
    <n v="3"/>
    <n v="7"/>
    <n v="7"/>
    <n v="1"/>
    <n v="0"/>
    <x v="3"/>
    <n v="0"/>
    <n v="0"/>
    <n v="1"/>
    <m/>
    <m/>
  </r>
  <r>
    <n v="52"/>
    <s v="No"/>
    <s v="Travel_Rarely"/>
    <n v="699"/>
    <s v="Research &amp; Development"/>
    <n v="1"/>
    <n v="4"/>
    <s v="Life Sciences"/>
    <n v="1"/>
    <n v="259"/>
    <n v="3"/>
    <s v="Male"/>
    <n v="65"/>
    <n v="2"/>
    <n v="5"/>
    <s v="Manager"/>
    <n v="3"/>
    <s v="Married"/>
    <n v="19999"/>
    <n v="5678"/>
    <n v="0"/>
    <s v="Y"/>
    <s v="No"/>
    <n v="14"/>
    <n v="3"/>
    <n v="1"/>
    <n v="80"/>
    <n v="1"/>
    <n v="34"/>
    <n v="5"/>
    <n v="3"/>
    <n v="33"/>
    <n v="18"/>
    <n v="11"/>
    <n v="9"/>
    <x v="4"/>
    <n v="0"/>
    <n v="0"/>
    <n v="1"/>
    <m/>
    <m/>
  </r>
  <r>
    <n v="27"/>
    <s v="No"/>
    <s v="Travel_Rarely"/>
    <n v="894"/>
    <s v="Research &amp; Development"/>
    <n v="9"/>
    <n v="3"/>
    <s v="Medical"/>
    <n v="1"/>
    <n v="260"/>
    <n v="4"/>
    <s v="Female"/>
    <n v="99"/>
    <n v="3"/>
    <n v="1"/>
    <s v="Research Scientist"/>
    <n v="2"/>
    <s v="Single"/>
    <n v="2279"/>
    <n v="11781"/>
    <n v="1"/>
    <s v="Y"/>
    <s v="No"/>
    <n v="16"/>
    <n v="3"/>
    <n v="4"/>
    <n v="80"/>
    <n v="0"/>
    <n v="7"/>
    <n v="2"/>
    <n v="2"/>
    <n v="7"/>
    <n v="7"/>
    <n v="0"/>
    <n v="3"/>
    <x v="1"/>
    <n v="0"/>
    <n v="0"/>
    <n v="1"/>
    <m/>
    <m/>
  </r>
  <r>
    <n v="35"/>
    <s v="Yes"/>
    <s v="Travel_Rarely"/>
    <n v="556"/>
    <s v="Research &amp; Development"/>
    <n v="23"/>
    <n v="2"/>
    <s v="Life Sciences"/>
    <n v="1"/>
    <n v="261"/>
    <n v="2"/>
    <s v="Male"/>
    <n v="50"/>
    <n v="2"/>
    <n v="2"/>
    <s v="Manufacturing Director"/>
    <n v="3"/>
    <s v="Married"/>
    <n v="5916"/>
    <n v="15497"/>
    <n v="3"/>
    <s v="Y"/>
    <s v="Yes"/>
    <n v="13"/>
    <n v="3"/>
    <n v="1"/>
    <n v="80"/>
    <n v="0"/>
    <n v="8"/>
    <n v="1"/>
    <n v="3"/>
    <n v="1"/>
    <n v="0"/>
    <n v="0"/>
    <n v="1"/>
    <x v="2"/>
    <n v="1"/>
    <n v="106488"/>
    <n v="1"/>
    <m/>
    <m/>
  </r>
  <r>
    <n v="43"/>
    <s v="No"/>
    <s v="Non-Travel"/>
    <n v="1344"/>
    <s v="Research &amp; Development"/>
    <n v="7"/>
    <n v="3"/>
    <s v="Medical"/>
    <n v="1"/>
    <n v="262"/>
    <n v="4"/>
    <s v="Male"/>
    <n v="37"/>
    <n v="4"/>
    <n v="1"/>
    <s v="Research Scientist"/>
    <n v="4"/>
    <s v="Divorced"/>
    <n v="2089"/>
    <n v="5228"/>
    <n v="4"/>
    <s v="Y"/>
    <s v="No"/>
    <n v="14"/>
    <n v="3"/>
    <n v="4"/>
    <n v="80"/>
    <n v="3"/>
    <n v="7"/>
    <n v="3"/>
    <n v="4"/>
    <n v="5"/>
    <n v="4"/>
    <n v="2"/>
    <n v="2"/>
    <x v="1"/>
    <n v="0"/>
    <n v="0"/>
    <n v="1"/>
    <m/>
    <m/>
  </r>
  <r>
    <n v="45"/>
    <s v="No"/>
    <s v="Non-Travel"/>
    <n v="1195"/>
    <s v="Research &amp; Development"/>
    <n v="2"/>
    <n v="2"/>
    <s v="Medical"/>
    <n v="1"/>
    <n v="264"/>
    <n v="1"/>
    <s v="Male"/>
    <n v="65"/>
    <n v="2"/>
    <n v="4"/>
    <s v="Manager"/>
    <n v="4"/>
    <s v="Married"/>
    <n v="16792"/>
    <n v="20462"/>
    <n v="9"/>
    <s v="Y"/>
    <s v="No"/>
    <n v="23"/>
    <n v="4"/>
    <n v="4"/>
    <n v="80"/>
    <n v="1"/>
    <n v="22"/>
    <n v="1"/>
    <n v="3"/>
    <n v="20"/>
    <n v="8"/>
    <n v="11"/>
    <n v="8"/>
    <x v="4"/>
    <n v="0"/>
    <n v="0"/>
    <n v="1"/>
    <m/>
    <m/>
  </r>
  <r>
    <n v="37"/>
    <s v="No"/>
    <s v="Travel_Rarely"/>
    <n v="290"/>
    <s v="Research &amp; Development"/>
    <n v="21"/>
    <n v="3"/>
    <s v="Life Sciences"/>
    <n v="1"/>
    <n v="267"/>
    <n v="2"/>
    <s v="Male"/>
    <n v="65"/>
    <n v="4"/>
    <n v="1"/>
    <s v="Research Scientist"/>
    <n v="1"/>
    <s v="Married"/>
    <n v="3564"/>
    <n v="22977"/>
    <n v="1"/>
    <s v="Y"/>
    <s v="Yes"/>
    <n v="12"/>
    <n v="3"/>
    <n v="1"/>
    <n v="80"/>
    <n v="1"/>
    <n v="8"/>
    <n v="3"/>
    <n v="2"/>
    <n v="8"/>
    <n v="7"/>
    <n v="1"/>
    <n v="7"/>
    <x v="1"/>
    <n v="0"/>
    <n v="0"/>
    <n v="1"/>
    <m/>
    <m/>
  </r>
  <r>
    <n v="35"/>
    <s v="No"/>
    <s v="Travel_Frequently"/>
    <n v="138"/>
    <s v="Research &amp; Development"/>
    <n v="2"/>
    <n v="3"/>
    <s v="Medical"/>
    <n v="1"/>
    <n v="269"/>
    <n v="2"/>
    <s v="Female"/>
    <n v="37"/>
    <n v="3"/>
    <n v="2"/>
    <s v="Laboratory Technician"/>
    <n v="2"/>
    <s v="Single"/>
    <n v="4425"/>
    <n v="15986"/>
    <n v="5"/>
    <s v="Y"/>
    <s v="No"/>
    <n v="11"/>
    <n v="3"/>
    <n v="4"/>
    <n v="80"/>
    <n v="0"/>
    <n v="10"/>
    <n v="5"/>
    <n v="3"/>
    <n v="6"/>
    <n v="2"/>
    <n v="1"/>
    <n v="2"/>
    <x v="1"/>
    <n v="0"/>
    <n v="0"/>
    <n v="1"/>
    <m/>
    <m/>
  </r>
  <r>
    <n v="42"/>
    <s v="No"/>
    <s v="Non-Travel"/>
    <n v="926"/>
    <s v="Research &amp; Development"/>
    <n v="21"/>
    <n v="2"/>
    <s v="Medical"/>
    <n v="1"/>
    <n v="270"/>
    <n v="3"/>
    <s v="Female"/>
    <n v="36"/>
    <n v="3"/>
    <n v="2"/>
    <s v="Manufacturing Director"/>
    <n v="3"/>
    <s v="Divorced"/>
    <n v="5265"/>
    <n v="16439"/>
    <n v="2"/>
    <s v="Y"/>
    <s v="No"/>
    <n v="16"/>
    <n v="3"/>
    <n v="2"/>
    <n v="80"/>
    <n v="1"/>
    <n v="11"/>
    <n v="5"/>
    <n v="3"/>
    <n v="5"/>
    <n v="3"/>
    <n v="0"/>
    <n v="2"/>
    <x v="2"/>
    <n v="0"/>
    <n v="0"/>
    <n v="1"/>
    <m/>
    <m/>
  </r>
  <r>
    <n v="38"/>
    <s v="No"/>
    <s v="Travel_Rarely"/>
    <n v="1261"/>
    <s v="Research &amp; Development"/>
    <n v="2"/>
    <n v="4"/>
    <s v="Life Sciences"/>
    <n v="1"/>
    <n v="271"/>
    <n v="4"/>
    <s v="Male"/>
    <n v="88"/>
    <n v="3"/>
    <n v="2"/>
    <s v="Manufacturing Director"/>
    <n v="3"/>
    <s v="Married"/>
    <n v="6553"/>
    <n v="7259"/>
    <n v="9"/>
    <s v="Y"/>
    <s v="No"/>
    <n v="14"/>
    <n v="3"/>
    <n v="2"/>
    <n v="80"/>
    <n v="0"/>
    <n v="14"/>
    <n v="3"/>
    <n v="3"/>
    <n v="1"/>
    <n v="0"/>
    <n v="0"/>
    <n v="0"/>
    <x v="2"/>
    <n v="0"/>
    <n v="0"/>
    <n v="1"/>
    <m/>
    <m/>
  </r>
  <r>
    <n v="38"/>
    <s v="No"/>
    <s v="Travel_Rarely"/>
    <n v="1084"/>
    <s v="Research &amp; Development"/>
    <n v="29"/>
    <n v="3"/>
    <s v="Technical Degree"/>
    <n v="1"/>
    <n v="273"/>
    <n v="4"/>
    <s v="Male"/>
    <n v="54"/>
    <n v="3"/>
    <n v="2"/>
    <s v="Manufacturing Director"/>
    <n v="4"/>
    <s v="Married"/>
    <n v="6261"/>
    <n v="4185"/>
    <n v="3"/>
    <s v="Y"/>
    <s v="No"/>
    <n v="18"/>
    <n v="3"/>
    <n v="1"/>
    <n v="80"/>
    <n v="1"/>
    <n v="9"/>
    <n v="3"/>
    <n v="1"/>
    <n v="7"/>
    <n v="7"/>
    <n v="1"/>
    <n v="7"/>
    <x v="2"/>
    <n v="0"/>
    <n v="0"/>
    <n v="1"/>
    <m/>
    <m/>
  </r>
  <r>
    <n v="27"/>
    <s v="No"/>
    <s v="Travel_Frequently"/>
    <n v="472"/>
    <s v="Research &amp; Development"/>
    <n v="1"/>
    <n v="1"/>
    <s v="Technical Degree"/>
    <n v="1"/>
    <n v="274"/>
    <n v="3"/>
    <s v="Male"/>
    <n v="60"/>
    <n v="2"/>
    <n v="2"/>
    <s v="Manufacturing Director"/>
    <n v="1"/>
    <s v="Married"/>
    <n v="4298"/>
    <n v="9679"/>
    <n v="5"/>
    <s v="Y"/>
    <s v="No"/>
    <n v="19"/>
    <n v="3"/>
    <n v="3"/>
    <n v="80"/>
    <n v="1"/>
    <n v="6"/>
    <n v="1"/>
    <n v="3"/>
    <n v="2"/>
    <n v="2"/>
    <n v="2"/>
    <n v="0"/>
    <x v="2"/>
    <n v="0"/>
    <n v="0"/>
    <n v="1"/>
    <m/>
    <m/>
  </r>
  <r>
    <n v="49"/>
    <s v="No"/>
    <s v="Non-Travel"/>
    <n v="1002"/>
    <s v="Research &amp; Development"/>
    <n v="18"/>
    <n v="4"/>
    <s v="Life Sciences"/>
    <n v="1"/>
    <n v="275"/>
    <n v="4"/>
    <s v="Male"/>
    <n v="92"/>
    <n v="3"/>
    <n v="2"/>
    <s v="Manufacturing Director"/>
    <n v="4"/>
    <s v="Divorced"/>
    <n v="6804"/>
    <n v="23793"/>
    <n v="1"/>
    <s v="Y"/>
    <s v="Yes"/>
    <n v="15"/>
    <n v="3"/>
    <n v="1"/>
    <n v="80"/>
    <n v="2"/>
    <n v="7"/>
    <n v="0"/>
    <n v="3"/>
    <n v="7"/>
    <n v="7"/>
    <n v="1"/>
    <n v="7"/>
    <x v="2"/>
    <n v="0"/>
    <n v="0"/>
    <n v="1"/>
    <m/>
    <m/>
  </r>
  <r>
    <n v="34"/>
    <s v="No"/>
    <s v="Travel_Frequently"/>
    <n v="878"/>
    <s v="Research &amp; Development"/>
    <n v="10"/>
    <n v="4"/>
    <s v="Medical"/>
    <n v="1"/>
    <n v="277"/>
    <n v="4"/>
    <s v="Male"/>
    <n v="43"/>
    <n v="3"/>
    <n v="1"/>
    <s v="Research Scientist"/>
    <n v="3"/>
    <s v="Divorced"/>
    <n v="3815"/>
    <n v="5972"/>
    <n v="1"/>
    <s v="Y"/>
    <s v="Yes"/>
    <n v="17"/>
    <n v="3"/>
    <n v="4"/>
    <n v="80"/>
    <n v="1"/>
    <n v="5"/>
    <n v="4"/>
    <n v="4"/>
    <n v="5"/>
    <n v="3"/>
    <n v="2"/>
    <n v="0"/>
    <x v="1"/>
    <n v="0"/>
    <n v="0"/>
    <n v="1"/>
    <m/>
    <m/>
  </r>
  <r>
    <n v="40"/>
    <s v="No"/>
    <s v="Travel_Rarely"/>
    <n v="905"/>
    <s v="Research &amp; Development"/>
    <n v="19"/>
    <n v="2"/>
    <s v="Medical"/>
    <n v="1"/>
    <n v="281"/>
    <n v="3"/>
    <s v="Male"/>
    <n v="99"/>
    <n v="3"/>
    <n v="2"/>
    <s v="Laboratory Technician"/>
    <n v="4"/>
    <s v="Married"/>
    <n v="2741"/>
    <n v="16523"/>
    <n v="8"/>
    <s v="Y"/>
    <s v="Yes"/>
    <n v="15"/>
    <n v="3"/>
    <n v="3"/>
    <n v="80"/>
    <n v="1"/>
    <n v="15"/>
    <n v="2"/>
    <n v="4"/>
    <n v="7"/>
    <n v="2"/>
    <n v="3"/>
    <n v="7"/>
    <x v="1"/>
    <n v="0"/>
    <n v="0"/>
    <n v="1"/>
    <m/>
    <m/>
  </r>
  <r>
    <n v="38"/>
    <s v="Yes"/>
    <s v="Travel_Rarely"/>
    <n v="1180"/>
    <s v="Research &amp; Development"/>
    <n v="29"/>
    <n v="1"/>
    <s v="Medical"/>
    <n v="1"/>
    <n v="282"/>
    <n v="2"/>
    <s v="Male"/>
    <n v="70"/>
    <n v="3"/>
    <n v="2"/>
    <s v="Healthcare Representative"/>
    <n v="1"/>
    <s v="Married"/>
    <n v="6673"/>
    <n v="11354"/>
    <n v="7"/>
    <s v="Y"/>
    <s v="Yes"/>
    <n v="19"/>
    <n v="3"/>
    <n v="2"/>
    <n v="80"/>
    <n v="0"/>
    <n v="17"/>
    <n v="2"/>
    <n v="3"/>
    <n v="1"/>
    <n v="0"/>
    <n v="0"/>
    <n v="0"/>
    <x v="3"/>
    <n v="1"/>
    <n v="120114"/>
    <n v="1"/>
    <m/>
    <m/>
  </r>
  <r>
    <n v="29"/>
    <s v="Yes"/>
    <s v="Travel_Rarely"/>
    <n v="121"/>
    <s v="Sales"/>
    <n v="27"/>
    <n v="3"/>
    <s v="Marketing"/>
    <n v="1"/>
    <n v="283"/>
    <n v="2"/>
    <s v="Female"/>
    <n v="35"/>
    <n v="3"/>
    <n v="3"/>
    <s v="Sales Executive"/>
    <n v="4"/>
    <s v="Married"/>
    <n v="7639"/>
    <n v="24525"/>
    <n v="1"/>
    <s v="Y"/>
    <s v="No"/>
    <n v="22"/>
    <n v="4"/>
    <n v="4"/>
    <n v="80"/>
    <n v="3"/>
    <n v="10"/>
    <n v="3"/>
    <n v="2"/>
    <n v="10"/>
    <n v="4"/>
    <n v="1"/>
    <n v="9"/>
    <x v="0"/>
    <n v="1"/>
    <n v="137502"/>
    <n v="1"/>
    <m/>
    <m/>
  </r>
  <r>
    <n v="22"/>
    <s v="No"/>
    <s v="Travel_Rarely"/>
    <n v="1136"/>
    <s v="Research &amp; Development"/>
    <n v="5"/>
    <n v="3"/>
    <s v="Life Sciences"/>
    <n v="1"/>
    <n v="284"/>
    <n v="4"/>
    <s v="Male"/>
    <n v="60"/>
    <n v="4"/>
    <n v="1"/>
    <s v="Research Scientist"/>
    <n v="2"/>
    <s v="Divorced"/>
    <n v="2328"/>
    <n v="12392"/>
    <n v="1"/>
    <s v="Y"/>
    <s v="Yes"/>
    <n v="16"/>
    <n v="3"/>
    <n v="1"/>
    <n v="80"/>
    <n v="1"/>
    <n v="4"/>
    <n v="2"/>
    <n v="2"/>
    <n v="4"/>
    <n v="2"/>
    <n v="2"/>
    <n v="2"/>
    <x v="1"/>
    <n v="0"/>
    <n v="0"/>
    <n v="1"/>
    <m/>
    <m/>
  </r>
  <r>
    <n v="36"/>
    <s v="No"/>
    <s v="Travel_Frequently"/>
    <n v="635"/>
    <s v="Research &amp; Development"/>
    <n v="18"/>
    <n v="1"/>
    <s v="Medical"/>
    <n v="1"/>
    <n v="286"/>
    <n v="2"/>
    <s v="Female"/>
    <n v="73"/>
    <n v="3"/>
    <n v="1"/>
    <s v="Laboratory Technician"/>
    <n v="4"/>
    <s v="Single"/>
    <n v="2153"/>
    <n v="7703"/>
    <n v="1"/>
    <s v="Y"/>
    <s v="No"/>
    <n v="13"/>
    <n v="3"/>
    <n v="1"/>
    <n v="80"/>
    <n v="0"/>
    <n v="8"/>
    <n v="2"/>
    <n v="3"/>
    <n v="8"/>
    <n v="1"/>
    <n v="1"/>
    <n v="7"/>
    <x v="1"/>
    <n v="0"/>
    <n v="0"/>
    <n v="1"/>
    <m/>
    <m/>
  </r>
  <r>
    <n v="40"/>
    <s v="No"/>
    <s v="Non-Travel"/>
    <n v="1151"/>
    <s v="Research &amp; Development"/>
    <n v="9"/>
    <n v="5"/>
    <s v="Life Sciences"/>
    <n v="1"/>
    <n v="287"/>
    <n v="4"/>
    <s v="Male"/>
    <n v="63"/>
    <n v="2"/>
    <n v="2"/>
    <s v="Healthcare Representative"/>
    <n v="4"/>
    <s v="Married"/>
    <n v="4876"/>
    <n v="14242"/>
    <n v="9"/>
    <s v="Y"/>
    <s v="No"/>
    <n v="14"/>
    <n v="3"/>
    <n v="4"/>
    <n v="80"/>
    <n v="1"/>
    <n v="5"/>
    <n v="5"/>
    <n v="1"/>
    <n v="3"/>
    <n v="2"/>
    <n v="0"/>
    <n v="2"/>
    <x v="3"/>
    <n v="0"/>
    <n v="0"/>
    <n v="1"/>
    <m/>
    <m/>
  </r>
  <r>
    <n v="46"/>
    <s v="No"/>
    <s v="Travel_Rarely"/>
    <n v="644"/>
    <s v="Research &amp; Development"/>
    <n v="1"/>
    <n v="4"/>
    <s v="Medical"/>
    <n v="1"/>
    <n v="288"/>
    <n v="4"/>
    <s v="Male"/>
    <n v="97"/>
    <n v="3"/>
    <n v="3"/>
    <s v="Healthcare Representative"/>
    <n v="1"/>
    <s v="Divorced"/>
    <n v="9396"/>
    <n v="12368"/>
    <n v="7"/>
    <s v="Y"/>
    <s v="No"/>
    <n v="16"/>
    <n v="3"/>
    <n v="3"/>
    <n v="80"/>
    <n v="1"/>
    <n v="17"/>
    <n v="3"/>
    <n v="3"/>
    <n v="4"/>
    <n v="2"/>
    <n v="0"/>
    <n v="3"/>
    <x v="3"/>
    <n v="0"/>
    <n v="0"/>
    <n v="1"/>
    <m/>
    <m/>
  </r>
  <r>
    <n v="32"/>
    <s v="Yes"/>
    <s v="Travel_Rarely"/>
    <n v="1045"/>
    <s v="Sales"/>
    <n v="4"/>
    <n v="4"/>
    <s v="Medical"/>
    <n v="1"/>
    <n v="291"/>
    <n v="4"/>
    <s v="Male"/>
    <n v="32"/>
    <n v="1"/>
    <n v="3"/>
    <s v="Sales Executive"/>
    <n v="4"/>
    <s v="Married"/>
    <n v="10400"/>
    <n v="25812"/>
    <n v="1"/>
    <s v="Y"/>
    <s v="No"/>
    <n v="11"/>
    <n v="3"/>
    <n v="3"/>
    <n v="80"/>
    <n v="0"/>
    <n v="14"/>
    <n v="2"/>
    <n v="2"/>
    <n v="14"/>
    <n v="8"/>
    <n v="9"/>
    <n v="8"/>
    <x v="0"/>
    <n v="1"/>
    <n v="187200"/>
    <n v="1"/>
    <m/>
    <m/>
  </r>
  <r>
    <n v="30"/>
    <s v="No"/>
    <s v="Non-Travel"/>
    <n v="829"/>
    <s v="Research &amp; Development"/>
    <n v="1"/>
    <n v="1"/>
    <s v="Life Sciences"/>
    <n v="1"/>
    <n v="292"/>
    <n v="3"/>
    <s v="Male"/>
    <n v="88"/>
    <n v="2"/>
    <n v="3"/>
    <s v="Manufacturing Director"/>
    <n v="3"/>
    <s v="Single"/>
    <n v="8474"/>
    <n v="20925"/>
    <n v="1"/>
    <s v="Y"/>
    <s v="No"/>
    <n v="22"/>
    <n v="4"/>
    <n v="3"/>
    <n v="80"/>
    <n v="0"/>
    <n v="12"/>
    <n v="2"/>
    <n v="3"/>
    <n v="11"/>
    <n v="8"/>
    <n v="5"/>
    <n v="8"/>
    <x v="2"/>
    <n v="0"/>
    <n v="0"/>
    <n v="1"/>
    <m/>
    <m/>
  </r>
  <r>
    <n v="27"/>
    <s v="No"/>
    <s v="Travel_Frequently"/>
    <n v="1242"/>
    <s v="Sales"/>
    <n v="20"/>
    <n v="3"/>
    <s v="Life Sciences"/>
    <n v="1"/>
    <n v="293"/>
    <n v="4"/>
    <s v="Female"/>
    <n v="90"/>
    <n v="3"/>
    <n v="2"/>
    <s v="Sales Executive"/>
    <n v="3"/>
    <s v="Single"/>
    <n v="9981"/>
    <n v="12916"/>
    <n v="1"/>
    <s v="Y"/>
    <s v="No"/>
    <n v="14"/>
    <n v="3"/>
    <n v="4"/>
    <n v="80"/>
    <n v="0"/>
    <n v="7"/>
    <n v="2"/>
    <n v="3"/>
    <n v="7"/>
    <n v="7"/>
    <n v="0"/>
    <n v="7"/>
    <x v="0"/>
    <n v="0"/>
    <n v="0"/>
    <n v="1"/>
    <m/>
    <m/>
  </r>
  <r>
    <n v="51"/>
    <s v="No"/>
    <s v="Travel_Rarely"/>
    <n v="1469"/>
    <s v="Research &amp; Development"/>
    <n v="8"/>
    <n v="4"/>
    <s v="Life Sciences"/>
    <n v="1"/>
    <n v="296"/>
    <n v="2"/>
    <s v="Male"/>
    <n v="81"/>
    <n v="2"/>
    <n v="3"/>
    <s v="Research Director"/>
    <n v="2"/>
    <s v="Married"/>
    <n v="12490"/>
    <n v="15736"/>
    <n v="5"/>
    <s v="Y"/>
    <s v="No"/>
    <n v="16"/>
    <n v="3"/>
    <n v="4"/>
    <n v="80"/>
    <n v="2"/>
    <n v="16"/>
    <n v="5"/>
    <n v="1"/>
    <n v="10"/>
    <n v="9"/>
    <n v="4"/>
    <n v="7"/>
    <x v="1"/>
    <n v="0"/>
    <n v="0"/>
    <n v="1"/>
    <m/>
    <m/>
  </r>
  <r>
    <n v="30"/>
    <s v="Yes"/>
    <s v="Travel_Rarely"/>
    <n v="1005"/>
    <s v="Research &amp; Development"/>
    <n v="3"/>
    <n v="3"/>
    <s v="Technical Degree"/>
    <n v="1"/>
    <n v="297"/>
    <n v="4"/>
    <s v="Female"/>
    <n v="88"/>
    <n v="3"/>
    <n v="1"/>
    <s v="Research Scientist"/>
    <n v="1"/>
    <s v="Single"/>
    <n v="2657"/>
    <n v="8556"/>
    <n v="5"/>
    <s v="Y"/>
    <s v="Yes"/>
    <n v="11"/>
    <n v="3"/>
    <n v="3"/>
    <n v="80"/>
    <n v="0"/>
    <n v="8"/>
    <n v="5"/>
    <n v="3"/>
    <n v="5"/>
    <n v="2"/>
    <n v="0"/>
    <n v="4"/>
    <x v="1"/>
    <n v="1"/>
    <n v="47826"/>
    <n v="1"/>
    <m/>
    <m/>
  </r>
  <r>
    <n v="41"/>
    <s v="No"/>
    <s v="Travel_Rarely"/>
    <n v="896"/>
    <s v="Sales"/>
    <n v="6"/>
    <n v="3"/>
    <s v="Life Sciences"/>
    <n v="1"/>
    <n v="298"/>
    <n v="4"/>
    <s v="Female"/>
    <n v="75"/>
    <n v="3"/>
    <n v="3"/>
    <s v="Manager"/>
    <n v="4"/>
    <s v="Single"/>
    <n v="13591"/>
    <n v="14674"/>
    <n v="3"/>
    <s v="Y"/>
    <s v="Yes"/>
    <n v="18"/>
    <n v="3"/>
    <n v="3"/>
    <n v="80"/>
    <n v="0"/>
    <n v="16"/>
    <n v="3"/>
    <n v="3"/>
    <n v="1"/>
    <n v="0"/>
    <n v="0"/>
    <n v="0"/>
    <x v="4"/>
    <n v="0"/>
    <n v="0"/>
    <n v="1"/>
    <m/>
    <m/>
  </r>
  <r>
    <n v="30"/>
    <s v="Yes"/>
    <s v="Travel_Frequently"/>
    <n v="334"/>
    <s v="Sales"/>
    <n v="26"/>
    <n v="4"/>
    <s v="Marketing"/>
    <n v="1"/>
    <n v="299"/>
    <n v="3"/>
    <s v="Female"/>
    <n v="52"/>
    <n v="2"/>
    <n v="2"/>
    <s v="Sales Executive"/>
    <n v="1"/>
    <s v="Single"/>
    <n v="6696"/>
    <n v="22967"/>
    <n v="5"/>
    <s v="Y"/>
    <s v="No"/>
    <n v="15"/>
    <n v="3"/>
    <n v="3"/>
    <n v="80"/>
    <n v="0"/>
    <n v="9"/>
    <n v="5"/>
    <n v="2"/>
    <n v="6"/>
    <n v="3"/>
    <n v="0"/>
    <n v="1"/>
    <x v="0"/>
    <n v="1"/>
    <n v="120528"/>
    <n v="1"/>
    <m/>
    <m/>
  </r>
  <r>
    <n v="29"/>
    <s v="Yes"/>
    <s v="Travel_Rarely"/>
    <n v="992"/>
    <s v="Research &amp; Development"/>
    <n v="1"/>
    <n v="3"/>
    <s v="Technical Degree"/>
    <n v="1"/>
    <n v="300"/>
    <n v="3"/>
    <s v="Male"/>
    <n v="85"/>
    <n v="3"/>
    <n v="1"/>
    <s v="Research Scientist"/>
    <n v="3"/>
    <s v="Single"/>
    <n v="2058"/>
    <n v="19757"/>
    <n v="0"/>
    <s v="Y"/>
    <s v="No"/>
    <n v="14"/>
    <n v="3"/>
    <n v="4"/>
    <n v="80"/>
    <n v="0"/>
    <n v="7"/>
    <n v="1"/>
    <n v="2"/>
    <n v="6"/>
    <n v="2"/>
    <n v="1"/>
    <n v="5"/>
    <x v="1"/>
    <n v="1"/>
    <n v="37044"/>
    <n v="1"/>
    <m/>
    <m/>
  </r>
  <r>
    <n v="45"/>
    <s v="No"/>
    <s v="Non-Travel"/>
    <n v="1052"/>
    <s v="Sales"/>
    <n v="6"/>
    <n v="3"/>
    <s v="Medical"/>
    <n v="1"/>
    <n v="302"/>
    <n v="4"/>
    <s v="Female"/>
    <n v="57"/>
    <n v="2"/>
    <n v="3"/>
    <s v="Sales Executive"/>
    <n v="4"/>
    <s v="Single"/>
    <n v="8865"/>
    <n v="16840"/>
    <n v="6"/>
    <s v="Y"/>
    <s v="No"/>
    <n v="12"/>
    <n v="3"/>
    <n v="4"/>
    <n v="80"/>
    <n v="0"/>
    <n v="23"/>
    <n v="2"/>
    <n v="3"/>
    <n v="19"/>
    <n v="7"/>
    <n v="12"/>
    <n v="8"/>
    <x v="0"/>
    <n v="0"/>
    <n v="0"/>
    <n v="1"/>
    <m/>
    <m/>
  </r>
  <r>
    <n v="54"/>
    <s v="No"/>
    <s v="Travel_Rarely"/>
    <n v="1147"/>
    <s v="Sales"/>
    <n v="3"/>
    <n v="3"/>
    <s v="Marketing"/>
    <n v="1"/>
    <n v="303"/>
    <n v="4"/>
    <s v="Female"/>
    <n v="52"/>
    <n v="3"/>
    <n v="2"/>
    <s v="Sales Executive"/>
    <n v="1"/>
    <s v="Married"/>
    <n v="5940"/>
    <n v="17011"/>
    <n v="2"/>
    <s v="Y"/>
    <s v="No"/>
    <n v="14"/>
    <n v="3"/>
    <n v="4"/>
    <n v="80"/>
    <n v="1"/>
    <n v="16"/>
    <n v="4"/>
    <n v="3"/>
    <n v="6"/>
    <n v="2"/>
    <n v="0"/>
    <n v="5"/>
    <x v="0"/>
    <n v="0"/>
    <n v="0"/>
    <n v="1"/>
    <m/>
    <m/>
  </r>
  <r>
    <n v="36"/>
    <s v="No"/>
    <s v="Travel_Rarely"/>
    <n v="1396"/>
    <s v="Research &amp; Development"/>
    <n v="5"/>
    <n v="2"/>
    <s v="Life Sciences"/>
    <n v="1"/>
    <n v="304"/>
    <n v="4"/>
    <s v="Male"/>
    <n v="62"/>
    <n v="3"/>
    <n v="2"/>
    <s v="Laboratory Technician"/>
    <n v="2"/>
    <s v="Single"/>
    <n v="5914"/>
    <n v="9945"/>
    <n v="8"/>
    <s v="Y"/>
    <s v="No"/>
    <n v="16"/>
    <n v="3"/>
    <n v="4"/>
    <n v="80"/>
    <n v="0"/>
    <n v="16"/>
    <n v="3"/>
    <n v="4"/>
    <n v="13"/>
    <n v="11"/>
    <n v="3"/>
    <n v="7"/>
    <x v="1"/>
    <n v="0"/>
    <n v="0"/>
    <n v="1"/>
    <m/>
    <m/>
  </r>
  <r>
    <n v="33"/>
    <s v="No"/>
    <s v="Travel_Rarely"/>
    <n v="147"/>
    <s v="Research &amp; Development"/>
    <n v="4"/>
    <n v="4"/>
    <s v="Medical"/>
    <n v="1"/>
    <n v="305"/>
    <n v="3"/>
    <s v="Female"/>
    <n v="47"/>
    <n v="2"/>
    <n v="1"/>
    <s v="Research Scientist"/>
    <n v="2"/>
    <s v="Married"/>
    <n v="2622"/>
    <n v="13248"/>
    <n v="6"/>
    <s v="Y"/>
    <s v="No"/>
    <n v="21"/>
    <n v="4"/>
    <n v="4"/>
    <n v="80"/>
    <n v="0"/>
    <n v="7"/>
    <n v="3"/>
    <n v="3"/>
    <n v="3"/>
    <n v="2"/>
    <n v="1"/>
    <n v="1"/>
    <x v="1"/>
    <n v="0"/>
    <n v="0"/>
    <n v="1"/>
    <m/>
    <m/>
  </r>
  <r>
    <n v="37"/>
    <s v="No"/>
    <s v="Travel_Frequently"/>
    <n v="663"/>
    <s v="Research &amp; Development"/>
    <n v="11"/>
    <n v="3"/>
    <s v="Other"/>
    <n v="1"/>
    <n v="306"/>
    <n v="2"/>
    <s v="Male"/>
    <n v="47"/>
    <n v="3"/>
    <n v="3"/>
    <s v="Research Director"/>
    <n v="4"/>
    <s v="Divorced"/>
    <n v="12185"/>
    <n v="10056"/>
    <n v="1"/>
    <s v="Y"/>
    <s v="Yes"/>
    <n v="14"/>
    <n v="3"/>
    <n v="3"/>
    <n v="80"/>
    <n v="3"/>
    <n v="10"/>
    <n v="1"/>
    <n v="3"/>
    <n v="10"/>
    <n v="8"/>
    <n v="0"/>
    <n v="7"/>
    <x v="1"/>
    <n v="0"/>
    <n v="0"/>
    <n v="1"/>
    <m/>
    <m/>
  </r>
  <r>
    <n v="38"/>
    <s v="No"/>
    <s v="Travel_Rarely"/>
    <n v="119"/>
    <s v="Sales"/>
    <n v="3"/>
    <n v="3"/>
    <s v="Life Sciences"/>
    <n v="1"/>
    <n v="307"/>
    <n v="1"/>
    <s v="Male"/>
    <n v="76"/>
    <n v="3"/>
    <n v="3"/>
    <s v="Sales Executive"/>
    <n v="3"/>
    <s v="Divorced"/>
    <n v="10609"/>
    <n v="9647"/>
    <n v="0"/>
    <s v="Y"/>
    <s v="No"/>
    <n v="12"/>
    <n v="3"/>
    <n v="3"/>
    <n v="80"/>
    <n v="2"/>
    <n v="17"/>
    <n v="6"/>
    <n v="2"/>
    <n v="16"/>
    <n v="10"/>
    <n v="5"/>
    <n v="13"/>
    <x v="0"/>
    <n v="0"/>
    <n v="0"/>
    <n v="1"/>
    <m/>
    <m/>
  </r>
  <r>
    <n v="31"/>
    <s v="No"/>
    <s v="Non-Travel"/>
    <n v="979"/>
    <s v="Research &amp; Development"/>
    <n v="1"/>
    <n v="4"/>
    <s v="Medical"/>
    <n v="1"/>
    <n v="308"/>
    <n v="3"/>
    <s v="Male"/>
    <n v="90"/>
    <n v="1"/>
    <n v="2"/>
    <s v="Manufacturing Director"/>
    <n v="3"/>
    <s v="Married"/>
    <n v="4345"/>
    <n v="4381"/>
    <n v="0"/>
    <s v="Y"/>
    <s v="No"/>
    <n v="12"/>
    <n v="3"/>
    <n v="4"/>
    <n v="80"/>
    <n v="1"/>
    <n v="6"/>
    <n v="2"/>
    <n v="3"/>
    <n v="5"/>
    <n v="4"/>
    <n v="1"/>
    <n v="4"/>
    <x v="2"/>
    <n v="0"/>
    <n v="0"/>
    <n v="1"/>
    <m/>
    <m/>
  </r>
  <r>
    <n v="59"/>
    <s v="No"/>
    <s v="Travel_Rarely"/>
    <n v="142"/>
    <s v="Research &amp; Development"/>
    <n v="3"/>
    <n v="3"/>
    <s v="Life Sciences"/>
    <n v="1"/>
    <n v="309"/>
    <n v="3"/>
    <s v="Male"/>
    <n v="70"/>
    <n v="2"/>
    <n v="1"/>
    <s v="Research Scientist"/>
    <n v="4"/>
    <s v="Married"/>
    <n v="2177"/>
    <n v="8456"/>
    <n v="3"/>
    <s v="Y"/>
    <s v="No"/>
    <n v="17"/>
    <n v="3"/>
    <n v="1"/>
    <n v="80"/>
    <n v="1"/>
    <n v="7"/>
    <n v="6"/>
    <n v="3"/>
    <n v="1"/>
    <n v="0"/>
    <n v="0"/>
    <n v="0"/>
    <x v="1"/>
    <n v="0"/>
    <n v="0"/>
    <n v="1"/>
    <m/>
    <m/>
  </r>
  <r>
    <n v="37"/>
    <s v="No"/>
    <s v="Travel_Frequently"/>
    <n v="319"/>
    <s v="Sales"/>
    <n v="4"/>
    <n v="4"/>
    <s v="Marketing"/>
    <n v="1"/>
    <n v="311"/>
    <n v="1"/>
    <s v="Male"/>
    <n v="41"/>
    <n v="3"/>
    <n v="1"/>
    <s v="Sales Representative"/>
    <n v="4"/>
    <s v="Divorced"/>
    <n v="2793"/>
    <n v="2539"/>
    <n v="4"/>
    <s v="Y"/>
    <s v="No"/>
    <n v="17"/>
    <n v="3"/>
    <n v="3"/>
    <n v="80"/>
    <n v="1"/>
    <n v="13"/>
    <n v="2"/>
    <n v="3"/>
    <n v="9"/>
    <n v="8"/>
    <n v="5"/>
    <n v="8"/>
    <x v="0"/>
    <n v="0"/>
    <n v="0"/>
    <n v="1"/>
    <m/>
    <m/>
  </r>
  <r>
    <n v="29"/>
    <s v="No"/>
    <s v="Travel_Frequently"/>
    <n v="1413"/>
    <s v="Sales"/>
    <n v="1"/>
    <n v="1"/>
    <s v="Medical"/>
    <n v="1"/>
    <n v="312"/>
    <n v="2"/>
    <s v="Female"/>
    <n v="42"/>
    <n v="3"/>
    <n v="3"/>
    <s v="Sales Executive"/>
    <n v="4"/>
    <s v="Married"/>
    <n v="7918"/>
    <n v="6599"/>
    <n v="1"/>
    <s v="Y"/>
    <s v="No"/>
    <n v="14"/>
    <n v="3"/>
    <n v="4"/>
    <n v="80"/>
    <n v="1"/>
    <n v="11"/>
    <n v="5"/>
    <n v="3"/>
    <n v="11"/>
    <n v="10"/>
    <n v="4"/>
    <n v="1"/>
    <x v="0"/>
    <n v="0"/>
    <n v="0"/>
    <n v="1"/>
    <m/>
    <m/>
  </r>
  <r>
    <n v="35"/>
    <s v="No"/>
    <s v="Travel_Frequently"/>
    <n v="944"/>
    <s v="Sales"/>
    <n v="1"/>
    <n v="3"/>
    <s v="Marketing"/>
    <n v="1"/>
    <n v="314"/>
    <n v="3"/>
    <s v="Female"/>
    <n v="92"/>
    <n v="3"/>
    <n v="3"/>
    <s v="Sales Executive"/>
    <n v="3"/>
    <s v="Single"/>
    <n v="8789"/>
    <n v="9096"/>
    <n v="1"/>
    <s v="Y"/>
    <s v="No"/>
    <n v="14"/>
    <n v="3"/>
    <n v="1"/>
    <n v="80"/>
    <n v="0"/>
    <n v="10"/>
    <n v="3"/>
    <n v="4"/>
    <n v="10"/>
    <n v="7"/>
    <n v="0"/>
    <n v="8"/>
    <x v="0"/>
    <n v="0"/>
    <n v="0"/>
    <n v="1"/>
    <m/>
    <m/>
  </r>
  <r>
    <n v="29"/>
    <s v="Yes"/>
    <s v="Travel_Rarely"/>
    <n v="896"/>
    <s v="Research &amp; Development"/>
    <n v="18"/>
    <n v="1"/>
    <s v="Medical"/>
    <n v="1"/>
    <n v="315"/>
    <n v="3"/>
    <s v="Male"/>
    <n v="86"/>
    <n v="2"/>
    <n v="1"/>
    <s v="Research Scientist"/>
    <n v="4"/>
    <s v="Single"/>
    <n v="2389"/>
    <n v="14961"/>
    <n v="1"/>
    <s v="Y"/>
    <s v="Yes"/>
    <n v="13"/>
    <n v="3"/>
    <n v="3"/>
    <n v="80"/>
    <n v="0"/>
    <n v="4"/>
    <n v="3"/>
    <n v="2"/>
    <n v="4"/>
    <n v="3"/>
    <n v="0"/>
    <n v="1"/>
    <x v="1"/>
    <n v="1"/>
    <n v="43002"/>
    <n v="1"/>
    <m/>
    <m/>
  </r>
  <r>
    <n v="52"/>
    <s v="No"/>
    <s v="Travel_Rarely"/>
    <n v="1323"/>
    <s v="Research &amp; Development"/>
    <n v="2"/>
    <n v="3"/>
    <s v="Life Sciences"/>
    <n v="1"/>
    <n v="316"/>
    <n v="3"/>
    <s v="Female"/>
    <n v="89"/>
    <n v="2"/>
    <n v="1"/>
    <s v="Laboratory Technician"/>
    <n v="4"/>
    <s v="Single"/>
    <n v="3212"/>
    <n v="3300"/>
    <n v="7"/>
    <s v="Y"/>
    <s v="No"/>
    <n v="15"/>
    <n v="3"/>
    <n v="2"/>
    <n v="80"/>
    <n v="0"/>
    <n v="6"/>
    <n v="3"/>
    <n v="2"/>
    <n v="2"/>
    <n v="2"/>
    <n v="2"/>
    <n v="2"/>
    <x v="1"/>
    <n v="0"/>
    <n v="0"/>
    <n v="1"/>
    <m/>
    <m/>
  </r>
  <r>
    <n v="42"/>
    <s v="No"/>
    <s v="Travel_Rarely"/>
    <n v="532"/>
    <s v="Research &amp; Development"/>
    <n v="4"/>
    <n v="2"/>
    <s v="Technical Degree"/>
    <n v="1"/>
    <n v="319"/>
    <n v="3"/>
    <s v="Male"/>
    <n v="58"/>
    <n v="3"/>
    <n v="5"/>
    <s v="Manager"/>
    <n v="4"/>
    <s v="Married"/>
    <n v="19232"/>
    <n v="4933"/>
    <n v="1"/>
    <s v="Y"/>
    <s v="No"/>
    <n v="11"/>
    <n v="3"/>
    <n v="4"/>
    <n v="80"/>
    <n v="0"/>
    <n v="22"/>
    <n v="3"/>
    <n v="3"/>
    <n v="22"/>
    <n v="17"/>
    <n v="11"/>
    <n v="15"/>
    <x v="4"/>
    <n v="0"/>
    <n v="0"/>
    <n v="1"/>
    <m/>
    <m/>
  </r>
  <r>
    <n v="59"/>
    <s v="No"/>
    <s v="Travel_Rarely"/>
    <n v="818"/>
    <s v="Human Resources"/>
    <n v="6"/>
    <n v="2"/>
    <s v="Medical"/>
    <n v="1"/>
    <n v="321"/>
    <n v="2"/>
    <s v="Male"/>
    <n v="52"/>
    <n v="3"/>
    <n v="1"/>
    <s v="Human Resources"/>
    <n v="3"/>
    <s v="Married"/>
    <n v="2267"/>
    <n v="25657"/>
    <n v="8"/>
    <s v="Y"/>
    <s v="No"/>
    <n v="17"/>
    <n v="3"/>
    <n v="4"/>
    <n v="80"/>
    <n v="0"/>
    <n v="7"/>
    <n v="2"/>
    <n v="2"/>
    <n v="2"/>
    <n v="2"/>
    <n v="2"/>
    <n v="2"/>
    <x v="5"/>
    <n v="0"/>
    <n v="0"/>
    <n v="1"/>
    <m/>
    <m/>
  </r>
  <r>
    <n v="50"/>
    <s v="No"/>
    <s v="Travel_Rarely"/>
    <n v="854"/>
    <s v="Sales"/>
    <n v="1"/>
    <n v="4"/>
    <s v="Medical"/>
    <n v="1"/>
    <n v="323"/>
    <n v="4"/>
    <s v="Female"/>
    <n v="68"/>
    <n v="3"/>
    <n v="5"/>
    <s v="Manager"/>
    <n v="4"/>
    <s v="Divorced"/>
    <n v="19517"/>
    <n v="24118"/>
    <n v="3"/>
    <s v="Y"/>
    <s v="No"/>
    <n v="11"/>
    <n v="3"/>
    <n v="3"/>
    <n v="80"/>
    <n v="1"/>
    <n v="32"/>
    <n v="3"/>
    <n v="2"/>
    <n v="7"/>
    <n v="0"/>
    <n v="0"/>
    <n v="6"/>
    <x v="4"/>
    <n v="0"/>
    <n v="0"/>
    <n v="1"/>
    <m/>
    <m/>
  </r>
  <r>
    <n v="33"/>
    <s v="Yes"/>
    <s v="Travel_Rarely"/>
    <n v="813"/>
    <s v="Research &amp; Development"/>
    <n v="14"/>
    <n v="3"/>
    <s v="Medical"/>
    <n v="1"/>
    <n v="325"/>
    <n v="3"/>
    <s v="Male"/>
    <n v="58"/>
    <n v="3"/>
    <n v="1"/>
    <s v="Laboratory Technician"/>
    <n v="4"/>
    <s v="Married"/>
    <n v="2436"/>
    <n v="22149"/>
    <n v="5"/>
    <s v="Y"/>
    <s v="Yes"/>
    <n v="13"/>
    <n v="3"/>
    <n v="3"/>
    <n v="80"/>
    <n v="1"/>
    <n v="8"/>
    <n v="2"/>
    <n v="1"/>
    <n v="5"/>
    <n v="4"/>
    <n v="0"/>
    <n v="4"/>
    <x v="1"/>
    <n v="1"/>
    <n v="43848"/>
    <n v="1"/>
    <m/>
    <m/>
  </r>
  <r>
    <n v="43"/>
    <s v="No"/>
    <s v="Travel_Rarely"/>
    <n v="1034"/>
    <s v="Sales"/>
    <n v="16"/>
    <n v="3"/>
    <s v="Marketing"/>
    <n v="1"/>
    <n v="327"/>
    <n v="4"/>
    <s v="Female"/>
    <n v="80"/>
    <n v="3"/>
    <n v="4"/>
    <s v="Manager"/>
    <n v="4"/>
    <s v="Married"/>
    <n v="16064"/>
    <n v="7744"/>
    <n v="5"/>
    <s v="Y"/>
    <s v="Yes"/>
    <n v="22"/>
    <n v="4"/>
    <n v="3"/>
    <n v="80"/>
    <n v="1"/>
    <n v="22"/>
    <n v="3"/>
    <n v="3"/>
    <n v="17"/>
    <n v="13"/>
    <n v="1"/>
    <n v="9"/>
    <x v="4"/>
    <n v="0"/>
    <n v="0"/>
    <n v="1"/>
    <m/>
    <m/>
  </r>
  <r>
    <n v="33"/>
    <s v="Yes"/>
    <s v="Travel_Rarely"/>
    <n v="465"/>
    <s v="Research &amp; Development"/>
    <n v="2"/>
    <n v="2"/>
    <s v="Life Sciences"/>
    <n v="1"/>
    <n v="328"/>
    <n v="1"/>
    <s v="Female"/>
    <n v="39"/>
    <n v="3"/>
    <n v="1"/>
    <s v="Laboratory Technician"/>
    <n v="1"/>
    <s v="Married"/>
    <n v="2707"/>
    <n v="21509"/>
    <n v="7"/>
    <s v="Y"/>
    <s v="No"/>
    <n v="20"/>
    <n v="4"/>
    <n v="1"/>
    <n v="80"/>
    <n v="0"/>
    <n v="13"/>
    <n v="3"/>
    <n v="4"/>
    <n v="9"/>
    <n v="7"/>
    <n v="1"/>
    <n v="7"/>
    <x v="1"/>
    <n v="1"/>
    <n v="48726"/>
    <n v="1"/>
    <m/>
    <m/>
  </r>
  <r>
    <n v="52"/>
    <s v="No"/>
    <s v="Non-Travel"/>
    <n v="771"/>
    <s v="Sales"/>
    <n v="2"/>
    <n v="4"/>
    <s v="Life Sciences"/>
    <n v="1"/>
    <n v="329"/>
    <n v="1"/>
    <s v="Male"/>
    <n v="79"/>
    <n v="2"/>
    <n v="5"/>
    <s v="Manager"/>
    <n v="3"/>
    <s v="Single"/>
    <n v="19068"/>
    <n v="21030"/>
    <n v="1"/>
    <s v="Y"/>
    <s v="Yes"/>
    <n v="18"/>
    <n v="3"/>
    <n v="4"/>
    <n v="80"/>
    <n v="0"/>
    <n v="33"/>
    <n v="2"/>
    <n v="4"/>
    <n v="33"/>
    <n v="7"/>
    <n v="15"/>
    <n v="12"/>
    <x v="4"/>
    <n v="0"/>
    <n v="0"/>
    <n v="1"/>
    <m/>
    <m/>
  </r>
  <r>
    <n v="32"/>
    <s v="No"/>
    <s v="Travel_Rarely"/>
    <n v="1401"/>
    <s v="Sales"/>
    <n v="4"/>
    <n v="2"/>
    <s v="Life Sciences"/>
    <n v="1"/>
    <n v="330"/>
    <n v="3"/>
    <s v="Female"/>
    <n v="56"/>
    <n v="3"/>
    <n v="1"/>
    <s v="Sales Representative"/>
    <n v="2"/>
    <s v="Married"/>
    <n v="3931"/>
    <n v="20990"/>
    <n v="2"/>
    <s v="Y"/>
    <s v="No"/>
    <n v="11"/>
    <n v="3"/>
    <n v="1"/>
    <n v="80"/>
    <n v="1"/>
    <n v="6"/>
    <n v="5"/>
    <n v="3"/>
    <n v="4"/>
    <n v="3"/>
    <n v="1"/>
    <n v="2"/>
    <x v="0"/>
    <n v="0"/>
    <n v="0"/>
    <n v="1"/>
    <m/>
    <m/>
  </r>
  <r>
    <n v="32"/>
    <s v="Yes"/>
    <s v="Travel_Rarely"/>
    <n v="515"/>
    <s v="Research &amp; Development"/>
    <n v="1"/>
    <n v="3"/>
    <s v="Life Sciences"/>
    <n v="1"/>
    <n v="331"/>
    <n v="4"/>
    <s v="Male"/>
    <n v="62"/>
    <n v="2"/>
    <n v="1"/>
    <s v="Laboratory Technician"/>
    <n v="3"/>
    <s v="Single"/>
    <n v="3730"/>
    <n v="9571"/>
    <n v="0"/>
    <s v="Y"/>
    <s v="Yes"/>
    <n v="14"/>
    <n v="3"/>
    <n v="4"/>
    <n v="80"/>
    <n v="0"/>
    <n v="4"/>
    <n v="2"/>
    <n v="1"/>
    <n v="3"/>
    <n v="2"/>
    <n v="1"/>
    <n v="2"/>
    <x v="1"/>
    <n v="1"/>
    <n v="67140"/>
    <n v="1"/>
    <m/>
    <m/>
  </r>
  <r>
    <n v="39"/>
    <s v="No"/>
    <s v="Travel_Rarely"/>
    <n v="1431"/>
    <s v="Research &amp; Development"/>
    <n v="1"/>
    <n v="4"/>
    <s v="Medical"/>
    <n v="1"/>
    <n v="332"/>
    <n v="3"/>
    <s v="Female"/>
    <n v="96"/>
    <n v="3"/>
    <n v="1"/>
    <s v="Laboratory Technician"/>
    <n v="3"/>
    <s v="Divorced"/>
    <n v="2232"/>
    <n v="15417"/>
    <n v="7"/>
    <s v="Y"/>
    <s v="No"/>
    <n v="14"/>
    <n v="3"/>
    <n v="3"/>
    <n v="80"/>
    <n v="3"/>
    <n v="7"/>
    <n v="1"/>
    <n v="3"/>
    <n v="3"/>
    <n v="2"/>
    <n v="1"/>
    <n v="2"/>
    <x v="1"/>
    <n v="0"/>
    <n v="0"/>
    <n v="1"/>
    <m/>
    <m/>
  </r>
  <r>
    <n v="32"/>
    <s v="No"/>
    <s v="Non-Travel"/>
    <n v="976"/>
    <s v="Sales"/>
    <n v="26"/>
    <n v="4"/>
    <s v="Marketing"/>
    <n v="1"/>
    <n v="333"/>
    <n v="3"/>
    <s v="Male"/>
    <n v="100"/>
    <n v="3"/>
    <n v="2"/>
    <s v="Sales Executive"/>
    <n v="4"/>
    <s v="Married"/>
    <n v="4465"/>
    <n v="12069"/>
    <n v="0"/>
    <s v="Y"/>
    <s v="No"/>
    <n v="18"/>
    <n v="3"/>
    <n v="1"/>
    <n v="80"/>
    <n v="0"/>
    <n v="4"/>
    <n v="2"/>
    <n v="3"/>
    <n v="3"/>
    <n v="2"/>
    <n v="2"/>
    <n v="2"/>
    <x v="0"/>
    <n v="0"/>
    <n v="0"/>
    <n v="1"/>
    <m/>
    <m/>
  </r>
  <r>
    <n v="41"/>
    <s v="No"/>
    <s v="Travel_Rarely"/>
    <n v="1411"/>
    <s v="Research &amp; Development"/>
    <n v="19"/>
    <n v="2"/>
    <s v="Life Sciences"/>
    <n v="1"/>
    <n v="334"/>
    <n v="3"/>
    <s v="Male"/>
    <n v="36"/>
    <n v="3"/>
    <n v="2"/>
    <s v="Research Scientist"/>
    <n v="1"/>
    <s v="Divorced"/>
    <n v="3072"/>
    <n v="19877"/>
    <n v="2"/>
    <s v="Y"/>
    <s v="No"/>
    <n v="16"/>
    <n v="3"/>
    <n v="1"/>
    <n v="80"/>
    <n v="2"/>
    <n v="17"/>
    <n v="2"/>
    <n v="2"/>
    <n v="1"/>
    <n v="0"/>
    <n v="0"/>
    <n v="0"/>
    <x v="1"/>
    <n v="0"/>
    <n v="0"/>
    <n v="1"/>
    <m/>
    <m/>
  </r>
  <r>
    <n v="40"/>
    <s v="No"/>
    <s v="Travel_Rarely"/>
    <n v="1300"/>
    <s v="Research &amp; Development"/>
    <n v="24"/>
    <n v="2"/>
    <s v="Technical Degree"/>
    <n v="1"/>
    <n v="335"/>
    <n v="1"/>
    <s v="Male"/>
    <n v="62"/>
    <n v="3"/>
    <n v="2"/>
    <s v="Research Scientist"/>
    <n v="4"/>
    <s v="Divorced"/>
    <n v="3319"/>
    <n v="24447"/>
    <n v="1"/>
    <s v="Y"/>
    <s v="No"/>
    <n v="17"/>
    <n v="3"/>
    <n v="1"/>
    <n v="80"/>
    <n v="2"/>
    <n v="9"/>
    <n v="3"/>
    <n v="3"/>
    <n v="9"/>
    <n v="8"/>
    <n v="4"/>
    <n v="7"/>
    <x v="1"/>
    <n v="0"/>
    <n v="0"/>
    <n v="1"/>
    <m/>
    <m/>
  </r>
  <r>
    <n v="45"/>
    <s v="No"/>
    <s v="Travel_Rarely"/>
    <n v="252"/>
    <s v="Research &amp; Development"/>
    <n v="1"/>
    <n v="3"/>
    <s v="Other"/>
    <n v="1"/>
    <n v="336"/>
    <n v="3"/>
    <s v="Male"/>
    <n v="70"/>
    <n v="4"/>
    <n v="5"/>
    <s v="Manager"/>
    <n v="4"/>
    <s v="Married"/>
    <n v="19202"/>
    <n v="15970"/>
    <n v="0"/>
    <s v="Y"/>
    <s v="No"/>
    <n v="11"/>
    <n v="3"/>
    <n v="3"/>
    <n v="80"/>
    <n v="1"/>
    <n v="25"/>
    <n v="2"/>
    <n v="3"/>
    <n v="24"/>
    <n v="0"/>
    <n v="1"/>
    <n v="7"/>
    <x v="4"/>
    <n v="0"/>
    <n v="0"/>
    <n v="1"/>
    <m/>
    <m/>
  </r>
  <r>
    <n v="31"/>
    <s v="No"/>
    <s v="Travel_Frequently"/>
    <n v="1327"/>
    <s v="Research &amp; Development"/>
    <n v="3"/>
    <n v="4"/>
    <s v="Medical"/>
    <n v="1"/>
    <n v="337"/>
    <n v="2"/>
    <s v="Male"/>
    <n v="73"/>
    <n v="3"/>
    <n v="3"/>
    <s v="Research Director"/>
    <n v="3"/>
    <s v="Divorced"/>
    <n v="13675"/>
    <n v="13523"/>
    <n v="9"/>
    <s v="Y"/>
    <s v="No"/>
    <n v="12"/>
    <n v="3"/>
    <n v="1"/>
    <n v="80"/>
    <n v="1"/>
    <n v="9"/>
    <n v="3"/>
    <n v="3"/>
    <n v="2"/>
    <n v="2"/>
    <n v="2"/>
    <n v="2"/>
    <x v="1"/>
    <n v="0"/>
    <n v="0"/>
    <n v="1"/>
    <m/>
    <m/>
  </r>
  <r>
    <n v="33"/>
    <s v="No"/>
    <s v="Travel_Rarely"/>
    <n v="832"/>
    <s v="Research &amp; Development"/>
    <n v="5"/>
    <n v="4"/>
    <s v="Life Sciences"/>
    <n v="1"/>
    <n v="338"/>
    <n v="3"/>
    <s v="Female"/>
    <n v="63"/>
    <n v="2"/>
    <n v="1"/>
    <s v="Research Scientist"/>
    <n v="4"/>
    <s v="Married"/>
    <n v="2911"/>
    <n v="14776"/>
    <n v="1"/>
    <s v="Y"/>
    <s v="No"/>
    <n v="13"/>
    <n v="3"/>
    <n v="3"/>
    <n v="80"/>
    <n v="1"/>
    <n v="2"/>
    <n v="2"/>
    <n v="2"/>
    <n v="2"/>
    <n v="2"/>
    <n v="0"/>
    <n v="2"/>
    <x v="1"/>
    <n v="0"/>
    <n v="0"/>
    <n v="1"/>
    <m/>
    <m/>
  </r>
  <r>
    <n v="34"/>
    <s v="No"/>
    <s v="Travel_Rarely"/>
    <n v="470"/>
    <s v="Research &amp; Development"/>
    <n v="2"/>
    <n v="4"/>
    <s v="Life Sciences"/>
    <n v="1"/>
    <n v="339"/>
    <n v="4"/>
    <s v="Male"/>
    <n v="84"/>
    <n v="2"/>
    <n v="2"/>
    <s v="Manufacturing Director"/>
    <n v="1"/>
    <s v="Married"/>
    <n v="5957"/>
    <n v="23687"/>
    <n v="6"/>
    <s v="Y"/>
    <s v="No"/>
    <n v="13"/>
    <n v="3"/>
    <n v="2"/>
    <n v="80"/>
    <n v="1"/>
    <n v="13"/>
    <n v="3"/>
    <n v="3"/>
    <n v="11"/>
    <n v="9"/>
    <n v="5"/>
    <n v="9"/>
    <x v="2"/>
    <n v="0"/>
    <n v="0"/>
    <n v="1"/>
    <m/>
    <m/>
  </r>
  <r>
    <n v="37"/>
    <s v="No"/>
    <s v="Travel_Rarely"/>
    <n v="1017"/>
    <s v="Research &amp; Development"/>
    <n v="1"/>
    <n v="2"/>
    <s v="Medical"/>
    <n v="1"/>
    <n v="340"/>
    <n v="3"/>
    <s v="Female"/>
    <n v="83"/>
    <n v="2"/>
    <n v="1"/>
    <s v="Research Scientist"/>
    <n v="1"/>
    <s v="Married"/>
    <n v="3920"/>
    <n v="18697"/>
    <n v="2"/>
    <s v="Y"/>
    <s v="No"/>
    <n v="14"/>
    <n v="3"/>
    <n v="1"/>
    <n v="80"/>
    <n v="1"/>
    <n v="17"/>
    <n v="2"/>
    <n v="2"/>
    <n v="3"/>
    <n v="1"/>
    <n v="0"/>
    <n v="2"/>
    <x v="1"/>
    <n v="0"/>
    <n v="0"/>
    <n v="1"/>
    <m/>
    <m/>
  </r>
  <r>
    <n v="45"/>
    <s v="No"/>
    <s v="Travel_Frequently"/>
    <n v="1199"/>
    <s v="Research &amp; Development"/>
    <n v="7"/>
    <n v="4"/>
    <s v="Life Sciences"/>
    <n v="1"/>
    <n v="341"/>
    <n v="1"/>
    <s v="Male"/>
    <n v="77"/>
    <n v="4"/>
    <n v="2"/>
    <s v="Manufacturing Director"/>
    <n v="3"/>
    <s v="Married"/>
    <n v="6434"/>
    <n v="5118"/>
    <n v="4"/>
    <s v="Y"/>
    <s v="No"/>
    <n v="17"/>
    <n v="3"/>
    <n v="4"/>
    <n v="80"/>
    <n v="1"/>
    <n v="9"/>
    <n v="1"/>
    <n v="3"/>
    <n v="3"/>
    <n v="2"/>
    <n v="0"/>
    <n v="2"/>
    <x v="2"/>
    <n v="0"/>
    <n v="0"/>
    <n v="1"/>
    <m/>
    <m/>
  </r>
  <r>
    <n v="37"/>
    <s v="Yes"/>
    <s v="Travel_Frequently"/>
    <n v="504"/>
    <s v="Research &amp; Development"/>
    <n v="10"/>
    <n v="3"/>
    <s v="Medical"/>
    <n v="1"/>
    <n v="342"/>
    <n v="1"/>
    <s v="Male"/>
    <n v="61"/>
    <n v="3"/>
    <n v="3"/>
    <s v="Manufacturing Director"/>
    <n v="3"/>
    <s v="Divorced"/>
    <n v="10048"/>
    <n v="22573"/>
    <n v="6"/>
    <s v="Y"/>
    <s v="No"/>
    <n v="11"/>
    <n v="3"/>
    <n v="2"/>
    <n v="80"/>
    <n v="2"/>
    <n v="17"/>
    <n v="5"/>
    <n v="3"/>
    <n v="1"/>
    <n v="0"/>
    <n v="0"/>
    <n v="0"/>
    <x v="2"/>
    <n v="1"/>
    <n v="180864"/>
    <n v="1"/>
    <m/>
    <m/>
  </r>
  <r>
    <n v="39"/>
    <s v="No"/>
    <s v="Travel_Frequently"/>
    <n v="505"/>
    <s v="Research &amp; Development"/>
    <n v="2"/>
    <n v="4"/>
    <s v="Technical Degree"/>
    <n v="1"/>
    <n v="343"/>
    <n v="3"/>
    <s v="Female"/>
    <n v="64"/>
    <n v="3"/>
    <n v="3"/>
    <s v="Healthcare Representative"/>
    <n v="3"/>
    <s v="Single"/>
    <n v="10938"/>
    <n v="6420"/>
    <n v="0"/>
    <s v="Y"/>
    <s v="No"/>
    <n v="25"/>
    <n v="4"/>
    <n v="4"/>
    <n v="80"/>
    <n v="0"/>
    <n v="20"/>
    <n v="1"/>
    <n v="3"/>
    <n v="19"/>
    <n v="6"/>
    <n v="11"/>
    <n v="8"/>
    <x v="3"/>
    <n v="0"/>
    <n v="0"/>
    <n v="1"/>
    <m/>
    <m/>
  </r>
  <r>
    <n v="29"/>
    <s v="No"/>
    <s v="Travel_Rarely"/>
    <n v="665"/>
    <s v="Research &amp; Development"/>
    <n v="15"/>
    <n v="3"/>
    <s v="Life Sciences"/>
    <n v="1"/>
    <n v="346"/>
    <n v="3"/>
    <s v="Male"/>
    <n v="60"/>
    <n v="3"/>
    <n v="1"/>
    <s v="Research Scientist"/>
    <n v="4"/>
    <s v="Single"/>
    <n v="2340"/>
    <n v="22673"/>
    <n v="1"/>
    <s v="Y"/>
    <s v="No"/>
    <n v="19"/>
    <n v="3"/>
    <n v="1"/>
    <n v="80"/>
    <n v="0"/>
    <n v="6"/>
    <n v="1"/>
    <n v="3"/>
    <n v="6"/>
    <n v="5"/>
    <n v="1"/>
    <n v="5"/>
    <x v="1"/>
    <n v="0"/>
    <n v="0"/>
    <n v="1"/>
    <m/>
    <m/>
  </r>
  <r>
    <n v="42"/>
    <s v="No"/>
    <s v="Travel_Rarely"/>
    <n v="916"/>
    <s v="Research &amp; Development"/>
    <n v="17"/>
    <n v="2"/>
    <s v="Life Sciences"/>
    <n v="1"/>
    <n v="347"/>
    <n v="4"/>
    <s v="Female"/>
    <n v="82"/>
    <n v="4"/>
    <n v="2"/>
    <s v="Research Scientist"/>
    <n v="1"/>
    <s v="Single"/>
    <n v="6545"/>
    <n v="23016"/>
    <n v="3"/>
    <s v="Y"/>
    <s v="Yes"/>
    <n v="13"/>
    <n v="3"/>
    <n v="3"/>
    <n v="80"/>
    <n v="0"/>
    <n v="10"/>
    <n v="1"/>
    <n v="3"/>
    <n v="3"/>
    <n v="2"/>
    <n v="0"/>
    <n v="2"/>
    <x v="1"/>
    <n v="0"/>
    <n v="0"/>
    <n v="1"/>
    <m/>
    <m/>
  </r>
  <r>
    <n v="29"/>
    <s v="No"/>
    <s v="Travel_Rarely"/>
    <n v="1247"/>
    <s v="Sales"/>
    <n v="20"/>
    <n v="2"/>
    <s v="Marketing"/>
    <n v="1"/>
    <n v="349"/>
    <n v="4"/>
    <s v="Male"/>
    <n v="45"/>
    <n v="3"/>
    <n v="2"/>
    <s v="Sales Executive"/>
    <n v="4"/>
    <s v="Divorced"/>
    <n v="6931"/>
    <n v="10732"/>
    <n v="2"/>
    <s v="Y"/>
    <s v="No"/>
    <n v="14"/>
    <n v="3"/>
    <n v="4"/>
    <n v="80"/>
    <n v="1"/>
    <n v="10"/>
    <n v="2"/>
    <n v="3"/>
    <n v="3"/>
    <n v="2"/>
    <n v="0"/>
    <n v="2"/>
    <x v="0"/>
    <n v="0"/>
    <n v="0"/>
    <n v="1"/>
    <m/>
    <m/>
  </r>
  <r>
    <n v="25"/>
    <s v="No"/>
    <s v="Travel_Rarely"/>
    <n v="685"/>
    <s v="Research &amp; Development"/>
    <n v="1"/>
    <n v="3"/>
    <s v="Life Sciences"/>
    <n v="1"/>
    <n v="350"/>
    <n v="1"/>
    <s v="Female"/>
    <n v="62"/>
    <n v="3"/>
    <n v="2"/>
    <s v="Manufacturing Director"/>
    <n v="3"/>
    <s v="Married"/>
    <n v="4898"/>
    <n v="7505"/>
    <n v="0"/>
    <s v="Y"/>
    <s v="No"/>
    <n v="12"/>
    <n v="3"/>
    <n v="4"/>
    <n v="80"/>
    <n v="2"/>
    <n v="5"/>
    <n v="3"/>
    <n v="3"/>
    <n v="4"/>
    <n v="2"/>
    <n v="1"/>
    <n v="2"/>
    <x v="2"/>
    <n v="0"/>
    <n v="0"/>
    <n v="1"/>
    <m/>
    <m/>
  </r>
  <r>
    <n v="42"/>
    <s v="No"/>
    <s v="Travel_Rarely"/>
    <n v="269"/>
    <s v="Research &amp; Development"/>
    <n v="2"/>
    <n v="3"/>
    <s v="Medical"/>
    <n v="1"/>
    <n v="351"/>
    <n v="4"/>
    <s v="Female"/>
    <n v="56"/>
    <n v="2"/>
    <n v="1"/>
    <s v="Laboratory Technician"/>
    <n v="1"/>
    <s v="Divorced"/>
    <n v="2593"/>
    <n v="8007"/>
    <n v="0"/>
    <s v="Y"/>
    <s v="Yes"/>
    <n v="11"/>
    <n v="3"/>
    <n v="3"/>
    <n v="80"/>
    <n v="1"/>
    <n v="10"/>
    <n v="4"/>
    <n v="3"/>
    <n v="9"/>
    <n v="6"/>
    <n v="7"/>
    <n v="8"/>
    <x v="1"/>
    <n v="0"/>
    <n v="0"/>
    <n v="1"/>
    <m/>
    <m/>
  </r>
  <r>
    <n v="40"/>
    <s v="No"/>
    <s v="Travel_Rarely"/>
    <n v="1416"/>
    <s v="Research &amp; Development"/>
    <n v="2"/>
    <n v="2"/>
    <s v="Medical"/>
    <n v="1"/>
    <n v="352"/>
    <n v="1"/>
    <s v="Male"/>
    <n v="49"/>
    <n v="3"/>
    <n v="5"/>
    <s v="Research Director"/>
    <n v="3"/>
    <s v="Divorced"/>
    <n v="19436"/>
    <n v="5949"/>
    <n v="0"/>
    <s v="Y"/>
    <s v="No"/>
    <n v="19"/>
    <n v="3"/>
    <n v="4"/>
    <n v="80"/>
    <n v="1"/>
    <n v="22"/>
    <n v="5"/>
    <n v="3"/>
    <n v="21"/>
    <n v="7"/>
    <n v="3"/>
    <n v="9"/>
    <x v="1"/>
    <n v="0"/>
    <n v="0"/>
    <n v="1"/>
    <m/>
    <m/>
  </r>
  <r>
    <n v="51"/>
    <s v="No"/>
    <s v="Travel_Rarely"/>
    <n v="833"/>
    <s v="Research &amp; Development"/>
    <n v="1"/>
    <n v="3"/>
    <s v="Life Sciences"/>
    <n v="1"/>
    <n v="353"/>
    <n v="3"/>
    <s v="Male"/>
    <n v="96"/>
    <n v="3"/>
    <n v="1"/>
    <s v="Research Scientist"/>
    <n v="4"/>
    <s v="Married"/>
    <n v="2723"/>
    <n v="23231"/>
    <n v="1"/>
    <s v="Y"/>
    <s v="No"/>
    <n v="11"/>
    <n v="3"/>
    <n v="2"/>
    <n v="80"/>
    <n v="0"/>
    <n v="1"/>
    <n v="0"/>
    <n v="2"/>
    <n v="1"/>
    <n v="0"/>
    <n v="0"/>
    <n v="0"/>
    <x v="1"/>
    <n v="0"/>
    <n v="0"/>
    <n v="1"/>
    <m/>
    <m/>
  </r>
  <r>
    <n v="31"/>
    <s v="Yes"/>
    <s v="Travel_Frequently"/>
    <n v="307"/>
    <s v="Research &amp; Development"/>
    <n v="29"/>
    <n v="2"/>
    <s v="Medical"/>
    <n v="1"/>
    <n v="355"/>
    <n v="3"/>
    <s v="Male"/>
    <n v="71"/>
    <n v="2"/>
    <n v="1"/>
    <s v="Laboratory Technician"/>
    <n v="2"/>
    <s v="Single"/>
    <n v="3479"/>
    <n v="11652"/>
    <n v="0"/>
    <s v="Y"/>
    <s v="No"/>
    <n v="11"/>
    <n v="3"/>
    <n v="2"/>
    <n v="80"/>
    <n v="0"/>
    <n v="6"/>
    <n v="2"/>
    <n v="4"/>
    <n v="5"/>
    <n v="4"/>
    <n v="1"/>
    <n v="4"/>
    <x v="1"/>
    <n v="1"/>
    <n v="62622"/>
    <n v="1"/>
    <m/>
    <m/>
  </r>
  <r>
    <n v="32"/>
    <s v="No"/>
    <s v="Travel_Frequently"/>
    <n v="1311"/>
    <s v="Research &amp; Development"/>
    <n v="7"/>
    <n v="3"/>
    <s v="Life Sciences"/>
    <n v="1"/>
    <n v="359"/>
    <n v="2"/>
    <s v="Male"/>
    <n v="100"/>
    <n v="4"/>
    <n v="1"/>
    <s v="Laboratory Technician"/>
    <n v="2"/>
    <s v="Married"/>
    <n v="2794"/>
    <n v="26062"/>
    <n v="1"/>
    <s v="Y"/>
    <s v="No"/>
    <n v="20"/>
    <n v="4"/>
    <n v="3"/>
    <n v="80"/>
    <n v="0"/>
    <n v="5"/>
    <n v="3"/>
    <n v="1"/>
    <n v="5"/>
    <n v="1"/>
    <n v="0"/>
    <n v="3"/>
    <x v="1"/>
    <n v="0"/>
    <n v="0"/>
    <n v="1"/>
    <m/>
    <m/>
  </r>
  <r>
    <n v="38"/>
    <s v="No"/>
    <s v="Non-Travel"/>
    <n v="1327"/>
    <s v="Sales"/>
    <n v="2"/>
    <n v="2"/>
    <s v="Life Sciences"/>
    <n v="1"/>
    <n v="361"/>
    <n v="4"/>
    <s v="Male"/>
    <n v="39"/>
    <n v="2"/>
    <n v="2"/>
    <s v="Sales Executive"/>
    <n v="4"/>
    <s v="Married"/>
    <n v="5249"/>
    <n v="19682"/>
    <n v="3"/>
    <s v="Y"/>
    <s v="No"/>
    <n v="18"/>
    <n v="3"/>
    <n v="4"/>
    <n v="80"/>
    <n v="1"/>
    <n v="13"/>
    <n v="0"/>
    <n v="3"/>
    <n v="8"/>
    <n v="7"/>
    <n v="7"/>
    <n v="5"/>
    <x v="0"/>
    <n v="0"/>
    <n v="0"/>
    <n v="1"/>
    <m/>
    <m/>
  </r>
  <r>
    <n v="32"/>
    <s v="No"/>
    <s v="Travel_Rarely"/>
    <n v="128"/>
    <s v="Research &amp; Development"/>
    <n v="2"/>
    <n v="1"/>
    <s v="Technical Degree"/>
    <n v="1"/>
    <n v="362"/>
    <n v="4"/>
    <s v="Male"/>
    <n v="84"/>
    <n v="2"/>
    <n v="2"/>
    <s v="Laboratory Technician"/>
    <n v="1"/>
    <s v="Single"/>
    <n v="2176"/>
    <n v="19737"/>
    <n v="4"/>
    <s v="Y"/>
    <s v="No"/>
    <n v="13"/>
    <n v="3"/>
    <n v="4"/>
    <n v="80"/>
    <n v="0"/>
    <n v="9"/>
    <n v="5"/>
    <n v="3"/>
    <n v="6"/>
    <n v="2"/>
    <n v="0"/>
    <n v="4"/>
    <x v="1"/>
    <n v="0"/>
    <n v="0"/>
    <n v="1"/>
    <m/>
    <m/>
  </r>
  <r>
    <n v="46"/>
    <s v="No"/>
    <s v="Travel_Rarely"/>
    <n v="488"/>
    <s v="Sales"/>
    <n v="2"/>
    <n v="3"/>
    <s v="Technical Degree"/>
    <n v="1"/>
    <n v="363"/>
    <n v="3"/>
    <s v="Female"/>
    <n v="75"/>
    <n v="1"/>
    <n v="4"/>
    <s v="Manager"/>
    <n v="2"/>
    <s v="Married"/>
    <n v="16872"/>
    <n v="14977"/>
    <n v="3"/>
    <s v="Y"/>
    <s v="Yes"/>
    <n v="12"/>
    <n v="3"/>
    <n v="2"/>
    <n v="80"/>
    <n v="1"/>
    <n v="28"/>
    <n v="2"/>
    <n v="2"/>
    <n v="7"/>
    <n v="7"/>
    <n v="7"/>
    <n v="7"/>
    <x v="4"/>
    <n v="0"/>
    <n v="0"/>
    <n v="1"/>
    <m/>
    <m/>
  </r>
  <r>
    <n v="28"/>
    <s v="Yes"/>
    <s v="Travel_Rarely"/>
    <n v="529"/>
    <s v="Research &amp; Development"/>
    <n v="2"/>
    <n v="4"/>
    <s v="Life Sciences"/>
    <n v="1"/>
    <n v="364"/>
    <n v="1"/>
    <s v="Male"/>
    <n v="79"/>
    <n v="3"/>
    <n v="1"/>
    <s v="Laboratory Technician"/>
    <n v="3"/>
    <s v="Single"/>
    <n v="3485"/>
    <n v="14935"/>
    <n v="2"/>
    <s v="Y"/>
    <s v="No"/>
    <n v="11"/>
    <n v="3"/>
    <n v="3"/>
    <n v="80"/>
    <n v="0"/>
    <n v="5"/>
    <n v="5"/>
    <n v="1"/>
    <n v="0"/>
    <n v="0"/>
    <n v="0"/>
    <n v="0"/>
    <x v="1"/>
    <n v="1"/>
    <n v="62730"/>
    <n v="1"/>
    <m/>
    <m/>
  </r>
  <r>
    <n v="29"/>
    <s v="No"/>
    <s v="Travel_Rarely"/>
    <n v="1210"/>
    <s v="Sales"/>
    <n v="2"/>
    <n v="3"/>
    <s v="Medical"/>
    <n v="1"/>
    <n v="366"/>
    <n v="1"/>
    <s v="Male"/>
    <n v="78"/>
    <n v="2"/>
    <n v="2"/>
    <s v="Sales Executive"/>
    <n v="2"/>
    <s v="Married"/>
    <n v="6644"/>
    <n v="3687"/>
    <n v="2"/>
    <s v="Y"/>
    <s v="No"/>
    <n v="19"/>
    <n v="3"/>
    <n v="2"/>
    <n v="80"/>
    <n v="2"/>
    <n v="10"/>
    <n v="2"/>
    <n v="3"/>
    <n v="0"/>
    <n v="0"/>
    <n v="0"/>
    <n v="0"/>
    <x v="0"/>
    <n v="0"/>
    <n v="0"/>
    <n v="1"/>
    <m/>
    <m/>
  </r>
  <r>
    <n v="31"/>
    <s v="No"/>
    <s v="Travel_Rarely"/>
    <n v="1463"/>
    <s v="Research &amp; Development"/>
    <n v="23"/>
    <n v="3"/>
    <s v="Medical"/>
    <n v="1"/>
    <n v="367"/>
    <n v="2"/>
    <s v="Male"/>
    <n v="64"/>
    <n v="2"/>
    <n v="2"/>
    <s v="Healthcare Representative"/>
    <n v="4"/>
    <s v="Married"/>
    <n v="5582"/>
    <n v="14408"/>
    <n v="0"/>
    <s v="Y"/>
    <s v="No"/>
    <n v="21"/>
    <n v="4"/>
    <n v="2"/>
    <n v="80"/>
    <n v="1"/>
    <n v="10"/>
    <n v="2"/>
    <n v="3"/>
    <n v="9"/>
    <n v="0"/>
    <n v="7"/>
    <n v="8"/>
    <x v="3"/>
    <n v="0"/>
    <n v="0"/>
    <n v="1"/>
    <m/>
    <m/>
  </r>
  <r>
    <n v="25"/>
    <s v="No"/>
    <s v="Non-Travel"/>
    <n v="675"/>
    <s v="Research &amp; Development"/>
    <n v="5"/>
    <n v="2"/>
    <s v="Life Sciences"/>
    <n v="1"/>
    <n v="369"/>
    <n v="2"/>
    <s v="Male"/>
    <n v="85"/>
    <n v="4"/>
    <n v="2"/>
    <s v="Healthcare Representative"/>
    <n v="1"/>
    <s v="Divorced"/>
    <n v="4000"/>
    <n v="18384"/>
    <n v="1"/>
    <s v="Y"/>
    <s v="No"/>
    <n v="12"/>
    <n v="3"/>
    <n v="4"/>
    <n v="80"/>
    <n v="2"/>
    <n v="6"/>
    <n v="2"/>
    <n v="3"/>
    <n v="6"/>
    <n v="3"/>
    <n v="1"/>
    <n v="5"/>
    <x v="3"/>
    <n v="0"/>
    <n v="0"/>
    <n v="1"/>
    <m/>
    <m/>
  </r>
  <r>
    <n v="45"/>
    <s v="No"/>
    <s v="Travel_Rarely"/>
    <n v="1385"/>
    <s v="Research &amp; Development"/>
    <n v="20"/>
    <n v="2"/>
    <s v="Medical"/>
    <n v="1"/>
    <n v="372"/>
    <n v="3"/>
    <s v="Male"/>
    <n v="79"/>
    <n v="3"/>
    <n v="4"/>
    <s v="Healthcare Representative"/>
    <n v="4"/>
    <s v="Married"/>
    <n v="13496"/>
    <n v="7501"/>
    <n v="0"/>
    <s v="Y"/>
    <s v="Yes"/>
    <n v="14"/>
    <n v="3"/>
    <n v="2"/>
    <n v="80"/>
    <n v="0"/>
    <n v="21"/>
    <n v="2"/>
    <n v="3"/>
    <n v="20"/>
    <n v="7"/>
    <n v="4"/>
    <n v="10"/>
    <x v="3"/>
    <n v="0"/>
    <n v="0"/>
    <n v="1"/>
    <m/>
    <m/>
  </r>
  <r>
    <n v="36"/>
    <s v="No"/>
    <s v="Travel_Rarely"/>
    <n v="1403"/>
    <s v="Research &amp; Development"/>
    <n v="6"/>
    <n v="3"/>
    <s v="Life Sciences"/>
    <n v="1"/>
    <n v="373"/>
    <n v="4"/>
    <s v="Male"/>
    <n v="47"/>
    <n v="3"/>
    <n v="1"/>
    <s v="Laboratory Technician"/>
    <n v="4"/>
    <s v="Married"/>
    <n v="3210"/>
    <n v="20251"/>
    <n v="0"/>
    <s v="Y"/>
    <s v="No"/>
    <n v="11"/>
    <n v="3"/>
    <n v="3"/>
    <n v="80"/>
    <n v="1"/>
    <n v="16"/>
    <n v="4"/>
    <n v="3"/>
    <n v="15"/>
    <n v="13"/>
    <n v="10"/>
    <n v="11"/>
    <x v="1"/>
    <n v="0"/>
    <n v="0"/>
    <n v="1"/>
    <m/>
    <m/>
  </r>
  <r>
    <n v="55"/>
    <s v="No"/>
    <s v="Travel_Rarely"/>
    <n v="452"/>
    <s v="Research &amp; Development"/>
    <n v="1"/>
    <n v="3"/>
    <s v="Medical"/>
    <n v="1"/>
    <n v="374"/>
    <n v="4"/>
    <s v="Male"/>
    <n v="81"/>
    <n v="3"/>
    <n v="5"/>
    <s v="Manager"/>
    <n v="1"/>
    <s v="Single"/>
    <n v="19045"/>
    <n v="18938"/>
    <n v="0"/>
    <s v="Y"/>
    <s v="Yes"/>
    <n v="14"/>
    <n v="3"/>
    <n v="3"/>
    <n v="80"/>
    <n v="0"/>
    <n v="37"/>
    <n v="2"/>
    <n v="3"/>
    <n v="36"/>
    <n v="10"/>
    <n v="4"/>
    <n v="13"/>
    <x v="4"/>
    <n v="0"/>
    <n v="0"/>
    <n v="1"/>
    <m/>
    <m/>
  </r>
  <r>
    <n v="47"/>
    <s v="Yes"/>
    <s v="Non-Travel"/>
    <n v="666"/>
    <s v="Research &amp; Development"/>
    <n v="29"/>
    <n v="4"/>
    <s v="Life Sciences"/>
    <n v="1"/>
    <n v="376"/>
    <n v="1"/>
    <s v="Male"/>
    <n v="88"/>
    <n v="3"/>
    <n v="3"/>
    <s v="Manager"/>
    <n v="2"/>
    <s v="Married"/>
    <n v="11849"/>
    <n v="10268"/>
    <n v="1"/>
    <s v="Y"/>
    <s v="Yes"/>
    <n v="12"/>
    <n v="3"/>
    <n v="4"/>
    <n v="80"/>
    <n v="1"/>
    <n v="10"/>
    <n v="2"/>
    <n v="2"/>
    <n v="10"/>
    <n v="7"/>
    <n v="9"/>
    <n v="9"/>
    <x v="4"/>
    <n v="1"/>
    <n v="213282"/>
    <n v="1"/>
    <m/>
    <m/>
  </r>
  <r>
    <n v="28"/>
    <s v="No"/>
    <s v="Travel_Rarely"/>
    <n v="1158"/>
    <s v="Research &amp; Development"/>
    <n v="9"/>
    <n v="3"/>
    <s v="Medical"/>
    <n v="1"/>
    <n v="377"/>
    <n v="4"/>
    <s v="Male"/>
    <n v="94"/>
    <n v="3"/>
    <n v="1"/>
    <s v="Research Scientist"/>
    <n v="4"/>
    <s v="Married"/>
    <n v="2070"/>
    <n v="2613"/>
    <n v="1"/>
    <s v="Y"/>
    <s v="No"/>
    <n v="23"/>
    <n v="4"/>
    <n v="4"/>
    <n v="80"/>
    <n v="1"/>
    <n v="5"/>
    <n v="3"/>
    <n v="2"/>
    <n v="5"/>
    <n v="2"/>
    <n v="0"/>
    <n v="4"/>
    <x v="1"/>
    <n v="0"/>
    <n v="0"/>
    <n v="1"/>
    <m/>
    <m/>
  </r>
  <r>
    <n v="37"/>
    <s v="No"/>
    <s v="Travel_Rarely"/>
    <n v="228"/>
    <s v="Sales"/>
    <n v="6"/>
    <n v="4"/>
    <s v="Medical"/>
    <n v="1"/>
    <n v="378"/>
    <n v="3"/>
    <s v="Male"/>
    <n v="98"/>
    <n v="3"/>
    <n v="2"/>
    <s v="Sales Executive"/>
    <n v="4"/>
    <s v="Married"/>
    <n v="6502"/>
    <n v="22825"/>
    <n v="4"/>
    <s v="Y"/>
    <s v="No"/>
    <n v="14"/>
    <n v="3"/>
    <n v="2"/>
    <n v="80"/>
    <n v="1"/>
    <n v="7"/>
    <n v="5"/>
    <n v="4"/>
    <n v="5"/>
    <n v="4"/>
    <n v="0"/>
    <n v="1"/>
    <x v="0"/>
    <n v="0"/>
    <n v="0"/>
    <n v="1"/>
    <m/>
    <m/>
  </r>
  <r>
    <n v="21"/>
    <s v="No"/>
    <s v="Travel_Rarely"/>
    <n v="996"/>
    <s v="Research &amp; Development"/>
    <n v="3"/>
    <n v="2"/>
    <s v="Medical"/>
    <n v="1"/>
    <n v="379"/>
    <n v="4"/>
    <s v="Male"/>
    <n v="100"/>
    <n v="2"/>
    <n v="1"/>
    <s v="Research Scientist"/>
    <n v="3"/>
    <s v="Single"/>
    <n v="3230"/>
    <n v="10531"/>
    <n v="1"/>
    <s v="Y"/>
    <s v="No"/>
    <n v="17"/>
    <n v="3"/>
    <n v="1"/>
    <n v="80"/>
    <n v="0"/>
    <n v="3"/>
    <n v="4"/>
    <n v="4"/>
    <n v="3"/>
    <n v="2"/>
    <n v="1"/>
    <n v="0"/>
    <x v="1"/>
    <n v="0"/>
    <n v="0"/>
    <n v="1"/>
    <m/>
    <m/>
  </r>
  <r>
    <n v="37"/>
    <s v="No"/>
    <s v="Non-Travel"/>
    <n v="728"/>
    <s v="Research &amp; Development"/>
    <n v="1"/>
    <n v="4"/>
    <s v="Medical"/>
    <n v="1"/>
    <n v="380"/>
    <n v="1"/>
    <s v="Female"/>
    <n v="80"/>
    <n v="3"/>
    <n v="3"/>
    <s v="Research Director"/>
    <n v="4"/>
    <s v="Divorced"/>
    <n v="13603"/>
    <n v="11677"/>
    <n v="2"/>
    <s v="Y"/>
    <s v="Yes"/>
    <n v="18"/>
    <n v="3"/>
    <n v="1"/>
    <n v="80"/>
    <n v="2"/>
    <n v="15"/>
    <n v="2"/>
    <n v="3"/>
    <n v="5"/>
    <n v="2"/>
    <n v="0"/>
    <n v="2"/>
    <x v="1"/>
    <n v="0"/>
    <n v="0"/>
    <n v="1"/>
    <m/>
    <m/>
  </r>
  <r>
    <n v="35"/>
    <s v="No"/>
    <s v="Travel_Rarely"/>
    <n v="1315"/>
    <s v="Research &amp; Development"/>
    <n v="22"/>
    <n v="3"/>
    <s v="Life Sciences"/>
    <n v="1"/>
    <n v="381"/>
    <n v="2"/>
    <s v="Female"/>
    <n v="71"/>
    <n v="4"/>
    <n v="3"/>
    <s v="Manager"/>
    <n v="2"/>
    <s v="Divorced"/>
    <n v="11996"/>
    <n v="19100"/>
    <n v="7"/>
    <s v="Y"/>
    <s v="No"/>
    <n v="18"/>
    <n v="3"/>
    <n v="2"/>
    <n v="80"/>
    <n v="1"/>
    <n v="10"/>
    <n v="6"/>
    <n v="2"/>
    <n v="7"/>
    <n v="7"/>
    <n v="6"/>
    <n v="2"/>
    <x v="4"/>
    <n v="0"/>
    <n v="0"/>
    <n v="1"/>
    <m/>
    <m/>
  </r>
  <r>
    <n v="38"/>
    <s v="No"/>
    <s v="Travel_Rarely"/>
    <n v="322"/>
    <s v="Sales"/>
    <n v="7"/>
    <n v="2"/>
    <s v="Medical"/>
    <n v="1"/>
    <n v="382"/>
    <n v="1"/>
    <s v="Female"/>
    <n v="44"/>
    <n v="4"/>
    <n v="2"/>
    <s v="Sales Executive"/>
    <n v="1"/>
    <s v="Divorced"/>
    <n v="5605"/>
    <n v="19191"/>
    <n v="1"/>
    <s v="Y"/>
    <s v="Yes"/>
    <n v="24"/>
    <n v="4"/>
    <n v="3"/>
    <n v="80"/>
    <n v="1"/>
    <n v="8"/>
    <n v="3"/>
    <n v="3"/>
    <n v="8"/>
    <n v="0"/>
    <n v="7"/>
    <n v="7"/>
    <x v="0"/>
    <n v="0"/>
    <n v="0"/>
    <n v="1"/>
    <m/>
    <m/>
  </r>
  <r>
    <n v="26"/>
    <s v="No"/>
    <s v="Travel_Frequently"/>
    <n v="1479"/>
    <s v="Research &amp; Development"/>
    <n v="1"/>
    <n v="3"/>
    <s v="Life Sciences"/>
    <n v="1"/>
    <n v="384"/>
    <n v="3"/>
    <s v="Female"/>
    <n v="84"/>
    <n v="3"/>
    <n v="2"/>
    <s v="Manufacturing Director"/>
    <n v="2"/>
    <s v="Divorced"/>
    <n v="6397"/>
    <n v="26767"/>
    <n v="1"/>
    <s v="Y"/>
    <s v="No"/>
    <n v="20"/>
    <n v="4"/>
    <n v="1"/>
    <n v="80"/>
    <n v="1"/>
    <n v="6"/>
    <n v="6"/>
    <n v="1"/>
    <n v="6"/>
    <n v="5"/>
    <n v="1"/>
    <n v="4"/>
    <x v="2"/>
    <n v="0"/>
    <n v="0"/>
    <n v="1"/>
    <m/>
    <m/>
  </r>
  <r>
    <n v="50"/>
    <s v="No"/>
    <s v="Travel_Rarely"/>
    <n v="797"/>
    <s v="Research &amp; Development"/>
    <n v="4"/>
    <n v="1"/>
    <s v="Life Sciences"/>
    <n v="1"/>
    <n v="385"/>
    <n v="1"/>
    <s v="Male"/>
    <n v="96"/>
    <n v="3"/>
    <n v="5"/>
    <s v="Research Director"/>
    <n v="2"/>
    <s v="Divorced"/>
    <n v="19144"/>
    <n v="15815"/>
    <n v="3"/>
    <s v="Y"/>
    <s v="No"/>
    <n v="14"/>
    <n v="3"/>
    <n v="1"/>
    <n v="80"/>
    <n v="2"/>
    <n v="28"/>
    <n v="4"/>
    <n v="2"/>
    <n v="10"/>
    <n v="4"/>
    <n v="1"/>
    <n v="6"/>
    <x v="1"/>
    <n v="0"/>
    <n v="0"/>
    <n v="1"/>
    <m/>
    <m/>
  </r>
  <r>
    <n v="53"/>
    <s v="No"/>
    <s v="Travel_Rarely"/>
    <n v="1070"/>
    <s v="Research &amp; Development"/>
    <n v="3"/>
    <n v="4"/>
    <s v="Medical"/>
    <n v="1"/>
    <n v="386"/>
    <n v="3"/>
    <s v="Male"/>
    <n v="45"/>
    <n v="3"/>
    <n v="4"/>
    <s v="Research Director"/>
    <n v="3"/>
    <s v="Married"/>
    <n v="17584"/>
    <n v="21016"/>
    <n v="3"/>
    <s v="Y"/>
    <s v="Yes"/>
    <n v="16"/>
    <n v="3"/>
    <n v="4"/>
    <n v="80"/>
    <n v="3"/>
    <n v="21"/>
    <n v="5"/>
    <n v="2"/>
    <n v="5"/>
    <n v="3"/>
    <n v="1"/>
    <n v="3"/>
    <x v="1"/>
    <n v="0"/>
    <n v="0"/>
    <n v="1"/>
    <m/>
    <m/>
  </r>
  <r>
    <n v="42"/>
    <s v="No"/>
    <s v="Travel_Rarely"/>
    <n v="635"/>
    <s v="Sales"/>
    <n v="1"/>
    <n v="1"/>
    <s v="Life Sciences"/>
    <n v="1"/>
    <n v="387"/>
    <n v="2"/>
    <s v="Male"/>
    <n v="99"/>
    <n v="3"/>
    <n v="2"/>
    <s v="Sales Executive"/>
    <n v="3"/>
    <s v="Married"/>
    <n v="4907"/>
    <n v="24532"/>
    <n v="1"/>
    <s v="Y"/>
    <s v="No"/>
    <n v="25"/>
    <n v="4"/>
    <n v="3"/>
    <n v="80"/>
    <n v="0"/>
    <n v="20"/>
    <n v="3"/>
    <n v="3"/>
    <n v="20"/>
    <n v="16"/>
    <n v="11"/>
    <n v="6"/>
    <x v="0"/>
    <n v="0"/>
    <n v="0"/>
    <n v="1"/>
    <m/>
    <m/>
  </r>
  <r>
    <n v="29"/>
    <s v="No"/>
    <s v="Travel_Frequently"/>
    <n v="442"/>
    <s v="Sales"/>
    <n v="2"/>
    <n v="2"/>
    <s v="Life Sciences"/>
    <n v="1"/>
    <n v="388"/>
    <n v="2"/>
    <s v="Male"/>
    <n v="44"/>
    <n v="3"/>
    <n v="2"/>
    <s v="Sales Executive"/>
    <n v="4"/>
    <s v="Single"/>
    <n v="4554"/>
    <n v="20260"/>
    <n v="1"/>
    <s v="Y"/>
    <s v="No"/>
    <n v="18"/>
    <n v="3"/>
    <n v="1"/>
    <n v="80"/>
    <n v="0"/>
    <n v="10"/>
    <n v="3"/>
    <n v="2"/>
    <n v="10"/>
    <n v="7"/>
    <n v="0"/>
    <n v="9"/>
    <x v="0"/>
    <n v="0"/>
    <n v="0"/>
    <n v="1"/>
    <m/>
    <m/>
  </r>
  <r>
    <n v="55"/>
    <s v="No"/>
    <s v="Travel_Rarely"/>
    <n v="147"/>
    <s v="Research &amp; Development"/>
    <n v="20"/>
    <n v="2"/>
    <s v="Technical Degree"/>
    <n v="1"/>
    <n v="389"/>
    <n v="2"/>
    <s v="Male"/>
    <n v="37"/>
    <n v="3"/>
    <n v="2"/>
    <s v="Laboratory Technician"/>
    <n v="4"/>
    <s v="Married"/>
    <n v="5415"/>
    <n v="15972"/>
    <n v="3"/>
    <s v="Y"/>
    <s v="Yes"/>
    <n v="19"/>
    <n v="3"/>
    <n v="4"/>
    <n v="80"/>
    <n v="1"/>
    <n v="12"/>
    <n v="4"/>
    <n v="3"/>
    <n v="10"/>
    <n v="7"/>
    <n v="0"/>
    <n v="8"/>
    <x v="1"/>
    <n v="0"/>
    <n v="0"/>
    <n v="1"/>
    <m/>
    <m/>
  </r>
  <r>
    <n v="26"/>
    <s v="No"/>
    <s v="Travel_Frequently"/>
    <n v="496"/>
    <s v="Research &amp; Development"/>
    <n v="11"/>
    <n v="2"/>
    <s v="Medical"/>
    <n v="1"/>
    <n v="390"/>
    <n v="1"/>
    <s v="Male"/>
    <n v="60"/>
    <n v="3"/>
    <n v="2"/>
    <s v="Healthcare Representative"/>
    <n v="1"/>
    <s v="Married"/>
    <n v="4741"/>
    <n v="22722"/>
    <n v="1"/>
    <s v="Y"/>
    <s v="Yes"/>
    <n v="13"/>
    <n v="3"/>
    <n v="3"/>
    <n v="80"/>
    <n v="1"/>
    <n v="5"/>
    <n v="3"/>
    <n v="3"/>
    <n v="5"/>
    <n v="3"/>
    <n v="3"/>
    <n v="3"/>
    <x v="3"/>
    <n v="0"/>
    <n v="0"/>
    <n v="1"/>
    <m/>
    <m/>
  </r>
  <r>
    <n v="37"/>
    <s v="No"/>
    <s v="Travel_Rarely"/>
    <n v="1372"/>
    <s v="Research &amp; Development"/>
    <n v="1"/>
    <n v="3"/>
    <s v="Life Sciences"/>
    <n v="1"/>
    <n v="391"/>
    <n v="4"/>
    <s v="Female"/>
    <n v="42"/>
    <n v="3"/>
    <n v="1"/>
    <s v="Research Scientist"/>
    <n v="4"/>
    <s v="Single"/>
    <n v="2115"/>
    <n v="15881"/>
    <n v="1"/>
    <s v="Y"/>
    <s v="No"/>
    <n v="12"/>
    <n v="3"/>
    <n v="2"/>
    <n v="80"/>
    <n v="0"/>
    <n v="17"/>
    <n v="3"/>
    <n v="3"/>
    <n v="17"/>
    <n v="12"/>
    <n v="5"/>
    <n v="7"/>
    <x v="1"/>
    <n v="0"/>
    <n v="0"/>
    <n v="1"/>
    <m/>
    <m/>
  </r>
  <r>
    <n v="44"/>
    <s v="Yes"/>
    <s v="Travel_Frequently"/>
    <n v="920"/>
    <s v="Research &amp; Development"/>
    <n v="24"/>
    <n v="3"/>
    <s v="Life Sciences"/>
    <n v="1"/>
    <n v="392"/>
    <n v="4"/>
    <s v="Male"/>
    <n v="43"/>
    <n v="3"/>
    <n v="1"/>
    <s v="Laboratory Technician"/>
    <n v="3"/>
    <s v="Divorced"/>
    <n v="3161"/>
    <n v="19920"/>
    <n v="3"/>
    <s v="Y"/>
    <s v="Yes"/>
    <n v="22"/>
    <n v="4"/>
    <n v="4"/>
    <n v="80"/>
    <n v="1"/>
    <n v="19"/>
    <n v="0"/>
    <n v="1"/>
    <n v="1"/>
    <n v="0"/>
    <n v="0"/>
    <n v="0"/>
    <x v="1"/>
    <n v="1"/>
    <n v="56898"/>
    <n v="1"/>
    <m/>
    <m/>
  </r>
  <r>
    <n v="38"/>
    <s v="No"/>
    <s v="Travel_Rarely"/>
    <n v="688"/>
    <s v="Research &amp; Development"/>
    <n v="23"/>
    <n v="4"/>
    <s v="Life Sciences"/>
    <n v="1"/>
    <n v="393"/>
    <n v="4"/>
    <s v="Male"/>
    <n v="82"/>
    <n v="3"/>
    <n v="2"/>
    <s v="Healthcare Representative"/>
    <n v="4"/>
    <s v="Divorced"/>
    <n v="5745"/>
    <n v="18899"/>
    <n v="9"/>
    <s v="Y"/>
    <s v="No"/>
    <n v="14"/>
    <n v="3"/>
    <n v="2"/>
    <n v="80"/>
    <n v="1"/>
    <n v="10"/>
    <n v="2"/>
    <n v="3"/>
    <n v="2"/>
    <n v="2"/>
    <n v="1"/>
    <n v="2"/>
    <x v="3"/>
    <n v="0"/>
    <n v="0"/>
    <n v="1"/>
    <m/>
    <m/>
  </r>
  <r>
    <n v="26"/>
    <s v="Yes"/>
    <s v="Travel_Rarely"/>
    <n v="1449"/>
    <s v="Research &amp; Development"/>
    <n v="16"/>
    <n v="4"/>
    <s v="Medical"/>
    <n v="1"/>
    <n v="394"/>
    <n v="1"/>
    <s v="Male"/>
    <n v="45"/>
    <n v="3"/>
    <n v="1"/>
    <s v="Laboratory Technician"/>
    <n v="2"/>
    <s v="Divorced"/>
    <n v="2373"/>
    <n v="14180"/>
    <n v="2"/>
    <s v="Y"/>
    <s v="Yes"/>
    <n v="13"/>
    <n v="3"/>
    <n v="4"/>
    <n v="80"/>
    <n v="1"/>
    <n v="5"/>
    <n v="2"/>
    <n v="3"/>
    <n v="3"/>
    <n v="2"/>
    <n v="0"/>
    <n v="2"/>
    <x v="1"/>
    <n v="1"/>
    <n v="42714"/>
    <n v="1"/>
    <m/>
    <m/>
  </r>
  <r>
    <n v="28"/>
    <s v="No"/>
    <s v="Travel_Rarely"/>
    <n v="1117"/>
    <s v="Research &amp; Development"/>
    <n v="8"/>
    <n v="2"/>
    <s v="Life Sciences"/>
    <n v="1"/>
    <n v="395"/>
    <n v="4"/>
    <s v="Female"/>
    <n v="66"/>
    <n v="3"/>
    <n v="1"/>
    <s v="Research Scientist"/>
    <n v="4"/>
    <s v="Single"/>
    <n v="3310"/>
    <n v="4488"/>
    <n v="1"/>
    <s v="Y"/>
    <s v="No"/>
    <n v="21"/>
    <n v="4"/>
    <n v="4"/>
    <n v="80"/>
    <n v="0"/>
    <n v="5"/>
    <n v="3"/>
    <n v="3"/>
    <n v="5"/>
    <n v="3"/>
    <n v="0"/>
    <n v="2"/>
    <x v="1"/>
    <n v="0"/>
    <n v="0"/>
    <n v="1"/>
    <m/>
    <m/>
  </r>
  <r>
    <n v="49"/>
    <s v="No"/>
    <s v="Travel_Frequently"/>
    <n v="636"/>
    <s v="Research &amp; Development"/>
    <n v="10"/>
    <n v="4"/>
    <s v="Life Sciences"/>
    <n v="1"/>
    <n v="396"/>
    <n v="3"/>
    <s v="Female"/>
    <n v="35"/>
    <n v="3"/>
    <n v="5"/>
    <s v="Research Director"/>
    <n v="1"/>
    <s v="Single"/>
    <n v="18665"/>
    <n v="25594"/>
    <n v="9"/>
    <s v="Y"/>
    <s v="Yes"/>
    <n v="11"/>
    <n v="3"/>
    <n v="4"/>
    <n v="80"/>
    <n v="0"/>
    <n v="22"/>
    <n v="4"/>
    <n v="3"/>
    <n v="3"/>
    <n v="2"/>
    <n v="1"/>
    <n v="2"/>
    <x v="1"/>
    <n v="0"/>
    <n v="0"/>
    <n v="1"/>
    <m/>
    <m/>
  </r>
  <r>
    <n v="36"/>
    <s v="No"/>
    <s v="Travel_Rarely"/>
    <n v="506"/>
    <s v="Research &amp; Development"/>
    <n v="3"/>
    <n v="3"/>
    <s v="Technical Degree"/>
    <n v="1"/>
    <n v="397"/>
    <n v="3"/>
    <s v="Male"/>
    <n v="30"/>
    <n v="3"/>
    <n v="2"/>
    <s v="Research Scientist"/>
    <n v="2"/>
    <s v="Single"/>
    <n v="4485"/>
    <n v="26285"/>
    <n v="4"/>
    <s v="Y"/>
    <s v="No"/>
    <n v="12"/>
    <n v="3"/>
    <n v="4"/>
    <n v="80"/>
    <n v="0"/>
    <n v="10"/>
    <n v="2"/>
    <n v="3"/>
    <n v="8"/>
    <n v="0"/>
    <n v="7"/>
    <n v="7"/>
    <x v="1"/>
    <n v="0"/>
    <n v="0"/>
    <n v="1"/>
    <m/>
    <m/>
  </r>
  <r>
    <n v="31"/>
    <s v="No"/>
    <s v="Travel_Frequently"/>
    <n v="444"/>
    <s v="Sales"/>
    <n v="5"/>
    <n v="3"/>
    <s v="Marketing"/>
    <n v="1"/>
    <n v="399"/>
    <n v="4"/>
    <s v="Female"/>
    <n v="84"/>
    <n v="3"/>
    <n v="1"/>
    <s v="Sales Representative"/>
    <n v="2"/>
    <s v="Divorced"/>
    <n v="2789"/>
    <n v="3909"/>
    <n v="1"/>
    <s v="Y"/>
    <s v="No"/>
    <n v="11"/>
    <n v="3"/>
    <n v="3"/>
    <n v="80"/>
    <n v="1"/>
    <n v="2"/>
    <n v="5"/>
    <n v="2"/>
    <n v="2"/>
    <n v="2"/>
    <n v="2"/>
    <n v="2"/>
    <x v="0"/>
    <n v="0"/>
    <n v="0"/>
    <n v="1"/>
    <m/>
    <m/>
  </r>
  <r>
    <n v="26"/>
    <s v="Yes"/>
    <s v="Travel_Rarely"/>
    <n v="950"/>
    <s v="Sales"/>
    <n v="4"/>
    <n v="4"/>
    <s v="Marketing"/>
    <n v="1"/>
    <n v="401"/>
    <n v="4"/>
    <s v="Male"/>
    <n v="48"/>
    <n v="2"/>
    <n v="2"/>
    <s v="Sales Executive"/>
    <n v="4"/>
    <s v="Single"/>
    <n v="5828"/>
    <n v="8450"/>
    <n v="1"/>
    <s v="Y"/>
    <s v="Yes"/>
    <n v="12"/>
    <n v="3"/>
    <n v="2"/>
    <n v="80"/>
    <n v="0"/>
    <n v="8"/>
    <n v="0"/>
    <n v="3"/>
    <n v="8"/>
    <n v="7"/>
    <n v="7"/>
    <n v="4"/>
    <x v="0"/>
    <n v="1"/>
    <n v="104904"/>
    <n v="1"/>
    <m/>
    <m/>
  </r>
  <r>
    <n v="37"/>
    <s v="No"/>
    <s v="Travel_Frequently"/>
    <n v="889"/>
    <s v="Research &amp; Development"/>
    <n v="9"/>
    <n v="3"/>
    <s v="Medical"/>
    <n v="1"/>
    <n v="403"/>
    <n v="2"/>
    <s v="Male"/>
    <n v="53"/>
    <n v="3"/>
    <n v="1"/>
    <s v="Research Scientist"/>
    <n v="4"/>
    <s v="Married"/>
    <n v="2326"/>
    <n v="11411"/>
    <n v="1"/>
    <s v="Y"/>
    <s v="Yes"/>
    <n v="12"/>
    <n v="3"/>
    <n v="3"/>
    <n v="80"/>
    <n v="3"/>
    <n v="4"/>
    <n v="3"/>
    <n v="2"/>
    <n v="4"/>
    <n v="2"/>
    <n v="1"/>
    <n v="2"/>
    <x v="1"/>
    <n v="0"/>
    <n v="0"/>
    <n v="1"/>
    <m/>
    <m/>
  </r>
  <r>
    <n v="42"/>
    <s v="No"/>
    <s v="Travel_Frequently"/>
    <n v="555"/>
    <s v="Sales"/>
    <n v="26"/>
    <n v="3"/>
    <s v="Marketing"/>
    <n v="1"/>
    <n v="404"/>
    <n v="3"/>
    <s v="Female"/>
    <n v="77"/>
    <n v="3"/>
    <n v="4"/>
    <s v="Sales Executive"/>
    <n v="2"/>
    <s v="Married"/>
    <n v="13525"/>
    <n v="14864"/>
    <n v="5"/>
    <s v="Y"/>
    <s v="No"/>
    <n v="14"/>
    <n v="3"/>
    <n v="4"/>
    <n v="80"/>
    <n v="1"/>
    <n v="23"/>
    <n v="2"/>
    <n v="4"/>
    <n v="20"/>
    <n v="4"/>
    <n v="4"/>
    <n v="8"/>
    <x v="0"/>
    <n v="0"/>
    <n v="0"/>
    <n v="1"/>
    <m/>
    <m/>
  </r>
  <r>
    <n v="18"/>
    <s v="Yes"/>
    <s v="Travel_Rarely"/>
    <n v="230"/>
    <s v="Research &amp; Development"/>
    <n v="3"/>
    <n v="3"/>
    <s v="Life Sciences"/>
    <n v="1"/>
    <n v="405"/>
    <n v="3"/>
    <s v="Male"/>
    <n v="54"/>
    <n v="3"/>
    <n v="1"/>
    <s v="Laboratory Technician"/>
    <n v="3"/>
    <s v="Single"/>
    <n v="1420"/>
    <n v="25233"/>
    <n v="1"/>
    <s v="Y"/>
    <s v="No"/>
    <n v="13"/>
    <n v="3"/>
    <n v="3"/>
    <n v="80"/>
    <n v="0"/>
    <n v="0"/>
    <n v="2"/>
    <n v="3"/>
    <n v="0"/>
    <n v="0"/>
    <n v="0"/>
    <n v="0"/>
    <x v="1"/>
    <n v="1"/>
    <n v="25560"/>
    <n v="1"/>
    <m/>
    <m/>
  </r>
  <r>
    <n v="35"/>
    <s v="No"/>
    <s v="Travel_Rarely"/>
    <n v="1232"/>
    <s v="Sales"/>
    <n v="16"/>
    <n v="3"/>
    <s v="Marketing"/>
    <n v="1"/>
    <n v="406"/>
    <n v="3"/>
    <s v="Male"/>
    <n v="96"/>
    <n v="3"/>
    <n v="3"/>
    <s v="Sales Executive"/>
    <n v="2"/>
    <s v="Married"/>
    <n v="8020"/>
    <n v="5100"/>
    <n v="0"/>
    <s v="Y"/>
    <s v="No"/>
    <n v="15"/>
    <n v="3"/>
    <n v="3"/>
    <n v="80"/>
    <n v="2"/>
    <n v="12"/>
    <n v="3"/>
    <n v="2"/>
    <n v="11"/>
    <n v="9"/>
    <n v="6"/>
    <n v="9"/>
    <x v="0"/>
    <n v="0"/>
    <n v="0"/>
    <n v="1"/>
    <m/>
    <m/>
  </r>
  <r>
    <n v="36"/>
    <s v="No"/>
    <s v="Travel_Frequently"/>
    <n v="566"/>
    <s v="Research &amp; Development"/>
    <n v="18"/>
    <n v="4"/>
    <s v="Life Sciences"/>
    <n v="1"/>
    <n v="407"/>
    <n v="3"/>
    <s v="Male"/>
    <n v="81"/>
    <n v="4"/>
    <n v="1"/>
    <s v="Laboratory Technician"/>
    <n v="4"/>
    <s v="Married"/>
    <n v="3688"/>
    <n v="7122"/>
    <n v="4"/>
    <s v="Y"/>
    <s v="No"/>
    <n v="18"/>
    <n v="3"/>
    <n v="4"/>
    <n v="80"/>
    <n v="2"/>
    <n v="4"/>
    <n v="2"/>
    <n v="3"/>
    <n v="1"/>
    <n v="0"/>
    <n v="0"/>
    <n v="0"/>
    <x v="1"/>
    <n v="0"/>
    <n v="0"/>
    <n v="1"/>
    <m/>
    <m/>
  </r>
  <r>
    <n v="51"/>
    <s v="No"/>
    <s v="Travel_Rarely"/>
    <n v="1302"/>
    <s v="Research &amp; Development"/>
    <n v="2"/>
    <n v="3"/>
    <s v="Medical"/>
    <n v="1"/>
    <n v="408"/>
    <n v="4"/>
    <s v="Male"/>
    <n v="84"/>
    <n v="1"/>
    <n v="2"/>
    <s v="Manufacturing Director"/>
    <n v="2"/>
    <s v="Divorced"/>
    <n v="5482"/>
    <n v="16321"/>
    <n v="5"/>
    <s v="Y"/>
    <s v="No"/>
    <n v="18"/>
    <n v="3"/>
    <n v="4"/>
    <n v="80"/>
    <n v="1"/>
    <n v="13"/>
    <n v="3"/>
    <n v="3"/>
    <n v="4"/>
    <n v="1"/>
    <n v="1"/>
    <n v="2"/>
    <x v="2"/>
    <n v="0"/>
    <n v="0"/>
    <n v="1"/>
    <m/>
    <m/>
  </r>
  <r>
    <n v="41"/>
    <s v="No"/>
    <s v="Travel_Rarely"/>
    <n v="334"/>
    <s v="Sales"/>
    <n v="2"/>
    <n v="4"/>
    <s v="Life Sciences"/>
    <n v="1"/>
    <n v="410"/>
    <n v="4"/>
    <s v="Male"/>
    <n v="88"/>
    <n v="3"/>
    <n v="4"/>
    <s v="Manager"/>
    <n v="2"/>
    <s v="Single"/>
    <n v="16015"/>
    <n v="15896"/>
    <n v="1"/>
    <s v="Y"/>
    <s v="No"/>
    <n v="19"/>
    <n v="3"/>
    <n v="2"/>
    <n v="80"/>
    <n v="0"/>
    <n v="22"/>
    <n v="2"/>
    <n v="3"/>
    <n v="22"/>
    <n v="10"/>
    <n v="0"/>
    <n v="4"/>
    <x v="4"/>
    <n v="0"/>
    <n v="0"/>
    <n v="1"/>
    <m/>
    <m/>
  </r>
  <r>
    <n v="18"/>
    <s v="No"/>
    <s v="Travel_Rarely"/>
    <n v="812"/>
    <s v="Sales"/>
    <n v="10"/>
    <n v="3"/>
    <s v="Medical"/>
    <n v="1"/>
    <n v="411"/>
    <n v="4"/>
    <s v="Female"/>
    <n v="69"/>
    <n v="2"/>
    <n v="1"/>
    <s v="Sales Representative"/>
    <n v="3"/>
    <s v="Single"/>
    <n v="1200"/>
    <n v="9724"/>
    <n v="1"/>
    <s v="Y"/>
    <s v="No"/>
    <n v="12"/>
    <n v="3"/>
    <n v="1"/>
    <n v="80"/>
    <n v="0"/>
    <n v="0"/>
    <n v="2"/>
    <n v="3"/>
    <n v="0"/>
    <n v="0"/>
    <n v="0"/>
    <n v="0"/>
    <x v="0"/>
    <n v="0"/>
    <n v="0"/>
    <n v="1"/>
    <m/>
    <m/>
  </r>
  <r>
    <n v="28"/>
    <s v="No"/>
    <s v="Travel_Rarely"/>
    <n v="1476"/>
    <s v="Research &amp; Development"/>
    <n v="16"/>
    <n v="2"/>
    <s v="Medical"/>
    <n v="1"/>
    <n v="412"/>
    <n v="2"/>
    <s v="Male"/>
    <n v="68"/>
    <n v="4"/>
    <n v="2"/>
    <s v="Healthcare Representative"/>
    <n v="1"/>
    <s v="Single"/>
    <n v="5661"/>
    <n v="4824"/>
    <n v="0"/>
    <s v="Y"/>
    <s v="No"/>
    <n v="19"/>
    <n v="3"/>
    <n v="3"/>
    <n v="80"/>
    <n v="0"/>
    <n v="9"/>
    <n v="2"/>
    <n v="3"/>
    <n v="8"/>
    <n v="3"/>
    <n v="0"/>
    <n v="7"/>
    <x v="3"/>
    <n v="0"/>
    <n v="0"/>
    <n v="1"/>
    <m/>
    <m/>
  </r>
  <r>
    <n v="31"/>
    <s v="No"/>
    <s v="Travel_Rarely"/>
    <n v="218"/>
    <s v="Sales"/>
    <n v="7"/>
    <n v="3"/>
    <s v="Technical Degree"/>
    <n v="1"/>
    <n v="416"/>
    <n v="2"/>
    <s v="Male"/>
    <n v="100"/>
    <n v="4"/>
    <n v="2"/>
    <s v="Sales Executive"/>
    <n v="4"/>
    <s v="Married"/>
    <n v="6929"/>
    <n v="12241"/>
    <n v="4"/>
    <s v="Y"/>
    <s v="No"/>
    <n v="11"/>
    <n v="3"/>
    <n v="2"/>
    <n v="80"/>
    <n v="1"/>
    <n v="10"/>
    <n v="3"/>
    <n v="2"/>
    <n v="8"/>
    <n v="7"/>
    <n v="7"/>
    <n v="7"/>
    <x v="0"/>
    <n v="0"/>
    <n v="0"/>
    <n v="1"/>
    <m/>
    <m/>
  </r>
  <r>
    <n v="39"/>
    <s v="No"/>
    <s v="Travel_Rarely"/>
    <n v="1132"/>
    <s v="Research &amp; Development"/>
    <n v="1"/>
    <n v="3"/>
    <s v="Medical"/>
    <n v="1"/>
    <n v="417"/>
    <n v="3"/>
    <s v="Male"/>
    <n v="48"/>
    <n v="4"/>
    <n v="3"/>
    <s v="Healthcare Representative"/>
    <n v="4"/>
    <s v="Divorced"/>
    <n v="9613"/>
    <n v="10942"/>
    <n v="0"/>
    <s v="Y"/>
    <s v="No"/>
    <n v="17"/>
    <n v="3"/>
    <n v="1"/>
    <n v="80"/>
    <n v="3"/>
    <n v="19"/>
    <n v="5"/>
    <n v="2"/>
    <n v="18"/>
    <n v="10"/>
    <n v="3"/>
    <n v="7"/>
    <x v="3"/>
    <n v="0"/>
    <n v="0"/>
    <n v="1"/>
    <m/>
    <m/>
  </r>
  <r>
    <n v="36"/>
    <s v="No"/>
    <s v="Non-Travel"/>
    <n v="1105"/>
    <s v="Research &amp; Development"/>
    <n v="24"/>
    <n v="4"/>
    <s v="Life Sciences"/>
    <n v="1"/>
    <n v="419"/>
    <n v="2"/>
    <s v="Female"/>
    <n v="47"/>
    <n v="3"/>
    <n v="2"/>
    <s v="Laboratory Technician"/>
    <n v="2"/>
    <s v="Married"/>
    <n v="5674"/>
    <n v="6927"/>
    <n v="7"/>
    <s v="Y"/>
    <s v="No"/>
    <n v="15"/>
    <n v="3"/>
    <n v="3"/>
    <n v="80"/>
    <n v="1"/>
    <n v="11"/>
    <n v="3"/>
    <n v="3"/>
    <n v="9"/>
    <n v="8"/>
    <n v="0"/>
    <n v="8"/>
    <x v="1"/>
    <n v="0"/>
    <n v="0"/>
    <n v="1"/>
    <m/>
    <m/>
  </r>
  <r>
    <n v="32"/>
    <s v="No"/>
    <s v="Travel_Rarely"/>
    <n v="906"/>
    <s v="Sales"/>
    <n v="7"/>
    <n v="3"/>
    <s v="Life Sciences"/>
    <n v="1"/>
    <n v="420"/>
    <n v="4"/>
    <s v="Male"/>
    <n v="91"/>
    <n v="2"/>
    <n v="2"/>
    <s v="Sales Executive"/>
    <n v="3"/>
    <s v="Married"/>
    <n v="5484"/>
    <n v="16985"/>
    <n v="1"/>
    <s v="Y"/>
    <s v="No"/>
    <n v="14"/>
    <n v="3"/>
    <n v="3"/>
    <n v="80"/>
    <n v="1"/>
    <n v="13"/>
    <n v="3"/>
    <n v="2"/>
    <n v="13"/>
    <n v="8"/>
    <n v="4"/>
    <n v="8"/>
    <x v="0"/>
    <n v="0"/>
    <n v="0"/>
    <n v="1"/>
    <m/>
    <m/>
  </r>
  <r>
    <n v="38"/>
    <s v="No"/>
    <s v="Travel_Rarely"/>
    <n v="849"/>
    <s v="Research &amp; Development"/>
    <n v="25"/>
    <n v="2"/>
    <s v="Life Sciences"/>
    <n v="1"/>
    <n v="421"/>
    <n v="1"/>
    <s v="Female"/>
    <n v="81"/>
    <n v="2"/>
    <n v="3"/>
    <s v="Research Director"/>
    <n v="2"/>
    <s v="Married"/>
    <n v="12061"/>
    <n v="26707"/>
    <n v="3"/>
    <s v="Y"/>
    <s v="No"/>
    <n v="17"/>
    <n v="3"/>
    <n v="3"/>
    <n v="80"/>
    <n v="1"/>
    <n v="19"/>
    <n v="2"/>
    <n v="3"/>
    <n v="10"/>
    <n v="8"/>
    <n v="0"/>
    <n v="1"/>
    <x v="1"/>
    <n v="0"/>
    <n v="0"/>
    <n v="1"/>
    <m/>
    <m/>
  </r>
  <r>
    <n v="58"/>
    <s v="No"/>
    <s v="Non-Travel"/>
    <n v="390"/>
    <s v="Research &amp; Development"/>
    <n v="1"/>
    <n v="4"/>
    <s v="Life Sciences"/>
    <n v="1"/>
    <n v="422"/>
    <n v="4"/>
    <s v="Male"/>
    <n v="32"/>
    <n v="1"/>
    <n v="2"/>
    <s v="Healthcare Representative"/>
    <n v="3"/>
    <s v="Divorced"/>
    <n v="5660"/>
    <n v="17056"/>
    <n v="2"/>
    <s v="Y"/>
    <s v="Yes"/>
    <n v="13"/>
    <n v="3"/>
    <n v="4"/>
    <n v="80"/>
    <n v="1"/>
    <n v="12"/>
    <n v="2"/>
    <n v="3"/>
    <n v="5"/>
    <n v="3"/>
    <n v="1"/>
    <n v="2"/>
    <x v="3"/>
    <n v="0"/>
    <n v="0"/>
    <n v="1"/>
    <m/>
    <m/>
  </r>
  <r>
    <n v="31"/>
    <s v="No"/>
    <s v="Travel_Rarely"/>
    <n v="691"/>
    <s v="Research &amp; Development"/>
    <n v="5"/>
    <n v="4"/>
    <s v="Technical Degree"/>
    <n v="1"/>
    <n v="423"/>
    <n v="3"/>
    <s v="Male"/>
    <n v="86"/>
    <n v="3"/>
    <n v="1"/>
    <s v="Research Scientist"/>
    <n v="4"/>
    <s v="Married"/>
    <n v="4821"/>
    <n v="10077"/>
    <n v="0"/>
    <s v="Y"/>
    <s v="Yes"/>
    <n v="12"/>
    <n v="3"/>
    <n v="3"/>
    <n v="80"/>
    <n v="1"/>
    <n v="6"/>
    <n v="4"/>
    <n v="3"/>
    <n v="5"/>
    <n v="2"/>
    <n v="0"/>
    <n v="3"/>
    <x v="1"/>
    <n v="0"/>
    <n v="0"/>
    <n v="1"/>
    <m/>
    <m/>
  </r>
  <r>
    <n v="31"/>
    <s v="No"/>
    <s v="Travel_Rarely"/>
    <n v="106"/>
    <s v="Human Resources"/>
    <n v="2"/>
    <n v="3"/>
    <s v="Human Resources"/>
    <n v="1"/>
    <n v="424"/>
    <n v="1"/>
    <s v="Male"/>
    <n v="62"/>
    <n v="2"/>
    <n v="2"/>
    <s v="Human Resources"/>
    <n v="1"/>
    <s v="Married"/>
    <n v="6410"/>
    <n v="17822"/>
    <n v="3"/>
    <s v="Y"/>
    <s v="No"/>
    <n v="12"/>
    <n v="3"/>
    <n v="4"/>
    <n v="80"/>
    <n v="0"/>
    <n v="9"/>
    <n v="1"/>
    <n v="3"/>
    <n v="2"/>
    <n v="2"/>
    <n v="1"/>
    <n v="0"/>
    <x v="5"/>
    <n v="0"/>
    <n v="0"/>
    <n v="1"/>
    <m/>
    <m/>
  </r>
  <r>
    <n v="45"/>
    <s v="No"/>
    <s v="Travel_Frequently"/>
    <n v="1249"/>
    <s v="Research &amp; Development"/>
    <n v="7"/>
    <n v="3"/>
    <s v="Life Sciences"/>
    <n v="1"/>
    <n v="425"/>
    <n v="1"/>
    <s v="Male"/>
    <n v="97"/>
    <n v="3"/>
    <n v="3"/>
    <s v="Laboratory Technician"/>
    <n v="1"/>
    <s v="Divorced"/>
    <n v="5210"/>
    <n v="20308"/>
    <n v="1"/>
    <s v="Y"/>
    <s v="No"/>
    <n v="18"/>
    <n v="3"/>
    <n v="1"/>
    <n v="80"/>
    <n v="1"/>
    <n v="24"/>
    <n v="2"/>
    <n v="3"/>
    <n v="24"/>
    <n v="9"/>
    <n v="9"/>
    <n v="11"/>
    <x v="1"/>
    <n v="0"/>
    <n v="0"/>
    <n v="1"/>
    <m/>
    <m/>
  </r>
  <r>
    <n v="31"/>
    <s v="No"/>
    <s v="Travel_Rarely"/>
    <n v="192"/>
    <s v="Research &amp; Development"/>
    <n v="2"/>
    <n v="4"/>
    <s v="Life Sciences"/>
    <n v="1"/>
    <n v="426"/>
    <n v="3"/>
    <s v="Male"/>
    <n v="32"/>
    <n v="3"/>
    <n v="1"/>
    <s v="Research Scientist"/>
    <n v="4"/>
    <s v="Divorced"/>
    <n v="2695"/>
    <n v="7747"/>
    <n v="0"/>
    <s v="Y"/>
    <s v="Yes"/>
    <n v="18"/>
    <n v="3"/>
    <n v="2"/>
    <n v="80"/>
    <n v="1"/>
    <n v="3"/>
    <n v="2"/>
    <n v="1"/>
    <n v="2"/>
    <n v="2"/>
    <n v="2"/>
    <n v="2"/>
    <x v="1"/>
    <n v="0"/>
    <n v="0"/>
    <n v="1"/>
    <m/>
    <m/>
  </r>
  <r>
    <n v="33"/>
    <s v="No"/>
    <s v="Travel_Frequently"/>
    <n v="553"/>
    <s v="Research &amp; Development"/>
    <n v="5"/>
    <n v="4"/>
    <s v="Life Sciences"/>
    <n v="1"/>
    <n v="428"/>
    <n v="4"/>
    <s v="Female"/>
    <n v="74"/>
    <n v="3"/>
    <n v="3"/>
    <s v="Manager"/>
    <n v="2"/>
    <s v="Married"/>
    <n v="11878"/>
    <n v="23364"/>
    <n v="6"/>
    <s v="Y"/>
    <s v="No"/>
    <n v="11"/>
    <n v="3"/>
    <n v="2"/>
    <n v="80"/>
    <n v="2"/>
    <n v="12"/>
    <n v="2"/>
    <n v="3"/>
    <n v="10"/>
    <n v="6"/>
    <n v="8"/>
    <n v="8"/>
    <x v="4"/>
    <n v="0"/>
    <n v="0"/>
    <n v="1"/>
    <m/>
    <m/>
  </r>
  <r>
    <n v="39"/>
    <s v="No"/>
    <s v="Travel_Rarely"/>
    <n v="117"/>
    <s v="Research &amp; Development"/>
    <n v="10"/>
    <n v="1"/>
    <s v="Medical"/>
    <n v="1"/>
    <n v="429"/>
    <n v="3"/>
    <s v="Male"/>
    <n v="99"/>
    <n v="3"/>
    <n v="4"/>
    <s v="Manager"/>
    <n v="1"/>
    <s v="Married"/>
    <n v="17068"/>
    <n v="5355"/>
    <n v="1"/>
    <s v="Y"/>
    <s v="Yes"/>
    <n v="14"/>
    <n v="3"/>
    <n v="4"/>
    <n v="80"/>
    <n v="0"/>
    <n v="21"/>
    <n v="3"/>
    <n v="3"/>
    <n v="21"/>
    <n v="9"/>
    <n v="11"/>
    <n v="10"/>
    <x v="4"/>
    <n v="0"/>
    <n v="0"/>
    <n v="1"/>
    <m/>
    <m/>
  </r>
  <r>
    <n v="43"/>
    <s v="No"/>
    <s v="Travel_Frequently"/>
    <n v="185"/>
    <s v="Research &amp; Development"/>
    <n v="10"/>
    <n v="4"/>
    <s v="Life Sciences"/>
    <n v="1"/>
    <n v="430"/>
    <n v="3"/>
    <s v="Female"/>
    <n v="33"/>
    <n v="3"/>
    <n v="1"/>
    <s v="Laboratory Technician"/>
    <n v="4"/>
    <s v="Single"/>
    <n v="2455"/>
    <n v="10675"/>
    <n v="0"/>
    <s v="Y"/>
    <s v="No"/>
    <n v="19"/>
    <n v="3"/>
    <n v="1"/>
    <n v="80"/>
    <n v="0"/>
    <n v="9"/>
    <n v="5"/>
    <n v="3"/>
    <n v="8"/>
    <n v="7"/>
    <n v="1"/>
    <n v="7"/>
    <x v="1"/>
    <n v="0"/>
    <n v="0"/>
    <n v="1"/>
    <m/>
    <m/>
  </r>
  <r>
    <n v="49"/>
    <s v="No"/>
    <s v="Travel_Rarely"/>
    <n v="1091"/>
    <s v="Research &amp; Development"/>
    <n v="1"/>
    <n v="2"/>
    <s v="Technical Degree"/>
    <n v="1"/>
    <n v="431"/>
    <n v="3"/>
    <s v="Female"/>
    <n v="90"/>
    <n v="2"/>
    <n v="4"/>
    <s v="Healthcare Representative"/>
    <n v="3"/>
    <s v="Single"/>
    <n v="13964"/>
    <n v="17810"/>
    <n v="7"/>
    <s v="Y"/>
    <s v="Yes"/>
    <n v="12"/>
    <n v="3"/>
    <n v="4"/>
    <n v="80"/>
    <n v="0"/>
    <n v="25"/>
    <n v="2"/>
    <n v="3"/>
    <n v="7"/>
    <n v="1"/>
    <n v="0"/>
    <n v="7"/>
    <x v="3"/>
    <n v="0"/>
    <n v="0"/>
    <n v="1"/>
    <m/>
    <m/>
  </r>
  <r>
    <n v="52"/>
    <s v="Yes"/>
    <s v="Travel_Rarely"/>
    <n v="723"/>
    <s v="Research &amp; Development"/>
    <n v="8"/>
    <n v="4"/>
    <s v="Medical"/>
    <n v="1"/>
    <n v="433"/>
    <n v="3"/>
    <s v="Male"/>
    <n v="85"/>
    <n v="2"/>
    <n v="2"/>
    <s v="Research Scientist"/>
    <n v="2"/>
    <s v="Married"/>
    <n v="4941"/>
    <n v="17747"/>
    <n v="2"/>
    <s v="Y"/>
    <s v="No"/>
    <n v="15"/>
    <n v="3"/>
    <n v="1"/>
    <n v="80"/>
    <n v="0"/>
    <n v="11"/>
    <n v="3"/>
    <n v="2"/>
    <n v="8"/>
    <n v="2"/>
    <n v="7"/>
    <n v="7"/>
    <x v="1"/>
    <n v="1"/>
    <n v="88938"/>
    <n v="1"/>
    <m/>
    <m/>
  </r>
  <r>
    <n v="27"/>
    <s v="No"/>
    <s v="Travel_Rarely"/>
    <n v="1220"/>
    <s v="Research &amp; Development"/>
    <n v="5"/>
    <n v="3"/>
    <s v="Life Sciences"/>
    <n v="1"/>
    <n v="434"/>
    <n v="3"/>
    <s v="Female"/>
    <n v="85"/>
    <n v="3"/>
    <n v="1"/>
    <s v="Research Scientist"/>
    <n v="2"/>
    <s v="Single"/>
    <n v="2478"/>
    <n v="20938"/>
    <n v="1"/>
    <s v="Y"/>
    <s v="Yes"/>
    <n v="12"/>
    <n v="3"/>
    <n v="2"/>
    <n v="80"/>
    <n v="0"/>
    <n v="4"/>
    <n v="2"/>
    <n v="2"/>
    <n v="4"/>
    <n v="3"/>
    <n v="1"/>
    <n v="2"/>
    <x v="1"/>
    <n v="0"/>
    <n v="0"/>
    <n v="1"/>
    <m/>
    <m/>
  </r>
  <r>
    <n v="32"/>
    <s v="No"/>
    <s v="Travel_Rarely"/>
    <n v="588"/>
    <s v="Sales"/>
    <n v="8"/>
    <n v="2"/>
    <s v="Technical Degree"/>
    <n v="1"/>
    <n v="436"/>
    <n v="3"/>
    <s v="Female"/>
    <n v="65"/>
    <n v="2"/>
    <n v="2"/>
    <s v="Sales Executive"/>
    <n v="2"/>
    <s v="Married"/>
    <n v="5228"/>
    <n v="24624"/>
    <n v="1"/>
    <s v="Y"/>
    <s v="Yes"/>
    <n v="11"/>
    <n v="3"/>
    <n v="4"/>
    <n v="80"/>
    <n v="0"/>
    <n v="13"/>
    <n v="2"/>
    <n v="3"/>
    <n v="13"/>
    <n v="12"/>
    <n v="11"/>
    <n v="9"/>
    <x v="0"/>
    <n v="0"/>
    <n v="0"/>
    <n v="1"/>
    <m/>
    <m/>
  </r>
  <r>
    <n v="27"/>
    <s v="No"/>
    <s v="Travel_Rarely"/>
    <n v="1377"/>
    <s v="Sales"/>
    <n v="2"/>
    <n v="3"/>
    <s v="Life Sciences"/>
    <n v="1"/>
    <n v="437"/>
    <n v="4"/>
    <s v="Male"/>
    <n v="74"/>
    <n v="3"/>
    <n v="2"/>
    <s v="Sales Executive"/>
    <n v="3"/>
    <s v="Single"/>
    <n v="4478"/>
    <n v="5242"/>
    <n v="1"/>
    <s v="Y"/>
    <s v="Yes"/>
    <n v="11"/>
    <n v="3"/>
    <n v="1"/>
    <n v="80"/>
    <n v="0"/>
    <n v="5"/>
    <n v="3"/>
    <n v="3"/>
    <n v="5"/>
    <n v="4"/>
    <n v="0"/>
    <n v="4"/>
    <x v="0"/>
    <n v="0"/>
    <n v="0"/>
    <n v="1"/>
    <m/>
    <m/>
  </r>
  <r>
    <n v="31"/>
    <s v="No"/>
    <s v="Travel_Rarely"/>
    <n v="691"/>
    <s v="Sales"/>
    <n v="7"/>
    <n v="3"/>
    <s v="Marketing"/>
    <n v="1"/>
    <n v="438"/>
    <n v="4"/>
    <s v="Male"/>
    <n v="73"/>
    <n v="3"/>
    <n v="2"/>
    <s v="Sales Executive"/>
    <n v="4"/>
    <s v="Divorced"/>
    <n v="7547"/>
    <n v="7143"/>
    <n v="4"/>
    <s v="Y"/>
    <s v="No"/>
    <n v="12"/>
    <n v="3"/>
    <n v="4"/>
    <n v="80"/>
    <n v="3"/>
    <n v="13"/>
    <n v="3"/>
    <n v="3"/>
    <n v="7"/>
    <n v="7"/>
    <n v="1"/>
    <n v="7"/>
    <x v="0"/>
    <n v="0"/>
    <n v="0"/>
    <n v="1"/>
    <m/>
    <m/>
  </r>
  <r>
    <n v="32"/>
    <s v="No"/>
    <s v="Travel_Rarely"/>
    <n v="1018"/>
    <s v="Research &amp; Development"/>
    <n v="2"/>
    <n v="4"/>
    <s v="Medical"/>
    <n v="1"/>
    <n v="439"/>
    <n v="1"/>
    <s v="Female"/>
    <n v="74"/>
    <n v="4"/>
    <n v="2"/>
    <s v="Research Scientist"/>
    <n v="4"/>
    <s v="Single"/>
    <n v="5055"/>
    <n v="10557"/>
    <n v="7"/>
    <s v="Y"/>
    <s v="No"/>
    <n v="16"/>
    <n v="3"/>
    <n v="3"/>
    <n v="80"/>
    <n v="0"/>
    <n v="10"/>
    <n v="0"/>
    <n v="2"/>
    <n v="7"/>
    <n v="7"/>
    <n v="0"/>
    <n v="7"/>
    <x v="1"/>
    <n v="0"/>
    <n v="0"/>
    <n v="1"/>
    <m/>
    <m/>
  </r>
  <r>
    <n v="28"/>
    <s v="Yes"/>
    <s v="Travel_Rarely"/>
    <n v="1157"/>
    <s v="Research &amp; Development"/>
    <n v="2"/>
    <n v="4"/>
    <s v="Medical"/>
    <n v="1"/>
    <n v="440"/>
    <n v="1"/>
    <s v="Male"/>
    <n v="84"/>
    <n v="1"/>
    <n v="1"/>
    <s v="Research Scientist"/>
    <n v="4"/>
    <s v="Married"/>
    <n v="3464"/>
    <n v="24737"/>
    <n v="5"/>
    <s v="Y"/>
    <s v="Yes"/>
    <n v="13"/>
    <n v="3"/>
    <n v="4"/>
    <n v="80"/>
    <n v="0"/>
    <n v="5"/>
    <n v="4"/>
    <n v="2"/>
    <n v="3"/>
    <n v="2"/>
    <n v="2"/>
    <n v="2"/>
    <x v="1"/>
    <n v="1"/>
    <n v="62352"/>
    <n v="1"/>
    <m/>
    <m/>
  </r>
  <r>
    <n v="30"/>
    <s v="No"/>
    <s v="Travel_Rarely"/>
    <n v="1275"/>
    <s v="Research &amp; Development"/>
    <n v="28"/>
    <n v="2"/>
    <s v="Medical"/>
    <n v="1"/>
    <n v="441"/>
    <n v="4"/>
    <s v="Female"/>
    <n v="64"/>
    <n v="3"/>
    <n v="2"/>
    <s v="Research Scientist"/>
    <n v="4"/>
    <s v="Married"/>
    <n v="5775"/>
    <n v="11934"/>
    <n v="1"/>
    <s v="Y"/>
    <s v="No"/>
    <n v="13"/>
    <n v="3"/>
    <n v="4"/>
    <n v="80"/>
    <n v="2"/>
    <n v="11"/>
    <n v="2"/>
    <n v="3"/>
    <n v="10"/>
    <n v="8"/>
    <n v="1"/>
    <n v="9"/>
    <x v="1"/>
    <n v="0"/>
    <n v="0"/>
    <n v="1"/>
    <m/>
    <m/>
  </r>
  <r>
    <n v="31"/>
    <s v="No"/>
    <s v="Travel_Frequently"/>
    <n v="798"/>
    <s v="Research &amp; Development"/>
    <n v="7"/>
    <n v="2"/>
    <s v="Life Sciences"/>
    <n v="1"/>
    <n v="442"/>
    <n v="3"/>
    <s v="Female"/>
    <n v="48"/>
    <n v="2"/>
    <n v="3"/>
    <s v="Manufacturing Director"/>
    <n v="3"/>
    <s v="Married"/>
    <n v="8943"/>
    <n v="14034"/>
    <n v="1"/>
    <s v="Y"/>
    <s v="No"/>
    <n v="24"/>
    <n v="4"/>
    <n v="1"/>
    <n v="80"/>
    <n v="1"/>
    <n v="10"/>
    <n v="2"/>
    <n v="3"/>
    <n v="10"/>
    <n v="9"/>
    <n v="8"/>
    <n v="9"/>
    <x v="2"/>
    <n v="0"/>
    <n v="0"/>
    <n v="1"/>
    <m/>
    <m/>
  </r>
  <r>
    <n v="39"/>
    <s v="No"/>
    <s v="Travel_Frequently"/>
    <n v="672"/>
    <s v="Research &amp; Development"/>
    <n v="7"/>
    <n v="2"/>
    <s v="Medical"/>
    <n v="1"/>
    <n v="444"/>
    <n v="3"/>
    <s v="Male"/>
    <n v="54"/>
    <n v="2"/>
    <n v="5"/>
    <s v="Manager"/>
    <n v="4"/>
    <s v="Married"/>
    <n v="19272"/>
    <n v="21141"/>
    <n v="1"/>
    <s v="Y"/>
    <s v="No"/>
    <n v="15"/>
    <n v="3"/>
    <n v="1"/>
    <n v="80"/>
    <n v="1"/>
    <n v="21"/>
    <n v="2"/>
    <n v="3"/>
    <n v="21"/>
    <n v="9"/>
    <n v="13"/>
    <n v="3"/>
    <x v="4"/>
    <n v="0"/>
    <n v="0"/>
    <n v="1"/>
    <m/>
    <m/>
  </r>
  <r>
    <n v="39"/>
    <s v="Yes"/>
    <s v="Travel_Rarely"/>
    <n v="1162"/>
    <s v="Sales"/>
    <n v="3"/>
    <n v="2"/>
    <s v="Medical"/>
    <n v="1"/>
    <n v="445"/>
    <n v="4"/>
    <s v="Female"/>
    <n v="41"/>
    <n v="3"/>
    <n v="2"/>
    <s v="Sales Executive"/>
    <n v="3"/>
    <s v="Married"/>
    <n v="5238"/>
    <n v="17778"/>
    <n v="4"/>
    <s v="Y"/>
    <s v="Yes"/>
    <n v="18"/>
    <n v="3"/>
    <n v="1"/>
    <n v="80"/>
    <n v="0"/>
    <n v="12"/>
    <n v="3"/>
    <n v="2"/>
    <n v="1"/>
    <n v="0"/>
    <n v="0"/>
    <n v="0"/>
    <x v="0"/>
    <n v="1"/>
    <n v="94284"/>
    <n v="1"/>
    <m/>
    <m/>
  </r>
  <r>
    <n v="33"/>
    <s v="No"/>
    <s v="Travel_Frequently"/>
    <n v="508"/>
    <s v="Sales"/>
    <n v="10"/>
    <n v="3"/>
    <s v="Marketing"/>
    <n v="1"/>
    <n v="446"/>
    <n v="2"/>
    <s v="Male"/>
    <n v="46"/>
    <n v="2"/>
    <n v="2"/>
    <s v="Sales Executive"/>
    <n v="4"/>
    <s v="Single"/>
    <n v="4682"/>
    <n v="4317"/>
    <n v="3"/>
    <s v="Y"/>
    <s v="No"/>
    <n v="14"/>
    <n v="3"/>
    <n v="3"/>
    <n v="80"/>
    <n v="0"/>
    <n v="9"/>
    <n v="6"/>
    <n v="2"/>
    <n v="7"/>
    <n v="7"/>
    <n v="0"/>
    <n v="1"/>
    <x v="0"/>
    <n v="0"/>
    <n v="0"/>
    <n v="1"/>
    <m/>
    <m/>
  </r>
  <r>
    <n v="47"/>
    <s v="No"/>
    <s v="Travel_Rarely"/>
    <n v="1482"/>
    <s v="Research &amp; Development"/>
    <n v="5"/>
    <n v="5"/>
    <s v="Life Sciences"/>
    <n v="1"/>
    <n v="447"/>
    <n v="4"/>
    <s v="Male"/>
    <n v="42"/>
    <n v="3"/>
    <n v="5"/>
    <s v="Research Director"/>
    <n v="3"/>
    <s v="Married"/>
    <n v="18300"/>
    <n v="16375"/>
    <n v="4"/>
    <s v="Y"/>
    <s v="No"/>
    <n v="11"/>
    <n v="3"/>
    <n v="2"/>
    <n v="80"/>
    <n v="1"/>
    <n v="21"/>
    <n v="2"/>
    <n v="3"/>
    <n v="3"/>
    <n v="2"/>
    <n v="1"/>
    <n v="1"/>
    <x v="1"/>
    <n v="0"/>
    <n v="0"/>
    <n v="1"/>
    <m/>
    <m/>
  </r>
  <r>
    <n v="43"/>
    <s v="No"/>
    <s v="Travel_Frequently"/>
    <n v="559"/>
    <s v="Research &amp; Development"/>
    <n v="10"/>
    <n v="4"/>
    <s v="Life Sciences"/>
    <n v="1"/>
    <n v="448"/>
    <n v="3"/>
    <s v="Female"/>
    <n v="82"/>
    <n v="2"/>
    <n v="2"/>
    <s v="Laboratory Technician"/>
    <n v="3"/>
    <s v="Divorced"/>
    <n v="5257"/>
    <n v="6227"/>
    <n v="1"/>
    <s v="Y"/>
    <s v="No"/>
    <n v="11"/>
    <n v="3"/>
    <n v="2"/>
    <n v="80"/>
    <n v="1"/>
    <n v="9"/>
    <n v="3"/>
    <n v="4"/>
    <n v="9"/>
    <n v="7"/>
    <n v="0"/>
    <n v="0"/>
    <x v="1"/>
    <n v="0"/>
    <n v="0"/>
    <n v="1"/>
    <m/>
    <m/>
  </r>
  <r>
    <n v="27"/>
    <s v="No"/>
    <s v="Non-Travel"/>
    <n v="210"/>
    <s v="Sales"/>
    <n v="1"/>
    <n v="1"/>
    <s v="Marketing"/>
    <n v="1"/>
    <n v="449"/>
    <n v="3"/>
    <s v="Male"/>
    <n v="73"/>
    <n v="3"/>
    <n v="2"/>
    <s v="Sales Executive"/>
    <n v="2"/>
    <s v="Married"/>
    <n v="6349"/>
    <n v="22107"/>
    <n v="0"/>
    <s v="Y"/>
    <s v="Yes"/>
    <n v="13"/>
    <n v="3"/>
    <n v="4"/>
    <n v="80"/>
    <n v="1"/>
    <n v="6"/>
    <n v="0"/>
    <n v="3"/>
    <n v="5"/>
    <n v="4"/>
    <n v="1"/>
    <n v="4"/>
    <x v="0"/>
    <n v="0"/>
    <n v="0"/>
    <n v="1"/>
    <m/>
    <m/>
  </r>
  <r>
    <n v="54"/>
    <s v="No"/>
    <s v="Travel_Frequently"/>
    <n v="928"/>
    <s v="Research &amp; Development"/>
    <n v="20"/>
    <n v="4"/>
    <s v="Life Sciences"/>
    <n v="1"/>
    <n v="450"/>
    <n v="4"/>
    <s v="Female"/>
    <n v="31"/>
    <n v="3"/>
    <n v="2"/>
    <s v="Research Scientist"/>
    <n v="3"/>
    <s v="Single"/>
    <n v="4869"/>
    <n v="16885"/>
    <n v="3"/>
    <s v="Y"/>
    <s v="No"/>
    <n v="12"/>
    <n v="3"/>
    <n v="4"/>
    <n v="80"/>
    <n v="0"/>
    <n v="20"/>
    <n v="4"/>
    <n v="2"/>
    <n v="4"/>
    <n v="3"/>
    <n v="0"/>
    <n v="3"/>
    <x v="1"/>
    <n v="0"/>
    <n v="0"/>
    <n v="1"/>
    <m/>
    <m/>
  </r>
  <r>
    <n v="43"/>
    <s v="No"/>
    <s v="Travel_Rarely"/>
    <n v="1001"/>
    <s v="Research &amp; Development"/>
    <n v="7"/>
    <n v="3"/>
    <s v="Life Sciences"/>
    <n v="1"/>
    <n v="451"/>
    <n v="3"/>
    <s v="Female"/>
    <n v="43"/>
    <n v="3"/>
    <n v="3"/>
    <s v="Healthcare Representative"/>
    <n v="1"/>
    <s v="Married"/>
    <n v="9985"/>
    <n v="9262"/>
    <n v="8"/>
    <s v="Y"/>
    <s v="No"/>
    <n v="16"/>
    <n v="3"/>
    <n v="1"/>
    <n v="80"/>
    <n v="1"/>
    <n v="10"/>
    <n v="1"/>
    <n v="2"/>
    <n v="1"/>
    <n v="0"/>
    <n v="0"/>
    <n v="0"/>
    <x v="3"/>
    <n v="0"/>
    <n v="0"/>
    <n v="1"/>
    <m/>
    <m/>
  </r>
  <r>
    <n v="45"/>
    <s v="No"/>
    <s v="Travel_Rarely"/>
    <n v="549"/>
    <s v="Research &amp; Development"/>
    <n v="8"/>
    <n v="4"/>
    <s v="Other"/>
    <n v="1"/>
    <n v="452"/>
    <n v="4"/>
    <s v="Male"/>
    <n v="75"/>
    <n v="3"/>
    <n v="2"/>
    <s v="Research Scientist"/>
    <n v="4"/>
    <s v="Married"/>
    <n v="3697"/>
    <n v="9278"/>
    <n v="9"/>
    <s v="Y"/>
    <s v="No"/>
    <n v="14"/>
    <n v="3"/>
    <n v="1"/>
    <n v="80"/>
    <n v="2"/>
    <n v="12"/>
    <n v="3"/>
    <n v="3"/>
    <n v="10"/>
    <n v="9"/>
    <n v="9"/>
    <n v="8"/>
    <x v="1"/>
    <n v="0"/>
    <n v="0"/>
    <n v="1"/>
    <m/>
    <m/>
  </r>
  <r>
    <n v="40"/>
    <s v="No"/>
    <s v="Travel_Rarely"/>
    <n v="1124"/>
    <s v="Sales"/>
    <n v="1"/>
    <n v="2"/>
    <s v="Medical"/>
    <n v="1"/>
    <n v="453"/>
    <n v="2"/>
    <s v="Male"/>
    <n v="57"/>
    <n v="1"/>
    <n v="2"/>
    <s v="Sales Executive"/>
    <n v="4"/>
    <s v="Married"/>
    <n v="7457"/>
    <n v="13273"/>
    <n v="2"/>
    <s v="Y"/>
    <s v="Yes"/>
    <n v="22"/>
    <n v="4"/>
    <n v="3"/>
    <n v="80"/>
    <n v="3"/>
    <n v="6"/>
    <n v="2"/>
    <n v="2"/>
    <n v="4"/>
    <n v="3"/>
    <n v="0"/>
    <n v="2"/>
    <x v="0"/>
    <n v="0"/>
    <n v="0"/>
    <n v="1"/>
    <m/>
    <m/>
  </r>
  <r>
    <n v="29"/>
    <s v="Yes"/>
    <s v="Travel_Rarely"/>
    <n v="318"/>
    <s v="Research &amp; Development"/>
    <n v="8"/>
    <n v="4"/>
    <s v="Other"/>
    <n v="1"/>
    <n v="454"/>
    <n v="2"/>
    <s v="Male"/>
    <n v="77"/>
    <n v="1"/>
    <n v="1"/>
    <s v="Laboratory Technician"/>
    <n v="1"/>
    <s v="Married"/>
    <n v="2119"/>
    <n v="4759"/>
    <n v="1"/>
    <s v="Y"/>
    <s v="Yes"/>
    <n v="11"/>
    <n v="3"/>
    <n v="4"/>
    <n v="80"/>
    <n v="0"/>
    <n v="7"/>
    <n v="4"/>
    <n v="2"/>
    <n v="7"/>
    <n v="7"/>
    <n v="0"/>
    <n v="7"/>
    <x v="1"/>
    <n v="1"/>
    <n v="38142"/>
    <n v="1"/>
    <m/>
    <m/>
  </r>
  <r>
    <n v="29"/>
    <s v="No"/>
    <s v="Travel_Rarely"/>
    <n v="738"/>
    <s v="Research &amp; Development"/>
    <n v="9"/>
    <n v="5"/>
    <s v="Other"/>
    <n v="1"/>
    <n v="455"/>
    <n v="2"/>
    <s v="Male"/>
    <n v="30"/>
    <n v="2"/>
    <n v="1"/>
    <s v="Laboratory Technician"/>
    <n v="4"/>
    <s v="Single"/>
    <n v="3983"/>
    <n v="7621"/>
    <n v="0"/>
    <s v="Y"/>
    <s v="No"/>
    <n v="17"/>
    <n v="3"/>
    <n v="3"/>
    <n v="80"/>
    <n v="0"/>
    <n v="4"/>
    <n v="2"/>
    <n v="3"/>
    <n v="3"/>
    <n v="2"/>
    <n v="2"/>
    <n v="2"/>
    <x v="1"/>
    <n v="0"/>
    <n v="0"/>
    <n v="1"/>
    <m/>
    <m/>
  </r>
  <r>
    <n v="30"/>
    <s v="No"/>
    <s v="Travel_Rarely"/>
    <n v="570"/>
    <s v="Sales"/>
    <n v="5"/>
    <n v="3"/>
    <s v="Marketing"/>
    <n v="1"/>
    <n v="456"/>
    <n v="4"/>
    <s v="Female"/>
    <n v="30"/>
    <n v="2"/>
    <n v="2"/>
    <s v="Sales Executive"/>
    <n v="3"/>
    <s v="Divorced"/>
    <n v="6118"/>
    <n v="5431"/>
    <n v="1"/>
    <s v="Y"/>
    <s v="No"/>
    <n v="13"/>
    <n v="3"/>
    <n v="3"/>
    <n v="80"/>
    <n v="3"/>
    <n v="10"/>
    <n v="2"/>
    <n v="3"/>
    <n v="10"/>
    <n v="9"/>
    <n v="1"/>
    <n v="2"/>
    <x v="0"/>
    <n v="0"/>
    <n v="0"/>
    <n v="1"/>
    <m/>
    <m/>
  </r>
  <r>
    <n v="27"/>
    <s v="No"/>
    <s v="Travel_Rarely"/>
    <n v="1130"/>
    <s v="Sales"/>
    <n v="8"/>
    <n v="4"/>
    <s v="Marketing"/>
    <n v="1"/>
    <n v="458"/>
    <n v="2"/>
    <s v="Female"/>
    <n v="56"/>
    <n v="3"/>
    <n v="2"/>
    <s v="Sales Executive"/>
    <n v="2"/>
    <s v="Married"/>
    <n v="6214"/>
    <n v="3415"/>
    <n v="1"/>
    <s v="Y"/>
    <s v="No"/>
    <n v="18"/>
    <n v="3"/>
    <n v="1"/>
    <n v="80"/>
    <n v="1"/>
    <n v="8"/>
    <n v="3"/>
    <n v="3"/>
    <n v="8"/>
    <n v="7"/>
    <n v="0"/>
    <n v="7"/>
    <x v="0"/>
    <n v="0"/>
    <n v="0"/>
    <n v="1"/>
    <m/>
    <m/>
  </r>
  <r>
    <n v="37"/>
    <s v="No"/>
    <s v="Travel_Rarely"/>
    <n v="1192"/>
    <s v="Research &amp; Development"/>
    <n v="5"/>
    <n v="2"/>
    <s v="Medical"/>
    <n v="1"/>
    <n v="460"/>
    <n v="4"/>
    <s v="Male"/>
    <n v="61"/>
    <n v="3"/>
    <n v="2"/>
    <s v="Manufacturing Director"/>
    <n v="4"/>
    <s v="Divorced"/>
    <n v="6347"/>
    <n v="23177"/>
    <n v="7"/>
    <s v="Y"/>
    <s v="No"/>
    <n v="16"/>
    <n v="3"/>
    <n v="3"/>
    <n v="80"/>
    <n v="2"/>
    <n v="8"/>
    <n v="2"/>
    <n v="2"/>
    <n v="6"/>
    <n v="2"/>
    <n v="0"/>
    <n v="4"/>
    <x v="2"/>
    <n v="0"/>
    <n v="0"/>
    <n v="1"/>
    <m/>
    <m/>
  </r>
  <r>
    <n v="38"/>
    <s v="No"/>
    <s v="Travel_Rarely"/>
    <n v="343"/>
    <s v="Research &amp; Development"/>
    <n v="15"/>
    <n v="2"/>
    <s v="Life Sciences"/>
    <n v="1"/>
    <n v="461"/>
    <n v="3"/>
    <s v="Male"/>
    <n v="92"/>
    <n v="2"/>
    <n v="3"/>
    <s v="Research Director"/>
    <n v="4"/>
    <s v="Divorced"/>
    <n v="11510"/>
    <n v="15682"/>
    <n v="0"/>
    <s v="Y"/>
    <s v="Yes"/>
    <n v="14"/>
    <n v="3"/>
    <n v="2"/>
    <n v="80"/>
    <n v="1"/>
    <n v="12"/>
    <n v="3"/>
    <n v="3"/>
    <n v="11"/>
    <n v="10"/>
    <n v="2"/>
    <n v="9"/>
    <x v="1"/>
    <n v="0"/>
    <n v="0"/>
    <n v="1"/>
    <m/>
    <m/>
  </r>
  <r>
    <n v="31"/>
    <s v="No"/>
    <s v="Travel_Rarely"/>
    <n v="1232"/>
    <s v="Research &amp; Development"/>
    <n v="7"/>
    <n v="4"/>
    <s v="Medical"/>
    <n v="1"/>
    <n v="462"/>
    <n v="3"/>
    <s v="Female"/>
    <n v="39"/>
    <n v="3"/>
    <n v="3"/>
    <s v="Manufacturing Director"/>
    <n v="4"/>
    <s v="Single"/>
    <n v="7143"/>
    <n v="25713"/>
    <n v="1"/>
    <s v="Y"/>
    <s v="Yes"/>
    <n v="14"/>
    <n v="3"/>
    <n v="3"/>
    <n v="80"/>
    <n v="0"/>
    <n v="11"/>
    <n v="2"/>
    <n v="2"/>
    <n v="11"/>
    <n v="9"/>
    <n v="4"/>
    <n v="10"/>
    <x v="2"/>
    <n v="0"/>
    <n v="0"/>
    <n v="1"/>
    <m/>
    <m/>
  </r>
  <r>
    <n v="29"/>
    <s v="No"/>
    <s v="Travel_Rarely"/>
    <n v="144"/>
    <s v="Sales"/>
    <n v="10"/>
    <n v="1"/>
    <s v="Marketing"/>
    <n v="1"/>
    <n v="463"/>
    <n v="4"/>
    <s v="Female"/>
    <n v="39"/>
    <n v="2"/>
    <n v="2"/>
    <s v="Sales Executive"/>
    <n v="2"/>
    <s v="Divorced"/>
    <n v="8268"/>
    <n v="11866"/>
    <n v="1"/>
    <s v="Y"/>
    <s v="Yes"/>
    <n v="14"/>
    <n v="3"/>
    <n v="1"/>
    <n v="80"/>
    <n v="2"/>
    <n v="7"/>
    <n v="2"/>
    <n v="3"/>
    <n v="7"/>
    <n v="7"/>
    <n v="1"/>
    <n v="7"/>
    <x v="0"/>
    <n v="0"/>
    <n v="0"/>
    <n v="1"/>
    <m/>
    <m/>
  </r>
  <r>
    <n v="35"/>
    <s v="No"/>
    <s v="Travel_Rarely"/>
    <n v="1296"/>
    <s v="Research &amp; Development"/>
    <n v="5"/>
    <n v="4"/>
    <s v="Technical Degree"/>
    <n v="1"/>
    <n v="464"/>
    <n v="3"/>
    <s v="Male"/>
    <n v="62"/>
    <n v="3"/>
    <n v="3"/>
    <s v="Manufacturing Director"/>
    <n v="2"/>
    <s v="Single"/>
    <n v="8095"/>
    <n v="18264"/>
    <n v="0"/>
    <s v="Y"/>
    <s v="No"/>
    <n v="13"/>
    <n v="3"/>
    <n v="4"/>
    <n v="80"/>
    <n v="0"/>
    <n v="17"/>
    <n v="5"/>
    <n v="3"/>
    <n v="16"/>
    <n v="6"/>
    <n v="0"/>
    <n v="13"/>
    <x v="2"/>
    <n v="0"/>
    <n v="0"/>
    <n v="1"/>
    <m/>
    <m/>
  </r>
  <r>
    <n v="23"/>
    <s v="No"/>
    <s v="Travel_Rarely"/>
    <n v="1309"/>
    <s v="Research &amp; Development"/>
    <n v="26"/>
    <n v="1"/>
    <s v="Life Sciences"/>
    <n v="1"/>
    <n v="465"/>
    <n v="3"/>
    <s v="Male"/>
    <n v="83"/>
    <n v="3"/>
    <n v="1"/>
    <s v="Research Scientist"/>
    <n v="4"/>
    <s v="Divorced"/>
    <n v="2904"/>
    <n v="16092"/>
    <n v="1"/>
    <s v="Y"/>
    <s v="No"/>
    <n v="12"/>
    <n v="3"/>
    <n v="3"/>
    <n v="80"/>
    <n v="2"/>
    <n v="4"/>
    <n v="2"/>
    <n v="2"/>
    <n v="4"/>
    <n v="2"/>
    <n v="0"/>
    <n v="2"/>
    <x v="1"/>
    <n v="0"/>
    <n v="0"/>
    <n v="1"/>
    <m/>
    <m/>
  </r>
  <r>
    <n v="41"/>
    <s v="No"/>
    <s v="Travel_Rarely"/>
    <n v="483"/>
    <s v="Research &amp; Development"/>
    <n v="6"/>
    <n v="3"/>
    <s v="Medical"/>
    <n v="1"/>
    <n v="466"/>
    <n v="4"/>
    <s v="Male"/>
    <n v="95"/>
    <n v="2"/>
    <n v="2"/>
    <s v="Manufacturing Director"/>
    <n v="2"/>
    <s v="Single"/>
    <n v="6032"/>
    <n v="10110"/>
    <n v="6"/>
    <s v="Y"/>
    <s v="Yes"/>
    <n v="15"/>
    <n v="3"/>
    <n v="4"/>
    <n v="80"/>
    <n v="0"/>
    <n v="8"/>
    <n v="3"/>
    <n v="3"/>
    <n v="5"/>
    <n v="4"/>
    <n v="1"/>
    <n v="2"/>
    <x v="2"/>
    <n v="0"/>
    <n v="0"/>
    <n v="1"/>
    <m/>
    <m/>
  </r>
  <r>
    <n v="47"/>
    <s v="No"/>
    <s v="Travel_Frequently"/>
    <n v="1309"/>
    <s v="Sales"/>
    <n v="4"/>
    <n v="1"/>
    <s v="Medical"/>
    <n v="1"/>
    <n v="467"/>
    <n v="2"/>
    <s v="Male"/>
    <n v="99"/>
    <n v="3"/>
    <n v="2"/>
    <s v="Sales Representative"/>
    <n v="3"/>
    <s v="Single"/>
    <n v="2976"/>
    <n v="25751"/>
    <n v="3"/>
    <s v="Y"/>
    <s v="No"/>
    <n v="19"/>
    <n v="3"/>
    <n v="1"/>
    <n v="80"/>
    <n v="0"/>
    <n v="5"/>
    <n v="3"/>
    <n v="3"/>
    <n v="0"/>
    <n v="0"/>
    <n v="0"/>
    <n v="0"/>
    <x v="0"/>
    <n v="0"/>
    <n v="0"/>
    <n v="1"/>
    <m/>
    <m/>
  </r>
  <r>
    <n v="42"/>
    <s v="No"/>
    <s v="Travel_Rarely"/>
    <n v="810"/>
    <s v="Research &amp; Development"/>
    <n v="23"/>
    <n v="5"/>
    <s v="Life Sciences"/>
    <n v="1"/>
    <n v="468"/>
    <n v="1"/>
    <s v="Female"/>
    <n v="44"/>
    <n v="3"/>
    <n v="4"/>
    <s v="Research Director"/>
    <n v="4"/>
    <s v="Single"/>
    <n v="15992"/>
    <n v="15901"/>
    <n v="2"/>
    <s v="Y"/>
    <s v="No"/>
    <n v="14"/>
    <n v="3"/>
    <n v="2"/>
    <n v="80"/>
    <n v="0"/>
    <n v="16"/>
    <n v="2"/>
    <n v="3"/>
    <n v="1"/>
    <n v="0"/>
    <n v="0"/>
    <n v="0"/>
    <x v="1"/>
    <n v="0"/>
    <n v="0"/>
    <n v="1"/>
    <m/>
    <m/>
  </r>
  <r>
    <n v="29"/>
    <s v="No"/>
    <s v="Non-Travel"/>
    <n v="746"/>
    <s v="Sales"/>
    <n v="2"/>
    <n v="3"/>
    <s v="Life Sciences"/>
    <n v="1"/>
    <n v="469"/>
    <n v="4"/>
    <s v="Male"/>
    <n v="61"/>
    <n v="3"/>
    <n v="2"/>
    <s v="Sales Executive"/>
    <n v="3"/>
    <s v="Married"/>
    <n v="4649"/>
    <n v="16928"/>
    <n v="1"/>
    <s v="Y"/>
    <s v="No"/>
    <n v="14"/>
    <n v="3"/>
    <n v="1"/>
    <n v="80"/>
    <n v="1"/>
    <n v="4"/>
    <n v="3"/>
    <n v="2"/>
    <n v="4"/>
    <n v="3"/>
    <n v="0"/>
    <n v="2"/>
    <x v="0"/>
    <n v="0"/>
    <n v="0"/>
    <n v="1"/>
    <m/>
    <m/>
  </r>
  <r>
    <n v="42"/>
    <s v="No"/>
    <s v="Travel_Rarely"/>
    <n v="544"/>
    <s v="Human Resources"/>
    <n v="2"/>
    <n v="1"/>
    <s v="Technical Degree"/>
    <n v="1"/>
    <n v="470"/>
    <n v="3"/>
    <s v="Male"/>
    <n v="52"/>
    <n v="3"/>
    <n v="1"/>
    <s v="Human Resources"/>
    <n v="3"/>
    <s v="Divorced"/>
    <n v="2696"/>
    <n v="24017"/>
    <n v="0"/>
    <s v="Y"/>
    <s v="Yes"/>
    <n v="11"/>
    <n v="3"/>
    <n v="3"/>
    <n v="80"/>
    <n v="1"/>
    <n v="4"/>
    <n v="5"/>
    <n v="3"/>
    <n v="3"/>
    <n v="2"/>
    <n v="1"/>
    <n v="0"/>
    <x v="5"/>
    <n v="0"/>
    <n v="0"/>
    <n v="1"/>
    <m/>
    <m/>
  </r>
  <r>
    <n v="32"/>
    <s v="No"/>
    <s v="Travel_Rarely"/>
    <n v="1062"/>
    <s v="Research &amp; Development"/>
    <n v="2"/>
    <n v="3"/>
    <s v="Medical"/>
    <n v="1"/>
    <n v="471"/>
    <n v="3"/>
    <s v="Female"/>
    <n v="75"/>
    <n v="3"/>
    <n v="1"/>
    <s v="Laboratory Technician"/>
    <n v="2"/>
    <s v="Married"/>
    <n v="2370"/>
    <n v="3956"/>
    <n v="1"/>
    <s v="Y"/>
    <s v="No"/>
    <n v="13"/>
    <n v="3"/>
    <n v="3"/>
    <n v="80"/>
    <n v="1"/>
    <n v="8"/>
    <n v="4"/>
    <n v="3"/>
    <n v="8"/>
    <n v="0"/>
    <n v="0"/>
    <n v="7"/>
    <x v="1"/>
    <n v="0"/>
    <n v="0"/>
    <n v="1"/>
    <m/>
    <m/>
  </r>
  <r>
    <n v="48"/>
    <s v="No"/>
    <s v="Travel_Rarely"/>
    <n v="530"/>
    <s v="Sales"/>
    <n v="29"/>
    <n v="1"/>
    <s v="Medical"/>
    <n v="1"/>
    <n v="473"/>
    <n v="1"/>
    <s v="Female"/>
    <n v="91"/>
    <n v="3"/>
    <n v="3"/>
    <s v="Manager"/>
    <n v="3"/>
    <s v="Married"/>
    <n v="12504"/>
    <n v="23978"/>
    <n v="3"/>
    <s v="Y"/>
    <s v="No"/>
    <n v="21"/>
    <n v="4"/>
    <n v="2"/>
    <n v="80"/>
    <n v="1"/>
    <n v="15"/>
    <n v="3"/>
    <n v="1"/>
    <n v="0"/>
    <n v="0"/>
    <n v="0"/>
    <n v="0"/>
    <x v="4"/>
    <n v="0"/>
    <n v="0"/>
    <n v="1"/>
    <m/>
    <m/>
  </r>
  <r>
    <n v="37"/>
    <s v="No"/>
    <s v="Travel_Rarely"/>
    <n v="1319"/>
    <s v="Research &amp; Development"/>
    <n v="6"/>
    <n v="3"/>
    <s v="Medical"/>
    <n v="1"/>
    <n v="474"/>
    <n v="3"/>
    <s v="Male"/>
    <n v="51"/>
    <n v="4"/>
    <n v="2"/>
    <s v="Research Scientist"/>
    <n v="1"/>
    <s v="Divorced"/>
    <n v="5974"/>
    <n v="17001"/>
    <n v="4"/>
    <s v="Y"/>
    <s v="Yes"/>
    <n v="13"/>
    <n v="3"/>
    <n v="1"/>
    <n v="80"/>
    <n v="2"/>
    <n v="13"/>
    <n v="2"/>
    <n v="3"/>
    <n v="7"/>
    <n v="7"/>
    <n v="6"/>
    <n v="7"/>
    <x v="1"/>
    <n v="0"/>
    <n v="0"/>
    <n v="1"/>
    <m/>
    <m/>
  </r>
  <r>
    <n v="30"/>
    <s v="No"/>
    <s v="Non-Travel"/>
    <n v="641"/>
    <s v="Sales"/>
    <n v="25"/>
    <n v="2"/>
    <s v="Technical Degree"/>
    <n v="1"/>
    <n v="475"/>
    <n v="4"/>
    <s v="Female"/>
    <n v="85"/>
    <n v="3"/>
    <n v="2"/>
    <s v="Sales Executive"/>
    <n v="3"/>
    <s v="Married"/>
    <n v="4736"/>
    <n v="6069"/>
    <n v="7"/>
    <s v="Y"/>
    <s v="Yes"/>
    <n v="12"/>
    <n v="3"/>
    <n v="2"/>
    <n v="80"/>
    <n v="1"/>
    <n v="4"/>
    <n v="2"/>
    <n v="4"/>
    <n v="2"/>
    <n v="2"/>
    <n v="2"/>
    <n v="2"/>
    <x v="0"/>
    <n v="0"/>
    <n v="0"/>
    <n v="1"/>
    <m/>
    <m/>
  </r>
  <r>
    <n v="26"/>
    <s v="No"/>
    <s v="Travel_Rarely"/>
    <n v="933"/>
    <s v="Sales"/>
    <n v="1"/>
    <n v="3"/>
    <s v="Life Sciences"/>
    <n v="1"/>
    <n v="476"/>
    <n v="3"/>
    <s v="Male"/>
    <n v="57"/>
    <n v="3"/>
    <n v="2"/>
    <s v="Sales Executive"/>
    <n v="3"/>
    <s v="Married"/>
    <n v="5296"/>
    <n v="20156"/>
    <n v="1"/>
    <s v="Y"/>
    <s v="No"/>
    <n v="17"/>
    <n v="3"/>
    <n v="2"/>
    <n v="80"/>
    <n v="1"/>
    <n v="8"/>
    <n v="3"/>
    <n v="3"/>
    <n v="8"/>
    <n v="7"/>
    <n v="7"/>
    <n v="7"/>
    <x v="0"/>
    <n v="0"/>
    <n v="0"/>
    <n v="1"/>
    <m/>
    <m/>
  </r>
  <r>
    <n v="42"/>
    <s v="No"/>
    <s v="Travel_Rarely"/>
    <n v="1332"/>
    <s v="Research &amp; Development"/>
    <n v="2"/>
    <n v="4"/>
    <s v="Other"/>
    <n v="1"/>
    <n v="477"/>
    <n v="1"/>
    <s v="Male"/>
    <n v="98"/>
    <n v="2"/>
    <n v="2"/>
    <s v="Healthcare Representative"/>
    <n v="4"/>
    <s v="Single"/>
    <n v="6781"/>
    <n v="17078"/>
    <n v="3"/>
    <s v="Y"/>
    <s v="No"/>
    <n v="23"/>
    <n v="4"/>
    <n v="2"/>
    <n v="80"/>
    <n v="0"/>
    <n v="14"/>
    <n v="6"/>
    <n v="3"/>
    <n v="1"/>
    <n v="0"/>
    <n v="0"/>
    <n v="0"/>
    <x v="3"/>
    <n v="0"/>
    <n v="0"/>
    <n v="1"/>
    <m/>
    <m/>
  </r>
  <r>
    <n v="21"/>
    <s v="Yes"/>
    <s v="Travel_Frequently"/>
    <n v="756"/>
    <s v="Sales"/>
    <n v="1"/>
    <n v="1"/>
    <s v="Technical Degree"/>
    <n v="1"/>
    <n v="478"/>
    <n v="1"/>
    <s v="Female"/>
    <n v="99"/>
    <n v="2"/>
    <n v="1"/>
    <s v="Sales Representative"/>
    <n v="2"/>
    <s v="Single"/>
    <n v="2174"/>
    <n v="9150"/>
    <n v="1"/>
    <s v="Y"/>
    <s v="Yes"/>
    <n v="11"/>
    <n v="3"/>
    <n v="3"/>
    <n v="80"/>
    <n v="0"/>
    <n v="3"/>
    <n v="3"/>
    <n v="3"/>
    <n v="3"/>
    <n v="2"/>
    <n v="1"/>
    <n v="2"/>
    <x v="0"/>
    <n v="1"/>
    <n v="39132"/>
    <n v="1"/>
    <m/>
    <m/>
  </r>
  <r>
    <n v="36"/>
    <s v="No"/>
    <s v="Non-Travel"/>
    <n v="845"/>
    <s v="Sales"/>
    <n v="1"/>
    <n v="5"/>
    <s v="Medical"/>
    <n v="1"/>
    <n v="479"/>
    <n v="4"/>
    <s v="Female"/>
    <n v="45"/>
    <n v="3"/>
    <n v="2"/>
    <s v="Sales Executive"/>
    <n v="4"/>
    <s v="Single"/>
    <n v="6653"/>
    <n v="15276"/>
    <n v="4"/>
    <s v="Y"/>
    <s v="No"/>
    <n v="15"/>
    <n v="3"/>
    <n v="2"/>
    <n v="80"/>
    <n v="0"/>
    <n v="7"/>
    <n v="6"/>
    <n v="3"/>
    <n v="1"/>
    <n v="0"/>
    <n v="0"/>
    <n v="0"/>
    <x v="0"/>
    <n v="0"/>
    <n v="0"/>
    <n v="1"/>
    <m/>
    <m/>
  </r>
  <r>
    <n v="36"/>
    <s v="No"/>
    <s v="Travel_Frequently"/>
    <n v="541"/>
    <s v="Sales"/>
    <n v="3"/>
    <n v="4"/>
    <s v="Medical"/>
    <n v="1"/>
    <n v="481"/>
    <n v="1"/>
    <s v="Male"/>
    <n v="48"/>
    <n v="2"/>
    <n v="3"/>
    <s v="Sales Executive"/>
    <n v="4"/>
    <s v="Married"/>
    <n v="9699"/>
    <n v="7246"/>
    <n v="4"/>
    <s v="Y"/>
    <s v="No"/>
    <n v="11"/>
    <n v="3"/>
    <n v="1"/>
    <n v="80"/>
    <n v="1"/>
    <n v="16"/>
    <n v="2"/>
    <n v="3"/>
    <n v="13"/>
    <n v="9"/>
    <n v="1"/>
    <n v="12"/>
    <x v="0"/>
    <n v="0"/>
    <n v="0"/>
    <n v="1"/>
    <m/>
    <m/>
  </r>
  <r>
    <n v="57"/>
    <s v="No"/>
    <s v="Travel_Rarely"/>
    <n v="593"/>
    <s v="Research &amp; Development"/>
    <n v="1"/>
    <n v="4"/>
    <s v="Medical"/>
    <n v="1"/>
    <n v="482"/>
    <n v="4"/>
    <s v="Male"/>
    <n v="88"/>
    <n v="3"/>
    <n v="2"/>
    <s v="Healthcare Representative"/>
    <n v="3"/>
    <s v="Married"/>
    <n v="6755"/>
    <n v="2967"/>
    <n v="2"/>
    <s v="Y"/>
    <s v="No"/>
    <n v="11"/>
    <n v="3"/>
    <n v="3"/>
    <n v="80"/>
    <n v="0"/>
    <n v="15"/>
    <n v="2"/>
    <n v="3"/>
    <n v="3"/>
    <n v="2"/>
    <n v="1"/>
    <n v="2"/>
    <x v="3"/>
    <n v="0"/>
    <n v="0"/>
    <n v="1"/>
    <m/>
    <m/>
  </r>
  <r>
    <n v="40"/>
    <s v="No"/>
    <s v="Travel_Rarely"/>
    <n v="1171"/>
    <s v="Research &amp; Development"/>
    <n v="10"/>
    <n v="4"/>
    <s v="Life Sciences"/>
    <n v="1"/>
    <n v="483"/>
    <n v="4"/>
    <s v="Female"/>
    <n v="46"/>
    <n v="4"/>
    <n v="1"/>
    <s v="Laboratory Technician"/>
    <n v="3"/>
    <s v="Married"/>
    <n v="2213"/>
    <n v="22495"/>
    <n v="3"/>
    <s v="Y"/>
    <s v="Yes"/>
    <n v="13"/>
    <n v="3"/>
    <n v="3"/>
    <n v="80"/>
    <n v="1"/>
    <n v="10"/>
    <n v="3"/>
    <n v="3"/>
    <n v="7"/>
    <n v="7"/>
    <n v="1"/>
    <n v="7"/>
    <x v="1"/>
    <n v="0"/>
    <n v="0"/>
    <n v="1"/>
    <m/>
    <m/>
  </r>
  <r>
    <n v="21"/>
    <s v="No"/>
    <s v="Non-Travel"/>
    <n v="895"/>
    <s v="Sales"/>
    <n v="9"/>
    <n v="2"/>
    <s v="Medical"/>
    <n v="1"/>
    <n v="484"/>
    <n v="1"/>
    <s v="Male"/>
    <n v="39"/>
    <n v="3"/>
    <n v="1"/>
    <s v="Sales Representative"/>
    <n v="4"/>
    <s v="Single"/>
    <n v="2610"/>
    <n v="2851"/>
    <n v="1"/>
    <s v="Y"/>
    <s v="No"/>
    <n v="24"/>
    <n v="4"/>
    <n v="3"/>
    <n v="80"/>
    <n v="0"/>
    <n v="3"/>
    <n v="3"/>
    <n v="2"/>
    <n v="3"/>
    <n v="2"/>
    <n v="2"/>
    <n v="2"/>
    <x v="0"/>
    <n v="0"/>
    <n v="0"/>
    <n v="1"/>
    <m/>
    <m/>
  </r>
  <r>
    <n v="33"/>
    <s v="Yes"/>
    <s v="Travel_Rarely"/>
    <n v="350"/>
    <s v="Sales"/>
    <n v="5"/>
    <n v="3"/>
    <s v="Marketing"/>
    <n v="1"/>
    <n v="485"/>
    <n v="4"/>
    <s v="Female"/>
    <n v="34"/>
    <n v="3"/>
    <n v="1"/>
    <s v="Sales Representative"/>
    <n v="3"/>
    <s v="Single"/>
    <n v="2851"/>
    <n v="9150"/>
    <n v="1"/>
    <s v="Y"/>
    <s v="Yes"/>
    <n v="13"/>
    <n v="3"/>
    <n v="2"/>
    <n v="80"/>
    <n v="0"/>
    <n v="1"/>
    <n v="2"/>
    <n v="3"/>
    <n v="1"/>
    <n v="0"/>
    <n v="0"/>
    <n v="0"/>
    <x v="0"/>
    <n v="1"/>
    <n v="51318"/>
    <n v="1"/>
    <m/>
    <m/>
  </r>
  <r>
    <n v="37"/>
    <s v="No"/>
    <s v="Travel_Rarely"/>
    <n v="921"/>
    <s v="Research &amp; Development"/>
    <n v="10"/>
    <n v="3"/>
    <s v="Medical"/>
    <n v="1"/>
    <n v="486"/>
    <n v="3"/>
    <s v="Female"/>
    <n v="98"/>
    <n v="3"/>
    <n v="1"/>
    <s v="Laboratory Technician"/>
    <n v="1"/>
    <s v="Married"/>
    <n v="3452"/>
    <n v="17663"/>
    <n v="6"/>
    <s v="Y"/>
    <s v="No"/>
    <n v="20"/>
    <n v="4"/>
    <n v="2"/>
    <n v="80"/>
    <n v="1"/>
    <n v="17"/>
    <n v="3"/>
    <n v="3"/>
    <n v="5"/>
    <n v="4"/>
    <n v="0"/>
    <n v="3"/>
    <x v="1"/>
    <n v="0"/>
    <n v="0"/>
    <n v="1"/>
    <m/>
    <m/>
  </r>
  <r>
    <n v="46"/>
    <s v="No"/>
    <s v="Non-Travel"/>
    <n v="1144"/>
    <s v="Research &amp; Development"/>
    <n v="7"/>
    <n v="4"/>
    <s v="Medical"/>
    <n v="1"/>
    <n v="487"/>
    <n v="3"/>
    <s v="Female"/>
    <n v="30"/>
    <n v="3"/>
    <n v="2"/>
    <s v="Manufacturing Director"/>
    <n v="3"/>
    <s v="Married"/>
    <n v="5258"/>
    <n v="16044"/>
    <n v="2"/>
    <s v="Y"/>
    <s v="No"/>
    <n v="14"/>
    <n v="3"/>
    <n v="3"/>
    <n v="80"/>
    <n v="0"/>
    <n v="7"/>
    <n v="2"/>
    <n v="4"/>
    <n v="1"/>
    <n v="0"/>
    <n v="0"/>
    <n v="0"/>
    <x v="2"/>
    <n v="0"/>
    <n v="0"/>
    <n v="1"/>
    <m/>
    <m/>
  </r>
  <r>
    <n v="41"/>
    <s v="Yes"/>
    <s v="Travel_Frequently"/>
    <n v="143"/>
    <s v="Sales"/>
    <n v="4"/>
    <n v="3"/>
    <s v="Marketing"/>
    <n v="1"/>
    <n v="488"/>
    <n v="1"/>
    <s v="Male"/>
    <n v="56"/>
    <n v="3"/>
    <n v="2"/>
    <s v="Sales Executive"/>
    <n v="2"/>
    <s v="Single"/>
    <n v="9355"/>
    <n v="9558"/>
    <n v="1"/>
    <s v="Y"/>
    <s v="No"/>
    <n v="18"/>
    <n v="3"/>
    <n v="3"/>
    <n v="80"/>
    <n v="0"/>
    <n v="8"/>
    <n v="5"/>
    <n v="3"/>
    <n v="8"/>
    <n v="7"/>
    <n v="7"/>
    <n v="7"/>
    <x v="0"/>
    <n v="1"/>
    <n v="168390"/>
    <n v="1"/>
    <m/>
    <m/>
  </r>
  <r>
    <n v="50"/>
    <s v="No"/>
    <s v="Travel_Rarely"/>
    <n v="1046"/>
    <s v="Research &amp; Development"/>
    <n v="10"/>
    <n v="3"/>
    <s v="Technical Degree"/>
    <n v="1"/>
    <n v="491"/>
    <n v="4"/>
    <s v="Male"/>
    <n v="100"/>
    <n v="2"/>
    <n v="3"/>
    <s v="Healthcare Representative"/>
    <n v="4"/>
    <s v="Single"/>
    <n v="10496"/>
    <n v="2755"/>
    <n v="6"/>
    <s v="Y"/>
    <s v="No"/>
    <n v="15"/>
    <n v="3"/>
    <n v="4"/>
    <n v="80"/>
    <n v="0"/>
    <n v="20"/>
    <n v="2"/>
    <n v="3"/>
    <n v="4"/>
    <n v="3"/>
    <n v="1"/>
    <n v="3"/>
    <x v="3"/>
    <n v="0"/>
    <n v="0"/>
    <n v="1"/>
    <m/>
    <m/>
  </r>
  <r>
    <n v="40"/>
    <s v="Yes"/>
    <s v="Travel_Rarely"/>
    <n v="575"/>
    <s v="Sales"/>
    <n v="22"/>
    <n v="2"/>
    <s v="Marketing"/>
    <n v="1"/>
    <n v="492"/>
    <n v="3"/>
    <s v="Male"/>
    <n v="68"/>
    <n v="2"/>
    <n v="2"/>
    <s v="Sales Executive"/>
    <n v="3"/>
    <s v="Married"/>
    <n v="6380"/>
    <n v="6110"/>
    <n v="2"/>
    <s v="Y"/>
    <s v="Yes"/>
    <n v="12"/>
    <n v="3"/>
    <n v="1"/>
    <n v="80"/>
    <n v="2"/>
    <n v="8"/>
    <n v="6"/>
    <n v="3"/>
    <n v="6"/>
    <n v="4"/>
    <n v="1"/>
    <n v="0"/>
    <x v="0"/>
    <n v="1"/>
    <n v="114840"/>
    <n v="1"/>
    <m/>
    <m/>
  </r>
  <r>
    <n v="31"/>
    <s v="No"/>
    <s v="Travel_Rarely"/>
    <n v="408"/>
    <s v="Research &amp; Development"/>
    <n v="9"/>
    <n v="4"/>
    <s v="Life Sciences"/>
    <n v="1"/>
    <n v="493"/>
    <n v="3"/>
    <s v="Male"/>
    <n v="42"/>
    <n v="2"/>
    <n v="1"/>
    <s v="Research Scientist"/>
    <n v="2"/>
    <s v="Single"/>
    <n v="2657"/>
    <n v="7551"/>
    <n v="0"/>
    <s v="Y"/>
    <s v="Yes"/>
    <n v="16"/>
    <n v="3"/>
    <n v="4"/>
    <n v="80"/>
    <n v="0"/>
    <n v="3"/>
    <n v="5"/>
    <n v="3"/>
    <n v="2"/>
    <n v="2"/>
    <n v="2"/>
    <n v="2"/>
    <x v="1"/>
    <n v="0"/>
    <n v="0"/>
    <n v="1"/>
    <m/>
    <m/>
  </r>
  <r>
    <n v="21"/>
    <s v="Yes"/>
    <s v="Travel_Rarely"/>
    <n v="156"/>
    <s v="Sales"/>
    <n v="12"/>
    <n v="3"/>
    <s v="Life Sciences"/>
    <n v="1"/>
    <n v="494"/>
    <n v="3"/>
    <s v="Female"/>
    <n v="90"/>
    <n v="4"/>
    <n v="1"/>
    <s v="Sales Representative"/>
    <n v="2"/>
    <s v="Single"/>
    <n v="2716"/>
    <n v="25422"/>
    <n v="1"/>
    <s v="Y"/>
    <s v="No"/>
    <n v="15"/>
    <n v="3"/>
    <n v="4"/>
    <n v="80"/>
    <n v="0"/>
    <n v="1"/>
    <n v="0"/>
    <n v="3"/>
    <n v="1"/>
    <n v="0"/>
    <n v="0"/>
    <n v="0"/>
    <x v="0"/>
    <n v="1"/>
    <n v="48888"/>
    <n v="1"/>
    <m/>
    <m/>
  </r>
  <r>
    <n v="29"/>
    <s v="No"/>
    <s v="Travel_Rarely"/>
    <n v="1283"/>
    <s v="Research &amp; Development"/>
    <n v="23"/>
    <n v="3"/>
    <s v="Life Sciences"/>
    <n v="1"/>
    <n v="495"/>
    <n v="4"/>
    <s v="Male"/>
    <n v="54"/>
    <n v="3"/>
    <n v="1"/>
    <s v="Research Scientist"/>
    <n v="4"/>
    <s v="Single"/>
    <n v="2201"/>
    <n v="18168"/>
    <n v="9"/>
    <s v="Y"/>
    <s v="No"/>
    <n v="16"/>
    <n v="3"/>
    <n v="4"/>
    <n v="80"/>
    <n v="0"/>
    <n v="6"/>
    <n v="4"/>
    <n v="3"/>
    <n v="3"/>
    <n v="2"/>
    <n v="1"/>
    <n v="2"/>
    <x v="1"/>
    <n v="0"/>
    <n v="0"/>
    <n v="1"/>
    <m/>
    <m/>
  </r>
  <r>
    <n v="35"/>
    <s v="No"/>
    <s v="Travel_Rarely"/>
    <n v="755"/>
    <s v="Research &amp; Development"/>
    <n v="9"/>
    <n v="4"/>
    <s v="Life Sciences"/>
    <n v="1"/>
    <n v="496"/>
    <n v="3"/>
    <s v="Male"/>
    <n v="97"/>
    <n v="2"/>
    <n v="2"/>
    <s v="Healthcare Representative"/>
    <n v="2"/>
    <s v="Single"/>
    <n v="6540"/>
    <n v="19394"/>
    <n v="9"/>
    <s v="Y"/>
    <s v="No"/>
    <n v="19"/>
    <n v="3"/>
    <n v="3"/>
    <n v="80"/>
    <n v="0"/>
    <n v="10"/>
    <n v="5"/>
    <n v="3"/>
    <n v="1"/>
    <n v="1"/>
    <n v="0"/>
    <n v="0"/>
    <x v="3"/>
    <n v="0"/>
    <n v="0"/>
    <n v="1"/>
    <m/>
    <m/>
  </r>
  <r>
    <n v="27"/>
    <s v="No"/>
    <s v="Travel_Rarely"/>
    <n v="1469"/>
    <s v="Research &amp; Development"/>
    <n v="1"/>
    <n v="2"/>
    <s v="Medical"/>
    <n v="1"/>
    <n v="497"/>
    <n v="4"/>
    <s v="Male"/>
    <n v="82"/>
    <n v="3"/>
    <n v="1"/>
    <s v="Laboratory Technician"/>
    <n v="2"/>
    <s v="Divorced"/>
    <n v="3816"/>
    <n v="17881"/>
    <n v="1"/>
    <s v="Y"/>
    <s v="No"/>
    <n v="11"/>
    <n v="3"/>
    <n v="2"/>
    <n v="80"/>
    <n v="1"/>
    <n v="5"/>
    <n v="2"/>
    <n v="3"/>
    <n v="5"/>
    <n v="2"/>
    <n v="0"/>
    <n v="4"/>
    <x v="1"/>
    <n v="0"/>
    <n v="0"/>
    <n v="1"/>
    <m/>
    <m/>
  </r>
  <r>
    <n v="28"/>
    <s v="No"/>
    <s v="Travel_Rarely"/>
    <n v="304"/>
    <s v="Sales"/>
    <n v="9"/>
    <n v="4"/>
    <s v="Life Sciences"/>
    <n v="1"/>
    <n v="498"/>
    <n v="2"/>
    <s v="Male"/>
    <n v="92"/>
    <n v="3"/>
    <n v="2"/>
    <s v="Sales Executive"/>
    <n v="4"/>
    <s v="Single"/>
    <n v="5253"/>
    <n v="20750"/>
    <n v="1"/>
    <s v="Y"/>
    <s v="No"/>
    <n v="16"/>
    <n v="3"/>
    <n v="4"/>
    <n v="80"/>
    <n v="0"/>
    <n v="7"/>
    <n v="1"/>
    <n v="3"/>
    <n v="7"/>
    <n v="5"/>
    <n v="0"/>
    <n v="7"/>
    <x v="0"/>
    <n v="0"/>
    <n v="0"/>
    <n v="1"/>
    <m/>
    <m/>
  </r>
  <r>
    <n v="49"/>
    <s v="No"/>
    <s v="Travel_Rarely"/>
    <n v="1261"/>
    <s v="Research &amp; Development"/>
    <n v="7"/>
    <n v="3"/>
    <s v="Other"/>
    <n v="1"/>
    <n v="499"/>
    <n v="2"/>
    <s v="Male"/>
    <n v="31"/>
    <n v="2"/>
    <n v="3"/>
    <s v="Healthcare Representative"/>
    <n v="3"/>
    <s v="Single"/>
    <n v="10965"/>
    <n v="12066"/>
    <n v="8"/>
    <s v="Y"/>
    <s v="No"/>
    <n v="24"/>
    <n v="4"/>
    <n v="3"/>
    <n v="80"/>
    <n v="0"/>
    <n v="26"/>
    <n v="2"/>
    <n v="3"/>
    <n v="5"/>
    <n v="2"/>
    <n v="0"/>
    <n v="0"/>
    <x v="3"/>
    <n v="0"/>
    <n v="0"/>
    <n v="1"/>
    <m/>
    <m/>
  </r>
  <r>
    <n v="51"/>
    <s v="No"/>
    <s v="Travel_Rarely"/>
    <n v="1178"/>
    <s v="Sales"/>
    <n v="14"/>
    <n v="2"/>
    <s v="Life Sciences"/>
    <n v="1"/>
    <n v="500"/>
    <n v="3"/>
    <s v="Female"/>
    <n v="87"/>
    <n v="3"/>
    <n v="2"/>
    <s v="Sales Executive"/>
    <n v="4"/>
    <s v="Married"/>
    <n v="4936"/>
    <n v="14862"/>
    <n v="4"/>
    <s v="Y"/>
    <s v="No"/>
    <n v="11"/>
    <n v="3"/>
    <n v="3"/>
    <n v="80"/>
    <n v="1"/>
    <n v="18"/>
    <n v="2"/>
    <n v="2"/>
    <n v="7"/>
    <n v="7"/>
    <n v="0"/>
    <n v="7"/>
    <x v="0"/>
    <n v="0"/>
    <n v="0"/>
    <n v="1"/>
    <m/>
    <m/>
  </r>
  <r>
    <n v="36"/>
    <s v="No"/>
    <s v="Travel_Rarely"/>
    <n v="329"/>
    <s v="Research &amp; Development"/>
    <n v="2"/>
    <n v="3"/>
    <s v="Life Sciences"/>
    <n v="1"/>
    <n v="501"/>
    <n v="4"/>
    <s v="Female"/>
    <n v="96"/>
    <n v="3"/>
    <n v="1"/>
    <s v="Research Scientist"/>
    <n v="3"/>
    <s v="Married"/>
    <n v="2543"/>
    <n v="11868"/>
    <n v="4"/>
    <s v="Y"/>
    <s v="No"/>
    <n v="13"/>
    <n v="3"/>
    <n v="2"/>
    <n v="80"/>
    <n v="1"/>
    <n v="6"/>
    <n v="3"/>
    <n v="3"/>
    <n v="2"/>
    <n v="2"/>
    <n v="2"/>
    <n v="2"/>
    <x v="1"/>
    <n v="0"/>
    <n v="0"/>
    <n v="1"/>
    <m/>
    <m/>
  </r>
  <r>
    <n v="34"/>
    <s v="Yes"/>
    <s v="Non-Travel"/>
    <n v="1362"/>
    <s v="Sales"/>
    <n v="19"/>
    <n v="3"/>
    <s v="Marketing"/>
    <n v="1"/>
    <n v="502"/>
    <n v="1"/>
    <s v="Male"/>
    <n v="67"/>
    <n v="4"/>
    <n v="2"/>
    <s v="Sales Executive"/>
    <n v="4"/>
    <s v="Single"/>
    <n v="5304"/>
    <n v="4652"/>
    <n v="8"/>
    <s v="Y"/>
    <s v="Yes"/>
    <n v="13"/>
    <n v="3"/>
    <n v="2"/>
    <n v="80"/>
    <n v="0"/>
    <n v="9"/>
    <n v="3"/>
    <n v="2"/>
    <n v="5"/>
    <n v="2"/>
    <n v="0"/>
    <n v="4"/>
    <x v="0"/>
    <n v="1"/>
    <n v="95472"/>
    <n v="1"/>
    <m/>
    <m/>
  </r>
  <r>
    <n v="55"/>
    <s v="No"/>
    <s v="Travel_Rarely"/>
    <n v="1311"/>
    <s v="Research &amp; Development"/>
    <n v="2"/>
    <n v="3"/>
    <s v="Life Sciences"/>
    <n v="1"/>
    <n v="505"/>
    <n v="3"/>
    <s v="Female"/>
    <n v="97"/>
    <n v="3"/>
    <n v="4"/>
    <s v="Manager"/>
    <n v="4"/>
    <s v="Single"/>
    <n v="16659"/>
    <n v="23258"/>
    <n v="2"/>
    <s v="Y"/>
    <s v="Yes"/>
    <n v="13"/>
    <n v="3"/>
    <n v="3"/>
    <n v="80"/>
    <n v="0"/>
    <n v="30"/>
    <n v="2"/>
    <n v="3"/>
    <n v="5"/>
    <n v="4"/>
    <n v="1"/>
    <n v="2"/>
    <x v="4"/>
    <n v="0"/>
    <n v="0"/>
    <n v="1"/>
    <m/>
    <m/>
  </r>
  <r>
    <n v="24"/>
    <s v="No"/>
    <s v="Travel_Rarely"/>
    <n v="1371"/>
    <s v="Sales"/>
    <n v="10"/>
    <n v="4"/>
    <s v="Marketing"/>
    <n v="1"/>
    <n v="507"/>
    <n v="4"/>
    <s v="Female"/>
    <n v="77"/>
    <n v="3"/>
    <n v="2"/>
    <s v="Sales Executive"/>
    <n v="3"/>
    <s v="Divorced"/>
    <n v="4260"/>
    <n v="5915"/>
    <n v="1"/>
    <s v="Y"/>
    <s v="Yes"/>
    <n v="12"/>
    <n v="3"/>
    <n v="4"/>
    <n v="80"/>
    <n v="1"/>
    <n v="5"/>
    <n v="2"/>
    <n v="4"/>
    <n v="5"/>
    <n v="2"/>
    <n v="0"/>
    <n v="3"/>
    <x v="0"/>
    <n v="0"/>
    <n v="0"/>
    <n v="1"/>
    <m/>
    <m/>
  </r>
  <r>
    <n v="30"/>
    <s v="No"/>
    <s v="Travel_Rarely"/>
    <n v="202"/>
    <s v="Sales"/>
    <n v="2"/>
    <n v="1"/>
    <s v="Technical Degree"/>
    <n v="1"/>
    <n v="508"/>
    <n v="3"/>
    <s v="Male"/>
    <n v="72"/>
    <n v="3"/>
    <n v="1"/>
    <s v="Sales Representative"/>
    <n v="2"/>
    <s v="Married"/>
    <n v="2476"/>
    <n v="17434"/>
    <n v="1"/>
    <s v="Y"/>
    <s v="No"/>
    <n v="18"/>
    <n v="3"/>
    <n v="1"/>
    <n v="80"/>
    <n v="1"/>
    <n v="1"/>
    <n v="3"/>
    <n v="3"/>
    <n v="1"/>
    <n v="0"/>
    <n v="0"/>
    <n v="0"/>
    <x v="0"/>
    <n v="0"/>
    <n v="0"/>
    <n v="1"/>
    <m/>
    <m/>
  </r>
  <r>
    <n v="26"/>
    <s v="Yes"/>
    <s v="Travel_Frequently"/>
    <n v="575"/>
    <s v="Research &amp; Development"/>
    <n v="3"/>
    <n v="1"/>
    <s v="Technical Degree"/>
    <n v="1"/>
    <n v="510"/>
    <n v="3"/>
    <s v="Male"/>
    <n v="73"/>
    <n v="3"/>
    <n v="1"/>
    <s v="Research Scientist"/>
    <n v="1"/>
    <s v="Single"/>
    <n v="3102"/>
    <n v="6582"/>
    <n v="0"/>
    <s v="Y"/>
    <s v="No"/>
    <n v="22"/>
    <n v="4"/>
    <n v="3"/>
    <n v="80"/>
    <n v="0"/>
    <n v="7"/>
    <n v="2"/>
    <n v="3"/>
    <n v="6"/>
    <n v="4"/>
    <n v="0"/>
    <n v="4"/>
    <x v="1"/>
    <n v="1"/>
    <n v="55836"/>
    <n v="1"/>
    <m/>
    <m/>
  </r>
  <r>
    <n v="22"/>
    <s v="No"/>
    <s v="Travel_Rarely"/>
    <n v="253"/>
    <s v="Research &amp; Development"/>
    <n v="11"/>
    <n v="3"/>
    <s v="Medical"/>
    <n v="1"/>
    <n v="511"/>
    <n v="1"/>
    <s v="Female"/>
    <n v="43"/>
    <n v="3"/>
    <n v="1"/>
    <s v="Research Scientist"/>
    <n v="2"/>
    <s v="Married"/>
    <n v="2244"/>
    <n v="24440"/>
    <n v="1"/>
    <s v="Y"/>
    <s v="No"/>
    <n v="13"/>
    <n v="3"/>
    <n v="4"/>
    <n v="80"/>
    <n v="1"/>
    <n v="2"/>
    <n v="1"/>
    <n v="3"/>
    <n v="2"/>
    <n v="1"/>
    <n v="1"/>
    <n v="2"/>
    <x v="1"/>
    <n v="0"/>
    <n v="0"/>
    <n v="1"/>
    <m/>
    <m/>
  </r>
  <r>
    <n v="36"/>
    <s v="No"/>
    <s v="Travel_Rarely"/>
    <n v="164"/>
    <s v="Sales"/>
    <n v="2"/>
    <n v="2"/>
    <s v="Medical"/>
    <n v="1"/>
    <n v="513"/>
    <n v="2"/>
    <s v="Male"/>
    <n v="61"/>
    <n v="2"/>
    <n v="3"/>
    <s v="Sales Executive"/>
    <n v="3"/>
    <s v="Married"/>
    <n v="7596"/>
    <n v="3809"/>
    <n v="1"/>
    <s v="Y"/>
    <s v="No"/>
    <n v="13"/>
    <n v="3"/>
    <n v="2"/>
    <n v="80"/>
    <n v="2"/>
    <n v="10"/>
    <n v="2"/>
    <n v="3"/>
    <n v="10"/>
    <n v="9"/>
    <n v="9"/>
    <n v="0"/>
    <x v="0"/>
    <n v="0"/>
    <n v="0"/>
    <n v="1"/>
    <m/>
    <m/>
  </r>
  <r>
    <n v="30"/>
    <s v="Yes"/>
    <s v="Travel_Frequently"/>
    <n v="464"/>
    <s v="Research &amp; Development"/>
    <n v="4"/>
    <n v="3"/>
    <s v="Technical Degree"/>
    <n v="1"/>
    <n v="514"/>
    <n v="3"/>
    <s v="Male"/>
    <n v="40"/>
    <n v="3"/>
    <n v="1"/>
    <s v="Research Scientist"/>
    <n v="4"/>
    <s v="Single"/>
    <n v="2285"/>
    <n v="3427"/>
    <n v="9"/>
    <s v="Y"/>
    <s v="Yes"/>
    <n v="23"/>
    <n v="4"/>
    <n v="3"/>
    <n v="80"/>
    <n v="0"/>
    <n v="3"/>
    <n v="4"/>
    <n v="3"/>
    <n v="1"/>
    <n v="0"/>
    <n v="0"/>
    <n v="0"/>
    <x v="1"/>
    <n v="1"/>
    <n v="41130"/>
    <n v="1"/>
    <m/>
    <m/>
  </r>
  <r>
    <n v="37"/>
    <s v="No"/>
    <s v="Travel_Rarely"/>
    <n v="1107"/>
    <s v="Research &amp; Development"/>
    <n v="14"/>
    <n v="3"/>
    <s v="Life Sciences"/>
    <n v="1"/>
    <n v="515"/>
    <n v="4"/>
    <s v="Female"/>
    <n v="95"/>
    <n v="3"/>
    <n v="1"/>
    <s v="Laboratory Technician"/>
    <n v="1"/>
    <s v="Divorced"/>
    <n v="3034"/>
    <n v="26914"/>
    <n v="1"/>
    <s v="Y"/>
    <s v="No"/>
    <n v="12"/>
    <n v="3"/>
    <n v="3"/>
    <n v="80"/>
    <n v="1"/>
    <n v="18"/>
    <n v="2"/>
    <n v="2"/>
    <n v="18"/>
    <n v="7"/>
    <n v="12"/>
    <n v="17"/>
    <x v="1"/>
    <n v="0"/>
    <n v="0"/>
    <n v="1"/>
    <m/>
    <m/>
  </r>
  <r>
    <n v="40"/>
    <s v="No"/>
    <s v="Travel_Rarely"/>
    <n v="759"/>
    <s v="Sales"/>
    <n v="2"/>
    <n v="2"/>
    <s v="Marketing"/>
    <n v="1"/>
    <n v="516"/>
    <n v="4"/>
    <s v="Female"/>
    <n v="46"/>
    <n v="3"/>
    <n v="2"/>
    <s v="Sales Executive"/>
    <n v="2"/>
    <s v="Divorced"/>
    <n v="5715"/>
    <n v="22553"/>
    <n v="7"/>
    <s v="Y"/>
    <s v="No"/>
    <n v="12"/>
    <n v="3"/>
    <n v="3"/>
    <n v="80"/>
    <n v="2"/>
    <n v="8"/>
    <n v="5"/>
    <n v="3"/>
    <n v="5"/>
    <n v="4"/>
    <n v="1"/>
    <n v="3"/>
    <x v="0"/>
    <n v="0"/>
    <n v="0"/>
    <n v="1"/>
    <m/>
    <m/>
  </r>
  <r>
    <n v="42"/>
    <s v="No"/>
    <s v="Travel_Rarely"/>
    <n v="201"/>
    <s v="Research &amp; Development"/>
    <n v="1"/>
    <n v="4"/>
    <s v="Life Sciences"/>
    <n v="1"/>
    <n v="517"/>
    <n v="2"/>
    <s v="Female"/>
    <n v="95"/>
    <n v="3"/>
    <n v="1"/>
    <s v="Laboratory Technician"/>
    <n v="1"/>
    <s v="Divorced"/>
    <n v="2576"/>
    <n v="20490"/>
    <n v="3"/>
    <s v="Y"/>
    <s v="No"/>
    <n v="16"/>
    <n v="3"/>
    <n v="2"/>
    <n v="80"/>
    <n v="1"/>
    <n v="8"/>
    <n v="5"/>
    <n v="3"/>
    <n v="5"/>
    <n v="2"/>
    <n v="1"/>
    <n v="2"/>
    <x v="1"/>
    <n v="0"/>
    <n v="0"/>
    <n v="1"/>
    <m/>
    <m/>
  </r>
  <r>
    <n v="37"/>
    <s v="No"/>
    <s v="Travel_Rarely"/>
    <n v="1305"/>
    <s v="Research &amp; Development"/>
    <n v="10"/>
    <n v="4"/>
    <s v="Life Sciences"/>
    <n v="1"/>
    <n v="518"/>
    <n v="3"/>
    <s v="Male"/>
    <n v="49"/>
    <n v="3"/>
    <n v="2"/>
    <s v="Manufacturing Director"/>
    <n v="2"/>
    <s v="Single"/>
    <n v="4197"/>
    <n v="21123"/>
    <n v="2"/>
    <s v="Y"/>
    <s v="Yes"/>
    <n v="12"/>
    <n v="3"/>
    <n v="4"/>
    <n v="80"/>
    <n v="0"/>
    <n v="18"/>
    <n v="2"/>
    <n v="2"/>
    <n v="1"/>
    <n v="0"/>
    <n v="0"/>
    <n v="1"/>
    <x v="2"/>
    <n v="0"/>
    <n v="0"/>
    <n v="1"/>
    <m/>
    <m/>
  </r>
  <r>
    <n v="43"/>
    <s v="No"/>
    <s v="Travel_Rarely"/>
    <n v="982"/>
    <s v="Research &amp; Development"/>
    <n v="12"/>
    <n v="3"/>
    <s v="Life Sciences"/>
    <n v="1"/>
    <n v="520"/>
    <n v="1"/>
    <s v="Male"/>
    <n v="59"/>
    <n v="2"/>
    <n v="4"/>
    <s v="Research Director"/>
    <n v="2"/>
    <s v="Divorced"/>
    <n v="14336"/>
    <n v="4345"/>
    <n v="1"/>
    <s v="Y"/>
    <s v="No"/>
    <n v="11"/>
    <n v="3"/>
    <n v="3"/>
    <n v="80"/>
    <n v="1"/>
    <n v="25"/>
    <n v="3"/>
    <n v="3"/>
    <n v="25"/>
    <n v="10"/>
    <n v="3"/>
    <n v="9"/>
    <x v="1"/>
    <n v="0"/>
    <n v="0"/>
    <n v="1"/>
    <m/>
    <m/>
  </r>
  <r>
    <n v="40"/>
    <s v="No"/>
    <s v="Travel_Rarely"/>
    <n v="555"/>
    <s v="Research &amp; Development"/>
    <n v="2"/>
    <n v="3"/>
    <s v="Medical"/>
    <n v="1"/>
    <n v="521"/>
    <n v="2"/>
    <s v="Female"/>
    <n v="78"/>
    <n v="2"/>
    <n v="2"/>
    <s v="Laboratory Technician"/>
    <n v="3"/>
    <s v="Married"/>
    <n v="3448"/>
    <n v="13436"/>
    <n v="6"/>
    <s v="Y"/>
    <s v="No"/>
    <n v="22"/>
    <n v="4"/>
    <n v="2"/>
    <n v="80"/>
    <n v="1"/>
    <n v="20"/>
    <n v="3"/>
    <n v="3"/>
    <n v="1"/>
    <n v="0"/>
    <n v="0"/>
    <n v="0"/>
    <x v="1"/>
    <n v="0"/>
    <n v="0"/>
    <n v="1"/>
    <m/>
    <m/>
  </r>
  <r>
    <n v="54"/>
    <s v="No"/>
    <s v="Travel_Rarely"/>
    <n v="821"/>
    <s v="Research &amp; Development"/>
    <n v="5"/>
    <n v="2"/>
    <s v="Medical"/>
    <n v="1"/>
    <n v="522"/>
    <n v="1"/>
    <s v="Male"/>
    <n v="86"/>
    <n v="3"/>
    <n v="5"/>
    <s v="Research Director"/>
    <n v="1"/>
    <s v="Married"/>
    <n v="19406"/>
    <n v="8509"/>
    <n v="4"/>
    <s v="Y"/>
    <s v="No"/>
    <n v="11"/>
    <n v="3"/>
    <n v="3"/>
    <n v="80"/>
    <n v="1"/>
    <n v="24"/>
    <n v="4"/>
    <n v="2"/>
    <n v="4"/>
    <n v="2"/>
    <n v="1"/>
    <n v="2"/>
    <x v="1"/>
    <n v="0"/>
    <n v="0"/>
    <n v="1"/>
    <m/>
    <m/>
  </r>
  <r>
    <n v="34"/>
    <s v="No"/>
    <s v="Non-Travel"/>
    <n v="1381"/>
    <s v="Sales"/>
    <n v="4"/>
    <n v="4"/>
    <s v="Marketing"/>
    <n v="1"/>
    <n v="523"/>
    <n v="3"/>
    <s v="Female"/>
    <n v="72"/>
    <n v="3"/>
    <n v="2"/>
    <s v="Sales Executive"/>
    <n v="3"/>
    <s v="Married"/>
    <n v="6538"/>
    <n v="12740"/>
    <n v="9"/>
    <s v="Y"/>
    <s v="No"/>
    <n v="15"/>
    <n v="3"/>
    <n v="1"/>
    <n v="80"/>
    <n v="1"/>
    <n v="6"/>
    <n v="3"/>
    <n v="3"/>
    <n v="3"/>
    <n v="2"/>
    <n v="1"/>
    <n v="2"/>
    <x v="0"/>
    <n v="0"/>
    <n v="0"/>
    <n v="1"/>
    <m/>
    <m/>
  </r>
  <r>
    <n v="31"/>
    <s v="No"/>
    <s v="Travel_Rarely"/>
    <n v="480"/>
    <s v="Research &amp; Development"/>
    <n v="7"/>
    <n v="2"/>
    <s v="Medical"/>
    <n v="1"/>
    <n v="524"/>
    <n v="2"/>
    <s v="Female"/>
    <n v="31"/>
    <n v="3"/>
    <n v="2"/>
    <s v="Manufacturing Director"/>
    <n v="1"/>
    <s v="Married"/>
    <n v="4306"/>
    <n v="4156"/>
    <n v="1"/>
    <s v="Y"/>
    <s v="No"/>
    <n v="12"/>
    <n v="3"/>
    <n v="2"/>
    <n v="80"/>
    <n v="1"/>
    <n v="13"/>
    <n v="5"/>
    <n v="1"/>
    <n v="13"/>
    <n v="10"/>
    <n v="3"/>
    <n v="12"/>
    <x v="2"/>
    <n v="0"/>
    <n v="0"/>
    <n v="1"/>
    <m/>
    <m/>
  </r>
  <r>
    <n v="43"/>
    <s v="No"/>
    <s v="Travel_Frequently"/>
    <n v="313"/>
    <s v="Research &amp; Development"/>
    <n v="21"/>
    <n v="3"/>
    <s v="Medical"/>
    <n v="1"/>
    <n v="525"/>
    <n v="4"/>
    <s v="Male"/>
    <n v="61"/>
    <n v="3"/>
    <n v="1"/>
    <s v="Laboratory Technician"/>
    <n v="4"/>
    <s v="Married"/>
    <n v="2258"/>
    <n v="15238"/>
    <n v="7"/>
    <s v="Y"/>
    <s v="No"/>
    <n v="20"/>
    <n v="4"/>
    <n v="1"/>
    <n v="80"/>
    <n v="1"/>
    <n v="8"/>
    <n v="1"/>
    <n v="3"/>
    <n v="3"/>
    <n v="2"/>
    <n v="1"/>
    <n v="2"/>
    <x v="1"/>
    <n v="0"/>
    <n v="0"/>
    <n v="1"/>
    <m/>
    <m/>
  </r>
  <r>
    <n v="43"/>
    <s v="No"/>
    <s v="Travel_Rarely"/>
    <n v="1473"/>
    <s v="Research &amp; Development"/>
    <n v="8"/>
    <n v="4"/>
    <s v="Other"/>
    <n v="1"/>
    <n v="526"/>
    <n v="3"/>
    <s v="Female"/>
    <n v="74"/>
    <n v="3"/>
    <n v="2"/>
    <s v="Healthcare Representative"/>
    <n v="3"/>
    <s v="Divorced"/>
    <n v="4522"/>
    <n v="2227"/>
    <n v="4"/>
    <s v="Y"/>
    <s v="Yes"/>
    <n v="14"/>
    <n v="3"/>
    <n v="4"/>
    <n v="80"/>
    <n v="0"/>
    <n v="8"/>
    <n v="3"/>
    <n v="3"/>
    <n v="5"/>
    <n v="2"/>
    <n v="0"/>
    <n v="2"/>
    <x v="3"/>
    <n v="0"/>
    <n v="0"/>
    <n v="1"/>
    <m/>
    <m/>
  </r>
  <r>
    <n v="25"/>
    <s v="No"/>
    <s v="Travel_Rarely"/>
    <n v="891"/>
    <s v="Sales"/>
    <n v="4"/>
    <n v="2"/>
    <s v="Life Sciences"/>
    <n v="1"/>
    <n v="527"/>
    <n v="2"/>
    <s v="Female"/>
    <n v="99"/>
    <n v="2"/>
    <n v="2"/>
    <s v="Sales Executive"/>
    <n v="4"/>
    <s v="Single"/>
    <n v="4487"/>
    <n v="12090"/>
    <n v="1"/>
    <s v="Y"/>
    <s v="Yes"/>
    <n v="11"/>
    <n v="3"/>
    <n v="2"/>
    <n v="80"/>
    <n v="0"/>
    <n v="5"/>
    <n v="3"/>
    <n v="3"/>
    <n v="5"/>
    <n v="4"/>
    <n v="1"/>
    <n v="3"/>
    <x v="0"/>
    <n v="0"/>
    <n v="0"/>
    <n v="1"/>
    <m/>
    <m/>
  </r>
  <r>
    <n v="37"/>
    <s v="No"/>
    <s v="Non-Travel"/>
    <n v="1063"/>
    <s v="Research &amp; Development"/>
    <n v="25"/>
    <n v="5"/>
    <s v="Medical"/>
    <n v="1"/>
    <n v="529"/>
    <n v="2"/>
    <s v="Female"/>
    <n v="72"/>
    <n v="3"/>
    <n v="2"/>
    <s v="Research Scientist"/>
    <n v="3"/>
    <s v="Married"/>
    <n v="4449"/>
    <n v="23866"/>
    <n v="3"/>
    <s v="Y"/>
    <s v="Yes"/>
    <n v="15"/>
    <n v="3"/>
    <n v="1"/>
    <n v="80"/>
    <n v="2"/>
    <n v="15"/>
    <n v="2"/>
    <n v="3"/>
    <n v="13"/>
    <n v="11"/>
    <n v="10"/>
    <n v="7"/>
    <x v="1"/>
    <n v="0"/>
    <n v="0"/>
    <n v="1"/>
    <m/>
    <m/>
  </r>
  <r>
    <n v="31"/>
    <s v="No"/>
    <s v="Travel_Rarely"/>
    <n v="329"/>
    <s v="Research &amp; Development"/>
    <n v="1"/>
    <n v="2"/>
    <s v="Life Sciences"/>
    <n v="1"/>
    <n v="530"/>
    <n v="4"/>
    <s v="Male"/>
    <n v="98"/>
    <n v="2"/>
    <n v="1"/>
    <s v="Laboratory Technician"/>
    <n v="1"/>
    <s v="Married"/>
    <n v="2218"/>
    <n v="16193"/>
    <n v="1"/>
    <s v="Y"/>
    <s v="No"/>
    <n v="12"/>
    <n v="3"/>
    <n v="3"/>
    <n v="80"/>
    <n v="1"/>
    <n v="4"/>
    <n v="3"/>
    <n v="3"/>
    <n v="4"/>
    <n v="2"/>
    <n v="3"/>
    <n v="2"/>
    <x v="1"/>
    <n v="0"/>
    <n v="0"/>
    <n v="1"/>
    <m/>
    <m/>
  </r>
  <r>
    <n v="39"/>
    <s v="No"/>
    <s v="Travel_Frequently"/>
    <n v="1218"/>
    <s v="Research &amp; Development"/>
    <n v="1"/>
    <n v="1"/>
    <s v="Life Sciences"/>
    <n v="1"/>
    <n v="531"/>
    <n v="2"/>
    <s v="Male"/>
    <n v="52"/>
    <n v="3"/>
    <n v="5"/>
    <s v="Manager"/>
    <n v="3"/>
    <s v="Divorced"/>
    <n v="19197"/>
    <n v="8213"/>
    <n v="1"/>
    <s v="Y"/>
    <s v="Yes"/>
    <n v="14"/>
    <n v="3"/>
    <n v="3"/>
    <n v="80"/>
    <n v="1"/>
    <n v="21"/>
    <n v="3"/>
    <n v="3"/>
    <n v="21"/>
    <n v="8"/>
    <n v="1"/>
    <n v="6"/>
    <x v="4"/>
    <n v="0"/>
    <n v="0"/>
    <n v="1"/>
    <m/>
    <m/>
  </r>
  <r>
    <n v="56"/>
    <s v="No"/>
    <s v="Travel_Frequently"/>
    <n v="906"/>
    <s v="Sales"/>
    <n v="6"/>
    <n v="3"/>
    <s v="Life Sciences"/>
    <n v="1"/>
    <n v="532"/>
    <n v="3"/>
    <s v="Female"/>
    <n v="86"/>
    <n v="4"/>
    <n v="4"/>
    <s v="Sales Executive"/>
    <n v="1"/>
    <s v="Married"/>
    <n v="13212"/>
    <n v="18256"/>
    <n v="9"/>
    <s v="Y"/>
    <s v="No"/>
    <n v="11"/>
    <n v="3"/>
    <n v="4"/>
    <n v="80"/>
    <n v="3"/>
    <n v="36"/>
    <n v="0"/>
    <n v="2"/>
    <n v="7"/>
    <n v="7"/>
    <n v="7"/>
    <n v="7"/>
    <x v="0"/>
    <n v="0"/>
    <n v="0"/>
    <n v="1"/>
    <m/>
    <m/>
  </r>
  <r>
    <n v="30"/>
    <s v="No"/>
    <s v="Travel_Rarely"/>
    <n v="1082"/>
    <s v="Sales"/>
    <n v="12"/>
    <n v="3"/>
    <s v="Technical Degree"/>
    <n v="1"/>
    <n v="533"/>
    <n v="2"/>
    <s v="Female"/>
    <n v="83"/>
    <n v="3"/>
    <n v="2"/>
    <s v="Sales Executive"/>
    <n v="3"/>
    <s v="Single"/>
    <n v="6577"/>
    <n v="19558"/>
    <n v="0"/>
    <s v="Y"/>
    <s v="No"/>
    <n v="11"/>
    <n v="3"/>
    <n v="2"/>
    <n v="80"/>
    <n v="0"/>
    <n v="6"/>
    <n v="6"/>
    <n v="3"/>
    <n v="5"/>
    <n v="4"/>
    <n v="4"/>
    <n v="4"/>
    <x v="0"/>
    <n v="0"/>
    <n v="0"/>
    <n v="1"/>
    <m/>
    <m/>
  </r>
  <r>
    <n v="41"/>
    <s v="No"/>
    <s v="Travel_Rarely"/>
    <n v="645"/>
    <s v="Sales"/>
    <n v="1"/>
    <n v="3"/>
    <s v="Marketing"/>
    <n v="1"/>
    <n v="534"/>
    <n v="2"/>
    <s v="Male"/>
    <n v="49"/>
    <n v="4"/>
    <n v="3"/>
    <s v="Sales Executive"/>
    <n v="1"/>
    <s v="Married"/>
    <n v="8392"/>
    <n v="19566"/>
    <n v="1"/>
    <s v="Y"/>
    <s v="No"/>
    <n v="16"/>
    <n v="3"/>
    <n v="3"/>
    <n v="80"/>
    <n v="1"/>
    <n v="10"/>
    <n v="2"/>
    <n v="3"/>
    <n v="10"/>
    <n v="7"/>
    <n v="0"/>
    <n v="7"/>
    <x v="0"/>
    <n v="0"/>
    <n v="0"/>
    <n v="1"/>
    <m/>
    <m/>
  </r>
  <r>
    <n v="28"/>
    <s v="No"/>
    <s v="Travel_Rarely"/>
    <n v="1300"/>
    <s v="Research &amp; Development"/>
    <n v="17"/>
    <n v="2"/>
    <s v="Medical"/>
    <n v="1"/>
    <n v="536"/>
    <n v="3"/>
    <s v="Male"/>
    <n v="79"/>
    <n v="3"/>
    <n v="2"/>
    <s v="Laboratory Technician"/>
    <n v="1"/>
    <s v="Divorced"/>
    <n v="4558"/>
    <n v="13535"/>
    <n v="1"/>
    <s v="Y"/>
    <s v="No"/>
    <n v="12"/>
    <n v="3"/>
    <n v="4"/>
    <n v="80"/>
    <n v="1"/>
    <n v="10"/>
    <n v="2"/>
    <n v="3"/>
    <n v="10"/>
    <n v="0"/>
    <n v="1"/>
    <n v="8"/>
    <x v="1"/>
    <n v="0"/>
    <n v="0"/>
    <n v="1"/>
    <m/>
    <m/>
  </r>
  <r>
    <n v="25"/>
    <s v="Yes"/>
    <s v="Travel_Rarely"/>
    <n v="688"/>
    <s v="Research &amp; Development"/>
    <n v="3"/>
    <n v="3"/>
    <s v="Medical"/>
    <n v="1"/>
    <n v="538"/>
    <n v="1"/>
    <s v="Male"/>
    <n v="91"/>
    <n v="3"/>
    <n v="1"/>
    <s v="Laboratory Technician"/>
    <n v="1"/>
    <s v="Married"/>
    <n v="4031"/>
    <n v="9396"/>
    <n v="5"/>
    <s v="Y"/>
    <s v="No"/>
    <n v="13"/>
    <n v="3"/>
    <n v="3"/>
    <n v="80"/>
    <n v="1"/>
    <n v="6"/>
    <n v="5"/>
    <n v="3"/>
    <n v="2"/>
    <n v="2"/>
    <n v="0"/>
    <n v="2"/>
    <x v="1"/>
    <n v="1"/>
    <n v="72558"/>
    <n v="1"/>
    <m/>
    <m/>
  </r>
  <r>
    <n v="52"/>
    <s v="No"/>
    <s v="Travel_Rarely"/>
    <n v="319"/>
    <s v="Research &amp; Development"/>
    <n v="3"/>
    <n v="3"/>
    <s v="Medical"/>
    <n v="1"/>
    <n v="543"/>
    <n v="4"/>
    <s v="Male"/>
    <n v="39"/>
    <n v="2"/>
    <n v="3"/>
    <s v="Manufacturing Director"/>
    <n v="3"/>
    <s v="Married"/>
    <n v="7969"/>
    <n v="19609"/>
    <n v="2"/>
    <s v="Y"/>
    <s v="Yes"/>
    <n v="14"/>
    <n v="3"/>
    <n v="3"/>
    <n v="80"/>
    <n v="0"/>
    <n v="28"/>
    <n v="4"/>
    <n v="3"/>
    <n v="5"/>
    <n v="4"/>
    <n v="0"/>
    <n v="4"/>
    <x v="2"/>
    <n v="0"/>
    <n v="0"/>
    <n v="1"/>
    <m/>
    <m/>
  </r>
  <r>
    <n v="45"/>
    <s v="No"/>
    <s v="Travel_Rarely"/>
    <n v="192"/>
    <s v="Research &amp; Development"/>
    <n v="10"/>
    <n v="2"/>
    <s v="Life Sciences"/>
    <n v="1"/>
    <n v="544"/>
    <n v="1"/>
    <s v="Male"/>
    <n v="69"/>
    <n v="3"/>
    <n v="1"/>
    <s v="Research Scientist"/>
    <n v="4"/>
    <s v="Married"/>
    <n v="2654"/>
    <n v="9655"/>
    <n v="3"/>
    <s v="Y"/>
    <s v="No"/>
    <n v="21"/>
    <n v="4"/>
    <n v="4"/>
    <n v="80"/>
    <n v="2"/>
    <n v="8"/>
    <n v="3"/>
    <n v="2"/>
    <n v="2"/>
    <n v="2"/>
    <n v="0"/>
    <n v="2"/>
    <x v="1"/>
    <n v="0"/>
    <n v="0"/>
    <n v="1"/>
    <m/>
    <m/>
  </r>
  <r>
    <n v="52"/>
    <s v="No"/>
    <s v="Travel_Rarely"/>
    <n v="1490"/>
    <s v="Research &amp; Development"/>
    <n v="4"/>
    <n v="2"/>
    <s v="Life Sciences"/>
    <n v="1"/>
    <n v="546"/>
    <n v="4"/>
    <s v="Female"/>
    <n v="30"/>
    <n v="3"/>
    <n v="4"/>
    <s v="Manager"/>
    <n v="4"/>
    <s v="Married"/>
    <n v="16555"/>
    <n v="10310"/>
    <n v="2"/>
    <s v="Y"/>
    <s v="No"/>
    <n v="13"/>
    <n v="3"/>
    <n v="4"/>
    <n v="80"/>
    <n v="0"/>
    <n v="31"/>
    <n v="2"/>
    <n v="1"/>
    <n v="5"/>
    <n v="2"/>
    <n v="1"/>
    <n v="4"/>
    <x v="4"/>
    <n v="0"/>
    <n v="0"/>
    <n v="1"/>
    <m/>
    <m/>
  </r>
  <r>
    <n v="42"/>
    <s v="No"/>
    <s v="Travel_Frequently"/>
    <n v="532"/>
    <s v="Research &amp; Development"/>
    <n v="29"/>
    <n v="2"/>
    <s v="Life Sciences"/>
    <n v="1"/>
    <n v="547"/>
    <n v="1"/>
    <s v="Female"/>
    <n v="92"/>
    <n v="3"/>
    <n v="2"/>
    <s v="Research Scientist"/>
    <n v="3"/>
    <s v="Divorced"/>
    <n v="4556"/>
    <n v="12932"/>
    <n v="2"/>
    <s v="Y"/>
    <s v="No"/>
    <n v="11"/>
    <n v="3"/>
    <n v="2"/>
    <n v="80"/>
    <n v="1"/>
    <n v="19"/>
    <n v="3"/>
    <n v="3"/>
    <n v="5"/>
    <n v="4"/>
    <n v="0"/>
    <n v="2"/>
    <x v="1"/>
    <n v="0"/>
    <n v="0"/>
    <n v="1"/>
    <m/>
    <m/>
  </r>
  <r>
    <n v="30"/>
    <s v="No"/>
    <s v="Travel_Rarely"/>
    <n v="317"/>
    <s v="Research &amp; Development"/>
    <n v="2"/>
    <n v="3"/>
    <s v="Life Sciences"/>
    <n v="1"/>
    <n v="548"/>
    <n v="3"/>
    <s v="Female"/>
    <n v="43"/>
    <n v="1"/>
    <n v="2"/>
    <s v="Manufacturing Director"/>
    <n v="4"/>
    <s v="Single"/>
    <n v="6091"/>
    <n v="24793"/>
    <n v="2"/>
    <s v="Y"/>
    <s v="No"/>
    <n v="20"/>
    <n v="4"/>
    <n v="3"/>
    <n v="80"/>
    <n v="0"/>
    <n v="11"/>
    <n v="2"/>
    <n v="3"/>
    <n v="5"/>
    <n v="4"/>
    <n v="0"/>
    <n v="2"/>
    <x v="2"/>
    <n v="0"/>
    <n v="0"/>
    <n v="1"/>
    <m/>
    <m/>
  </r>
  <r>
    <n v="60"/>
    <s v="No"/>
    <s v="Travel_Rarely"/>
    <n v="422"/>
    <s v="Research &amp; Development"/>
    <n v="7"/>
    <n v="3"/>
    <s v="Life Sciences"/>
    <n v="1"/>
    <n v="549"/>
    <n v="1"/>
    <s v="Female"/>
    <n v="41"/>
    <n v="3"/>
    <n v="5"/>
    <s v="Manager"/>
    <n v="1"/>
    <s v="Married"/>
    <n v="19566"/>
    <n v="3854"/>
    <n v="5"/>
    <s v="Y"/>
    <s v="No"/>
    <n v="11"/>
    <n v="3"/>
    <n v="4"/>
    <n v="80"/>
    <n v="0"/>
    <n v="33"/>
    <n v="5"/>
    <n v="1"/>
    <n v="29"/>
    <n v="8"/>
    <n v="11"/>
    <n v="10"/>
    <x v="4"/>
    <n v="0"/>
    <n v="0"/>
    <n v="1"/>
    <m/>
    <m/>
  </r>
  <r>
    <n v="46"/>
    <s v="No"/>
    <s v="Travel_Rarely"/>
    <n v="1485"/>
    <s v="Research &amp; Development"/>
    <n v="18"/>
    <n v="3"/>
    <s v="Medical"/>
    <n v="1"/>
    <n v="550"/>
    <n v="3"/>
    <s v="Female"/>
    <n v="87"/>
    <n v="3"/>
    <n v="2"/>
    <s v="Manufacturing Director"/>
    <n v="3"/>
    <s v="Divorced"/>
    <n v="4810"/>
    <n v="26314"/>
    <n v="2"/>
    <s v="Y"/>
    <s v="No"/>
    <n v="14"/>
    <n v="3"/>
    <n v="3"/>
    <n v="80"/>
    <n v="1"/>
    <n v="19"/>
    <n v="5"/>
    <n v="2"/>
    <n v="10"/>
    <n v="7"/>
    <n v="0"/>
    <n v="8"/>
    <x v="2"/>
    <n v="0"/>
    <n v="0"/>
    <n v="1"/>
    <m/>
    <m/>
  </r>
  <r>
    <n v="42"/>
    <s v="No"/>
    <s v="Travel_Frequently"/>
    <n v="1368"/>
    <s v="Research &amp; Development"/>
    <n v="28"/>
    <n v="4"/>
    <s v="Technical Degree"/>
    <n v="1"/>
    <n v="551"/>
    <n v="4"/>
    <s v="Female"/>
    <n v="88"/>
    <n v="2"/>
    <n v="2"/>
    <s v="Healthcare Representative"/>
    <n v="4"/>
    <s v="Married"/>
    <n v="4523"/>
    <n v="4386"/>
    <n v="0"/>
    <s v="Y"/>
    <s v="No"/>
    <n v="11"/>
    <n v="3"/>
    <n v="4"/>
    <n v="80"/>
    <n v="3"/>
    <n v="7"/>
    <n v="4"/>
    <n v="4"/>
    <n v="6"/>
    <n v="5"/>
    <n v="0"/>
    <n v="4"/>
    <x v="3"/>
    <n v="0"/>
    <n v="0"/>
    <n v="1"/>
    <m/>
    <m/>
  </r>
  <r>
    <n v="24"/>
    <s v="Yes"/>
    <s v="Travel_Rarely"/>
    <n v="1448"/>
    <s v="Sales"/>
    <n v="1"/>
    <n v="1"/>
    <s v="Technical Degree"/>
    <n v="1"/>
    <n v="554"/>
    <n v="1"/>
    <s v="Female"/>
    <n v="62"/>
    <n v="3"/>
    <n v="1"/>
    <s v="Sales Representative"/>
    <n v="2"/>
    <s v="Single"/>
    <n v="3202"/>
    <n v="21972"/>
    <n v="1"/>
    <s v="Y"/>
    <s v="Yes"/>
    <n v="16"/>
    <n v="3"/>
    <n v="2"/>
    <n v="80"/>
    <n v="0"/>
    <n v="6"/>
    <n v="4"/>
    <n v="3"/>
    <n v="5"/>
    <n v="3"/>
    <n v="1"/>
    <n v="4"/>
    <x v="0"/>
    <n v="1"/>
    <n v="57636"/>
    <n v="1"/>
    <m/>
    <m/>
  </r>
  <r>
    <n v="34"/>
    <s v="Yes"/>
    <s v="Travel_Frequently"/>
    <n v="296"/>
    <s v="Sales"/>
    <n v="6"/>
    <n v="2"/>
    <s v="Marketing"/>
    <n v="1"/>
    <n v="555"/>
    <n v="4"/>
    <s v="Female"/>
    <n v="33"/>
    <n v="1"/>
    <n v="1"/>
    <s v="Sales Representative"/>
    <n v="3"/>
    <s v="Divorced"/>
    <n v="2351"/>
    <n v="12253"/>
    <n v="0"/>
    <s v="Y"/>
    <s v="No"/>
    <n v="16"/>
    <n v="3"/>
    <n v="4"/>
    <n v="80"/>
    <n v="1"/>
    <n v="3"/>
    <n v="3"/>
    <n v="2"/>
    <n v="2"/>
    <n v="2"/>
    <n v="1"/>
    <n v="0"/>
    <x v="0"/>
    <n v="1"/>
    <n v="42318"/>
    <n v="1"/>
    <m/>
    <m/>
  </r>
  <r>
    <n v="38"/>
    <s v="No"/>
    <s v="Travel_Frequently"/>
    <n v="1490"/>
    <s v="Research &amp; Development"/>
    <n v="2"/>
    <n v="2"/>
    <s v="Life Sciences"/>
    <n v="1"/>
    <n v="556"/>
    <n v="4"/>
    <s v="Male"/>
    <n v="42"/>
    <n v="3"/>
    <n v="1"/>
    <s v="Laboratory Technician"/>
    <n v="4"/>
    <s v="Married"/>
    <n v="1702"/>
    <n v="12106"/>
    <n v="1"/>
    <s v="Y"/>
    <s v="Yes"/>
    <n v="23"/>
    <n v="4"/>
    <n v="3"/>
    <n v="80"/>
    <n v="1"/>
    <n v="1"/>
    <n v="3"/>
    <n v="3"/>
    <n v="1"/>
    <n v="0"/>
    <n v="0"/>
    <n v="0"/>
    <x v="1"/>
    <n v="0"/>
    <n v="0"/>
    <n v="1"/>
    <m/>
    <m/>
  </r>
  <r>
    <n v="40"/>
    <s v="No"/>
    <s v="Travel_Rarely"/>
    <n v="1398"/>
    <s v="Sales"/>
    <n v="2"/>
    <n v="4"/>
    <s v="Life Sciences"/>
    <n v="1"/>
    <n v="558"/>
    <n v="3"/>
    <s v="Female"/>
    <n v="79"/>
    <n v="3"/>
    <n v="5"/>
    <s v="Manager"/>
    <n v="3"/>
    <s v="Married"/>
    <n v="18041"/>
    <n v="13022"/>
    <n v="0"/>
    <s v="Y"/>
    <s v="No"/>
    <n v="14"/>
    <n v="3"/>
    <n v="4"/>
    <n v="80"/>
    <n v="0"/>
    <n v="21"/>
    <n v="2"/>
    <n v="3"/>
    <n v="20"/>
    <n v="15"/>
    <n v="1"/>
    <n v="12"/>
    <x v="4"/>
    <n v="0"/>
    <n v="0"/>
    <n v="1"/>
    <m/>
    <m/>
  </r>
  <r>
    <n v="26"/>
    <s v="No"/>
    <s v="Travel_Rarely"/>
    <n v="1349"/>
    <s v="Research &amp; Development"/>
    <n v="23"/>
    <n v="3"/>
    <s v="Life Sciences"/>
    <n v="1"/>
    <n v="560"/>
    <n v="1"/>
    <s v="Female"/>
    <n v="90"/>
    <n v="3"/>
    <n v="1"/>
    <s v="Research Scientist"/>
    <n v="4"/>
    <s v="Divorced"/>
    <n v="2886"/>
    <n v="3032"/>
    <n v="1"/>
    <s v="Y"/>
    <s v="No"/>
    <n v="22"/>
    <n v="4"/>
    <n v="2"/>
    <n v="80"/>
    <n v="2"/>
    <n v="3"/>
    <n v="3"/>
    <n v="1"/>
    <n v="3"/>
    <n v="2"/>
    <n v="0"/>
    <n v="2"/>
    <x v="1"/>
    <n v="0"/>
    <n v="0"/>
    <n v="1"/>
    <m/>
    <m/>
  </r>
  <r>
    <n v="30"/>
    <s v="No"/>
    <s v="Non-Travel"/>
    <n v="1400"/>
    <s v="Research &amp; Development"/>
    <n v="3"/>
    <n v="3"/>
    <s v="Life Sciences"/>
    <n v="1"/>
    <n v="562"/>
    <n v="3"/>
    <s v="Male"/>
    <n v="53"/>
    <n v="3"/>
    <n v="1"/>
    <s v="Laboratory Technician"/>
    <n v="4"/>
    <s v="Married"/>
    <n v="2097"/>
    <n v="16734"/>
    <n v="4"/>
    <s v="Y"/>
    <s v="No"/>
    <n v="15"/>
    <n v="3"/>
    <n v="3"/>
    <n v="80"/>
    <n v="1"/>
    <n v="9"/>
    <n v="3"/>
    <n v="1"/>
    <n v="5"/>
    <n v="3"/>
    <n v="1"/>
    <n v="4"/>
    <x v="1"/>
    <n v="0"/>
    <n v="0"/>
    <n v="1"/>
    <m/>
    <m/>
  </r>
  <r>
    <n v="29"/>
    <s v="No"/>
    <s v="Travel_Rarely"/>
    <n v="986"/>
    <s v="Research &amp; Development"/>
    <n v="3"/>
    <n v="4"/>
    <s v="Medical"/>
    <n v="1"/>
    <n v="564"/>
    <n v="2"/>
    <s v="Male"/>
    <n v="93"/>
    <n v="2"/>
    <n v="3"/>
    <s v="Research Director"/>
    <n v="3"/>
    <s v="Married"/>
    <n v="11935"/>
    <n v="21526"/>
    <n v="1"/>
    <s v="Y"/>
    <s v="No"/>
    <n v="18"/>
    <n v="3"/>
    <n v="3"/>
    <n v="80"/>
    <n v="0"/>
    <n v="10"/>
    <n v="2"/>
    <n v="3"/>
    <n v="10"/>
    <n v="2"/>
    <n v="0"/>
    <n v="7"/>
    <x v="1"/>
    <n v="0"/>
    <n v="0"/>
    <n v="1"/>
    <m/>
    <m/>
  </r>
  <r>
    <n v="29"/>
    <s v="Yes"/>
    <s v="Travel_Rarely"/>
    <n v="408"/>
    <s v="Research &amp; Development"/>
    <n v="25"/>
    <n v="5"/>
    <s v="Technical Degree"/>
    <n v="1"/>
    <n v="565"/>
    <n v="3"/>
    <s v="Female"/>
    <n v="71"/>
    <n v="2"/>
    <n v="1"/>
    <s v="Research Scientist"/>
    <n v="2"/>
    <s v="Married"/>
    <n v="2546"/>
    <n v="18300"/>
    <n v="5"/>
    <s v="Y"/>
    <s v="No"/>
    <n v="16"/>
    <n v="3"/>
    <n v="2"/>
    <n v="80"/>
    <n v="0"/>
    <n v="6"/>
    <n v="2"/>
    <n v="4"/>
    <n v="2"/>
    <n v="2"/>
    <n v="1"/>
    <n v="1"/>
    <x v="1"/>
    <n v="1"/>
    <n v="45828"/>
    <n v="1"/>
    <m/>
    <m/>
  </r>
  <r>
    <n v="19"/>
    <s v="Yes"/>
    <s v="Travel_Rarely"/>
    <n v="489"/>
    <s v="Human Resources"/>
    <n v="2"/>
    <n v="2"/>
    <s v="Technical Degree"/>
    <n v="1"/>
    <n v="566"/>
    <n v="1"/>
    <s v="Male"/>
    <n v="52"/>
    <n v="2"/>
    <n v="1"/>
    <s v="Human Resources"/>
    <n v="4"/>
    <s v="Single"/>
    <n v="2564"/>
    <n v="18437"/>
    <n v="1"/>
    <s v="Y"/>
    <s v="No"/>
    <n v="12"/>
    <n v="3"/>
    <n v="3"/>
    <n v="80"/>
    <n v="0"/>
    <n v="1"/>
    <n v="3"/>
    <n v="4"/>
    <n v="1"/>
    <n v="0"/>
    <n v="0"/>
    <n v="0"/>
    <x v="5"/>
    <n v="1"/>
    <n v="46152"/>
    <n v="1"/>
    <m/>
    <m/>
  </r>
  <r>
    <n v="30"/>
    <s v="No"/>
    <s v="Non-Travel"/>
    <n v="1398"/>
    <s v="Sales"/>
    <n v="22"/>
    <n v="4"/>
    <s v="Other"/>
    <n v="1"/>
    <n v="567"/>
    <n v="3"/>
    <s v="Female"/>
    <n v="69"/>
    <n v="3"/>
    <n v="3"/>
    <s v="Sales Executive"/>
    <n v="1"/>
    <s v="Married"/>
    <n v="8412"/>
    <n v="2890"/>
    <n v="0"/>
    <s v="Y"/>
    <s v="No"/>
    <n v="11"/>
    <n v="3"/>
    <n v="3"/>
    <n v="80"/>
    <n v="0"/>
    <n v="10"/>
    <n v="3"/>
    <n v="3"/>
    <n v="9"/>
    <n v="8"/>
    <n v="7"/>
    <n v="8"/>
    <x v="0"/>
    <n v="0"/>
    <n v="0"/>
    <n v="1"/>
    <m/>
    <m/>
  </r>
  <r>
    <n v="57"/>
    <s v="No"/>
    <s v="Travel_Rarely"/>
    <n v="210"/>
    <s v="Sales"/>
    <n v="29"/>
    <n v="3"/>
    <s v="Marketing"/>
    <n v="1"/>
    <n v="568"/>
    <n v="1"/>
    <s v="Male"/>
    <n v="56"/>
    <n v="2"/>
    <n v="4"/>
    <s v="Manager"/>
    <n v="4"/>
    <s v="Divorced"/>
    <n v="14118"/>
    <n v="22102"/>
    <n v="3"/>
    <s v="Y"/>
    <s v="No"/>
    <n v="12"/>
    <n v="3"/>
    <n v="3"/>
    <n v="80"/>
    <n v="1"/>
    <n v="32"/>
    <n v="3"/>
    <n v="2"/>
    <n v="1"/>
    <n v="0"/>
    <n v="0"/>
    <n v="0"/>
    <x v="4"/>
    <n v="0"/>
    <n v="0"/>
    <n v="1"/>
    <m/>
    <m/>
  </r>
  <r>
    <n v="50"/>
    <s v="No"/>
    <s v="Travel_Rarely"/>
    <n v="1099"/>
    <s v="Research &amp; Development"/>
    <n v="29"/>
    <n v="4"/>
    <s v="Life Sciences"/>
    <n v="1"/>
    <n v="569"/>
    <n v="2"/>
    <s v="Male"/>
    <n v="88"/>
    <n v="2"/>
    <n v="4"/>
    <s v="Manager"/>
    <n v="3"/>
    <s v="Married"/>
    <n v="17046"/>
    <n v="9314"/>
    <n v="0"/>
    <s v="Y"/>
    <s v="No"/>
    <n v="15"/>
    <n v="3"/>
    <n v="2"/>
    <n v="80"/>
    <n v="1"/>
    <n v="28"/>
    <n v="2"/>
    <n v="3"/>
    <n v="27"/>
    <n v="10"/>
    <n v="15"/>
    <n v="7"/>
    <x v="4"/>
    <n v="0"/>
    <n v="0"/>
    <n v="1"/>
    <m/>
    <m/>
  </r>
  <r>
    <n v="30"/>
    <s v="No"/>
    <s v="Non-Travel"/>
    <n v="1116"/>
    <s v="Research &amp; Development"/>
    <n v="2"/>
    <n v="3"/>
    <s v="Medical"/>
    <n v="1"/>
    <n v="571"/>
    <n v="3"/>
    <s v="Female"/>
    <n v="49"/>
    <n v="3"/>
    <n v="1"/>
    <s v="Laboratory Technician"/>
    <n v="4"/>
    <s v="Single"/>
    <n v="2564"/>
    <n v="7181"/>
    <n v="0"/>
    <s v="Y"/>
    <s v="No"/>
    <n v="14"/>
    <n v="3"/>
    <n v="3"/>
    <n v="80"/>
    <n v="0"/>
    <n v="12"/>
    <n v="2"/>
    <n v="2"/>
    <n v="11"/>
    <n v="7"/>
    <n v="6"/>
    <n v="7"/>
    <x v="1"/>
    <n v="0"/>
    <n v="0"/>
    <n v="1"/>
    <m/>
    <m/>
  </r>
  <r>
    <n v="60"/>
    <s v="No"/>
    <s v="Travel_Frequently"/>
    <n v="1499"/>
    <s v="Sales"/>
    <n v="28"/>
    <n v="3"/>
    <s v="Marketing"/>
    <n v="1"/>
    <n v="573"/>
    <n v="3"/>
    <s v="Female"/>
    <n v="80"/>
    <n v="2"/>
    <n v="3"/>
    <s v="Sales Executive"/>
    <n v="1"/>
    <s v="Married"/>
    <n v="10266"/>
    <n v="2845"/>
    <n v="4"/>
    <s v="Y"/>
    <s v="No"/>
    <n v="19"/>
    <n v="3"/>
    <n v="4"/>
    <n v="80"/>
    <n v="0"/>
    <n v="22"/>
    <n v="5"/>
    <n v="4"/>
    <n v="18"/>
    <n v="13"/>
    <n v="13"/>
    <n v="11"/>
    <x v="0"/>
    <n v="0"/>
    <n v="0"/>
    <n v="1"/>
    <m/>
    <m/>
  </r>
  <r>
    <n v="47"/>
    <s v="No"/>
    <s v="Travel_Rarely"/>
    <n v="983"/>
    <s v="Research &amp; Development"/>
    <n v="2"/>
    <n v="2"/>
    <s v="Medical"/>
    <n v="1"/>
    <n v="574"/>
    <n v="1"/>
    <s v="Female"/>
    <n v="65"/>
    <n v="3"/>
    <n v="2"/>
    <s v="Manufacturing Director"/>
    <n v="4"/>
    <s v="Divorced"/>
    <n v="5070"/>
    <n v="7389"/>
    <n v="5"/>
    <s v="Y"/>
    <s v="No"/>
    <n v="13"/>
    <n v="3"/>
    <n v="3"/>
    <n v="80"/>
    <n v="3"/>
    <n v="20"/>
    <n v="2"/>
    <n v="3"/>
    <n v="5"/>
    <n v="0"/>
    <n v="0"/>
    <n v="4"/>
    <x v="2"/>
    <n v="0"/>
    <n v="0"/>
    <n v="1"/>
    <m/>
    <m/>
  </r>
  <r>
    <n v="46"/>
    <s v="No"/>
    <s v="Travel_Rarely"/>
    <n v="1009"/>
    <s v="Research &amp; Development"/>
    <n v="2"/>
    <n v="3"/>
    <s v="Life Sciences"/>
    <n v="1"/>
    <n v="575"/>
    <n v="1"/>
    <s v="Male"/>
    <n v="51"/>
    <n v="3"/>
    <n v="4"/>
    <s v="Research Director"/>
    <n v="3"/>
    <s v="Married"/>
    <n v="17861"/>
    <n v="2288"/>
    <n v="6"/>
    <s v="Y"/>
    <s v="No"/>
    <n v="13"/>
    <n v="3"/>
    <n v="3"/>
    <n v="80"/>
    <n v="0"/>
    <n v="26"/>
    <n v="2"/>
    <n v="1"/>
    <n v="3"/>
    <n v="2"/>
    <n v="0"/>
    <n v="1"/>
    <x v="1"/>
    <n v="0"/>
    <n v="0"/>
    <n v="1"/>
    <m/>
    <m/>
  </r>
  <r>
    <n v="35"/>
    <s v="No"/>
    <s v="Travel_Rarely"/>
    <n v="144"/>
    <s v="Research &amp; Development"/>
    <n v="22"/>
    <n v="3"/>
    <s v="Life Sciences"/>
    <n v="1"/>
    <n v="577"/>
    <n v="4"/>
    <s v="Male"/>
    <n v="46"/>
    <n v="1"/>
    <n v="1"/>
    <s v="Laboratory Technician"/>
    <n v="3"/>
    <s v="Single"/>
    <n v="4230"/>
    <n v="19225"/>
    <n v="0"/>
    <s v="Y"/>
    <s v="No"/>
    <n v="15"/>
    <n v="3"/>
    <n v="3"/>
    <n v="80"/>
    <n v="0"/>
    <n v="6"/>
    <n v="2"/>
    <n v="3"/>
    <n v="5"/>
    <n v="4"/>
    <n v="4"/>
    <n v="3"/>
    <x v="1"/>
    <n v="0"/>
    <n v="0"/>
    <n v="1"/>
    <m/>
    <m/>
  </r>
  <r>
    <n v="54"/>
    <s v="No"/>
    <s v="Travel_Rarely"/>
    <n v="548"/>
    <s v="Research &amp; Development"/>
    <n v="8"/>
    <n v="4"/>
    <s v="Life Sciences"/>
    <n v="1"/>
    <n v="578"/>
    <n v="3"/>
    <s v="Female"/>
    <n v="42"/>
    <n v="3"/>
    <n v="2"/>
    <s v="Laboratory Technician"/>
    <n v="3"/>
    <s v="Single"/>
    <n v="3780"/>
    <n v="23428"/>
    <n v="7"/>
    <s v="Y"/>
    <s v="No"/>
    <n v="11"/>
    <n v="3"/>
    <n v="3"/>
    <n v="80"/>
    <n v="0"/>
    <n v="19"/>
    <n v="3"/>
    <n v="3"/>
    <n v="1"/>
    <n v="0"/>
    <n v="0"/>
    <n v="0"/>
    <x v="1"/>
    <n v="0"/>
    <n v="0"/>
    <n v="1"/>
    <m/>
    <m/>
  </r>
  <r>
    <n v="34"/>
    <s v="No"/>
    <s v="Travel_Rarely"/>
    <n v="1303"/>
    <s v="Research &amp; Development"/>
    <n v="2"/>
    <n v="4"/>
    <s v="Life Sciences"/>
    <n v="1"/>
    <n v="579"/>
    <n v="4"/>
    <s v="Male"/>
    <n v="62"/>
    <n v="2"/>
    <n v="1"/>
    <s v="Research Scientist"/>
    <n v="3"/>
    <s v="Divorced"/>
    <n v="2768"/>
    <n v="8416"/>
    <n v="3"/>
    <s v="Y"/>
    <s v="No"/>
    <n v="12"/>
    <n v="3"/>
    <n v="3"/>
    <n v="80"/>
    <n v="1"/>
    <n v="14"/>
    <n v="3"/>
    <n v="3"/>
    <n v="7"/>
    <n v="3"/>
    <n v="5"/>
    <n v="7"/>
    <x v="1"/>
    <n v="0"/>
    <n v="0"/>
    <n v="1"/>
    <m/>
    <m/>
  </r>
  <r>
    <n v="46"/>
    <s v="No"/>
    <s v="Travel_Rarely"/>
    <n v="1125"/>
    <s v="Sales"/>
    <n v="10"/>
    <n v="3"/>
    <s v="Marketing"/>
    <n v="1"/>
    <n v="580"/>
    <n v="3"/>
    <s v="Female"/>
    <n v="94"/>
    <n v="2"/>
    <n v="3"/>
    <s v="Sales Executive"/>
    <n v="4"/>
    <s v="Married"/>
    <n v="9071"/>
    <n v="11563"/>
    <n v="2"/>
    <s v="Y"/>
    <s v="Yes"/>
    <n v="19"/>
    <n v="3"/>
    <n v="3"/>
    <n v="80"/>
    <n v="1"/>
    <n v="15"/>
    <n v="3"/>
    <n v="3"/>
    <n v="3"/>
    <n v="2"/>
    <n v="1"/>
    <n v="2"/>
    <x v="0"/>
    <n v="0"/>
    <n v="0"/>
    <n v="1"/>
    <m/>
    <m/>
  </r>
  <r>
    <n v="31"/>
    <s v="No"/>
    <s v="Travel_Rarely"/>
    <n v="1274"/>
    <s v="Research &amp; Development"/>
    <n v="9"/>
    <n v="1"/>
    <s v="Life Sciences"/>
    <n v="1"/>
    <n v="581"/>
    <n v="3"/>
    <s v="Male"/>
    <n v="33"/>
    <n v="3"/>
    <n v="3"/>
    <s v="Manufacturing Director"/>
    <n v="2"/>
    <s v="Divorced"/>
    <n v="10648"/>
    <n v="14394"/>
    <n v="1"/>
    <s v="Y"/>
    <s v="No"/>
    <n v="25"/>
    <n v="4"/>
    <n v="4"/>
    <n v="80"/>
    <n v="1"/>
    <n v="13"/>
    <n v="6"/>
    <n v="4"/>
    <n v="13"/>
    <n v="8"/>
    <n v="0"/>
    <n v="8"/>
    <x v="2"/>
    <n v="0"/>
    <n v="0"/>
    <n v="1"/>
    <m/>
    <m/>
  </r>
  <r>
    <n v="33"/>
    <s v="Yes"/>
    <s v="Travel_Rarely"/>
    <n v="1277"/>
    <s v="Research &amp; Development"/>
    <n v="15"/>
    <n v="1"/>
    <s v="Medical"/>
    <n v="1"/>
    <n v="582"/>
    <n v="2"/>
    <s v="Male"/>
    <n v="56"/>
    <n v="3"/>
    <n v="3"/>
    <s v="Manager"/>
    <n v="3"/>
    <s v="Married"/>
    <n v="13610"/>
    <n v="24619"/>
    <n v="7"/>
    <s v="Y"/>
    <s v="Yes"/>
    <n v="12"/>
    <n v="3"/>
    <n v="4"/>
    <n v="80"/>
    <n v="0"/>
    <n v="15"/>
    <n v="2"/>
    <n v="4"/>
    <n v="7"/>
    <n v="6"/>
    <n v="7"/>
    <n v="7"/>
    <x v="4"/>
    <n v="1"/>
    <n v="244980"/>
    <n v="1"/>
    <m/>
    <m/>
  </r>
  <r>
    <n v="33"/>
    <s v="Yes"/>
    <s v="Travel_Rarely"/>
    <n v="587"/>
    <s v="Research &amp; Development"/>
    <n v="10"/>
    <n v="1"/>
    <s v="Medical"/>
    <n v="1"/>
    <n v="584"/>
    <n v="1"/>
    <s v="Male"/>
    <n v="38"/>
    <n v="1"/>
    <n v="1"/>
    <s v="Laboratory Technician"/>
    <n v="4"/>
    <s v="Divorced"/>
    <n v="3408"/>
    <n v="6705"/>
    <n v="7"/>
    <s v="Y"/>
    <s v="No"/>
    <n v="13"/>
    <n v="3"/>
    <n v="1"/>
    <n v="80"/>
    <n v="3"/>
    <n v="8"/>
    <n v="2"/>
    <n v="3"/>
    <n v="4"/>
    <n v="3"/>
    <n v="1"/>
    <n v="3"/>
    <x v="1"/>
    <n v="1"/>
    <n v="61344"/>
    <n v="1"/>
    <m/>
    <m/>
  </r>
  <r>
    <n v="30"/>
    <s v="No"/>
    <s v="Travel_Rarely"/>
    <n v="413"/>
    <s v="Sales"/>
    <n v="7"/>
    <n v="1"/>
    <s v="Marketing"/>
    <n v="1"/>
    <n v="585"/>
    <n v="4"/>
    <s v="Male"/>
    <n v="57"/>
    <n v="3"/>
    <n v="1"/>
    <s v="Sales Representative"/>
    <n v="2"/>
    <s v="Single"/>
    <n v="2983"/>
    <n v="18398"/>
    <n v="0"/>
    <s v="Y"/>
    <s v="No"/>
    <n v="14"/>
    <n v="3"/>
    <n v="1"/>
    <n v="80"/>
    <n v="0"/>
    <n v="4"/>
    <n v="3"/>
    <n v="3"/>
    <n v="3"/>
    <n v="2"/>
    <n v="1"/>
    <n v="2"/>
    <x v="0"/>
    <n v="0"/>
    <n v="0"/>
    <n v="1"/>
    <m/>
    <m/>
  </r>
  <r>
    <n v="35"/>
    <s v="No"/>
    <s v="Travel_Rarely"/>
    <n v="1276"/>
    <s v="Research &amp; Development"/>
    <n v="16"/>
    <n v="3"/>
    <s v="Life Sciences"/>
    <n v="1"/>
    <n v="586"/>
    <n v="4"/>
    <s v="Male"/>
    <n v="72"/>
    <n v="3"/>
    <n v="3"/>
    <s v="Healthcare Representative"/>
    <n v="3"/>
    <s v="Married"/>
    <n v="7632"/>
    <n v="14295"/>
    <n v="4"/>
    <s v="Y"/>
    <s v="Yes"/>
    <n v="12"/>
    <n v="3"/>
    <n v="3"/>
    <n v="80"/>
    <n v="0"/>
    <n v="10"/>
    <n v="2"/>
    <n v="3"/>
    <n v="8"/>
    <n v="7"/>
    <n v="0"/>
    <n v="0"/>
    <x v="3"/>
    <n v="0"/>
    <n v="0"/>
    <n v="1"/>
    <m/>
    <m/>
  </r>
  <r>
    <n v="31"/>
    <s v="Yes"/>
    <s v="Travel_Frequently"/>
    <n v="534"/>
    <s v="Research &amp; Development"/>
    <n v="20"/>
    <n v="3"/>
    <s v="Life Sciences"/>
    <n v="1"/>
    <n v="587"/>
    <n v="1"/>
    <s v="Male"/>
    <n v="66"/>
    <n v="3"/>
    <n v="3"/>
    <s v="Healthcare Representative"/>
    <n v="3"/>
    <s v="Married"/>
    <n v="9824"/>
    <n v="22908"/>
    <n v="3"/>
    <s v="Y"/>
    <s v="No"/>
    <n v="12"/>
    <n v="3"/>
    <n v="1"/>
    <n v="80"/>
    <n v="0"/>
    <n v="12"/>
    <n v="2"/>
    <n v="3"/>
    <n v="1"/>
    <n v="0"/>
    <n v="0"/>
    <n v="0"/>
    <x v="3"/>
    <n v="1"/>
    <n v="176832"/>
    <n v="1"/>
    <m/>
    <m/>
  </r>
  <r>
    <n v="34"/>
    <s v="Yes"/>
    <s v="Travel_Frequently"/>
    <n v="988"/>
    <s v="Human Resources"/>
    <n v="23"/>
    <n v="3"/>
    <s v="Human Resources"/>
    <n v="1"/>
    <n v="590"/>
    <n v="2"/>
    <s v="Female"/>
    <n v="43"/>
    <n v="3"/>
    <n v="3"/>
    <s v="Human Resources"/>
    <n v="1"/>
    <s v="Divorced"/>
    <n v="9950"/>
    <n v="11533"/>
    <n v="9"/>
    <s v="Y"/>
    <s v="Yes"/>
    <n v="15"/>
    <n v="3"/>
    <n v="3"/>
    <n v="80"/>
    <n v="3"/>
    <n v="11"/>
    <n v="2"/>
    <n v="3"/>
    <n v="3"/>
    <n v="2"/>
    <n v="0"/>
    <n v="2"/>
    <x v="5"/>
    <n v="1"/>
    <n v="179100"/>
    <n v="1"/>
    <m/>
    <m/>
  </r>
  <r>
    <n v="42"/>
    <s v="No"/>
    <s v="Travel_Frequently"/>
    <n v="1474"/>
    <s v="Research &amp; Development"/>
    <n v="5"/>
    <n v="2"/>
    <s v="Other"/>
    <n v="1"/>
    <n v="591"/>
    <n v="2"/>
    <s v="Male"/>
    <n v="97"/>
    <n v="3"/>
    <n v="1"/>
    <s v="Laboratory Technician"/>
    <n v="3"/>
    <s v="Married"/>
    <n v="2093"/>
    <n v="9260"/>
    <n v="4"/>
    <s v="Y"/>
    <s v="No"/>
    <n v="17"/>
    <n v="3"/>
    <n v="4"/>
    <n v="80"/>
    <n v="1"/>
    <n v="8"/>
    <n v="4"/>
    <n v="3"/>
    <n v="2"/>
    <n v="2"/>
    <n v="2"/>
    <n v="0"/>
    <x v="1"/>
    <n v="0"/>
    <n v="0"/>
    <n v="1"/>
    <m/>
    <m/>
  </r>
  <r>
    <n v="36"/>
    <s v="No"/>
    <s v="Non-Travel"/>
    <n v="635"/>
    <s v="Sales"/>
    <n v="10"/>
    <n v="4"/>
    <s v="Medical"/>
    <n v="1"/>
    <n v="592"/>
    <n v="2"/>
    <s v="Male"/>
    <n v="32"/>
    <n v="3"/>
    <n v="3"/>
    <s v="Sales Executive"/>
    <n v="4"/>
    <s v="Single"/>
    <n v="9980"/>
    <n v="15318"/>
    <n v="1"/>
    <s v="Y"/>
    <s v="No"/>
    <n v="14"/>
    <n v="3"/>
    <n v="4"/>
    <n v="80"/>
    <n v="0"/>
    <n v="10"/>
    <n v="3"/>
    <n v="2"/>
    <n v="10"/>
    <n v="3"/>
    <n v="9"/>
    <n v="7"/>
    <x v="0"/>
    <n v="0"/>
    <n v="0"/>
    <n v="1"/>
    <m/>
    <m/>
  </r>
  <r>
    <n v="22"/>
    <s v="Yes"/>
    <s v="Travel_Frequently"/>
    <n v="1368"/>
    <s v="Research &amp; Development"/>
    <n v="4"/>
    <n v="1"/>
    <s v="Technical Degree"/>
    <n v="1"/>
    <n v="593"/>
    <n v="3"/>
    <s v="Male"/>
    <n v="99"/>
    <n v="2"/>
    <n v="1"/>
    <s v="Laboratory Technician"/>
    <n v="3"/>
    <s v="Single"/>
    <n v="3894"/>
    <n v="9129"/>
    <n v="5"/>
    <s v="Y"/>
    <s v="No"/>
    <n v="16"/>
    <n v="3"/>
    <n v="3"/>
    <n v="80"/>
    <n v="0"/>
    <n v="4"/>
    <n v="3"/>
    <n v="3"/>
    <n v="2"/>
    <n v="2"/>
    <n v="1"/>
    <n v="2"/>
    <x v="1"/>
    <n v="1"/>
    <n v="70092"/>
    <n v="1"/>
    <m/>
    <m/>
  </r>
  <r>
    <n v="48"/>
    <s v="No"/>
    <s v="Travel_Rarely"/>
    <n v="163"/>
    <s v="Sales"/>
    <n v="2"/>
    <n v="5"/>
    <s v="Marketing"/>
    <n v="1"/>
    <n v="595"/>
    <n v="2"/>
    <s v="Female"/>
    <n v="37"/>
    <n v="3"/>
    <n v="2"/>
    <s v="Sales Executive"/>
    <n v="4"/>
    <s v="Married"/>
    <n v="4051"/>
    <n v="19658"/>
    <n v="2"/>
    <s v="Y"/>
    <s v="No"/>
    <n v="14"/>
    <n v="3"/>
    <n v="1"/>
    <n v="80"/>
    <n v="1"/>
    <n v="14"/>
    <n v="2"/>
    <n v="3"/>
    <n v="9"/>
    <n v="7"/>
    <n v="6"/>
    <n v="7"/>
    <x v="0"/>
    <n v="0"/>
    <n v="0"/>
    <n v="1"/>
    <m/>
    <m/>
  </r>
  <r>
    <n v="55"/>
    <s v="No"/>
    <s v="Travel_Rarely"/>
    <n v="1117"/>
    <s v="Sales"/>
    <n v="18"/>
    <n v="5"/>
    <s v="Life Sciences"/>
    <n v="1"/>
    <n v="597"/>
    <n v="1"/>
    <s v="Female"/>
    <n v="83"/>
    <n v="3"/>
    <n v="4"/>
    <s v="Manager"/>
    <n v="2"/>
    <s v="Single"/>
    <n v="16835"/>
    <n v="9873"/>
    <n v="3"/>
    <s v="Y"/>
    <s v="No"/>
    <n v="23"/>
    <n v="4"/>
    <n v="4"/>
    <n v="80"/>
    <n v="0"/>
    <n v="37"/>
    <n v="2"/>
    <n v="3"/>
    <n v="10"/>
    <n v="9"/>
    <n v="7"/>
    <n v="7"/>
    <x v="4"/>
    <n v="0"/>
    <n v="0"/>
    <n v="1"/>
    <m/>
    <m/>
  </r>
  <r>
    <n v="41"/>
    <s v="No"/>
    <s v="Non-Travel"/>
    <n v="267"/>
    <s v="Sales"/>
    <n v="10"/>
    <n v="2"/>
    <s v="Life Sciences"/>
    <n v="1"/>
    <n v="599"/>
    <n v="4"/>
    <s v="Male"/>
    <n v="56"/>
    <n v="3"/>
    <n v="2"/>
    <s v="Sales Executive"/>
    <n v="4"/>
    <s v="Single"/>
    <n v="6230"/>
    <n v="13430"/>
    <n v="7"/>
    <s v="Y"/>
    <s v="No"/>
    <n v="14"/>
    <n v="3"/>
    <n v="4"/>
    <n v="80"/>
    <n v="0"/>
    <n v="16"/>
    <n v="3"/>
    <n v="3"/>
    <n v="14"/>
    <n v="3"/>
    <n v="1"/>
    <n v="10"/>
    <x v="0"/>
    <n v="0"/>
    <n v="0"/>
    <n v="1"/>
    <m/>
    <m/>
  </r>
  <r>
    <n v="35"/>
    <s v="No"/>
    <s v="Travel_Rarely"/>
    <n v="619"/>
    <s v="Sales"/>
    <n v="1"/>
    <n v="3"/>
    <s v="Marketing"/>
    <n v="1"/>
    <n v="600"/>
    <n v="2"/>
    <s v="Male"/>
    <n v="85"/>
    <n v="3"/>
    <n v="2"/>
    <s v="Sales Executive"/>
    <n v="3"/>
    <s v="Married"/>
    <n v="4717"/>
    <n v="18659"/>
    <n v="9"/>
    <s v="Y"/>
    <s v="No"/>
    <n v="11"/>
    <n v="3"/>
    <n v="3"/>
    <n v="80"/>
    <n v="0"/>
    <n v="15"/>
    <n v="2"/>
    <n v="3"/>
    <n v="11"/>
    <n v="9"/>
    <n v="6"/>
    <n v="9"/>
    <x v="0"/>
    <n v="0"/>
    <n v="0"/>
    <n v="1"/>
    <m/>
    <m/>
  </r>
  <r>
    <n v="40"/>
    <s v="No"/>
    <s v="Travel_Rarely"/>
    <n v="302"/>
    <s v="Research &amp; Development"/>
    <n v="6"/>
    <n v="3"/>
    <s v="Life Sciences"/>
    <n v="1"/>
    <n v="601"/>
    <n v="2"/>
    <s v="Female"/>
    <n v="75"/>
    <n v="3"/>
    <n v="4"/>
    <s v="Manufacturing Director"/>
    <n v="3"/>
    <s v="Single"/>
    <n v="13237"/>
    <n v="20364"/>
    <n v="7"/>
    <s v="Y"/>
    <s v="No"/>
    <n v="15"/>
    <n v="3"/>
    <n v="3"/>
    <n v="80"/>
    <n v="0"/>
    <n v="22"/>
    <n v="3"/>
    <n v="3"/>
    <n v="20"/>
    <n v="6"/>
    <n v="5"/>
    <n v="13"/>
    <x v="2"/>
    <n v="0"/>
    <n v="0"/>
    <n v="1"/>
    <m/>
    <m/>
  </r>
  <r>
    <n v="39"/>
    <s v="No"/>
    <s v="Travel_Frequently"/>
    <n v="443"/>
    <s v="Research &amp; Development"/>
    <n v="8"/>
    <n v="1"/>
    <s v="Life Sciences"/>
    <n v="1"/>
    <n v="602"/>
    <n v="3"/>
    <s v="Female"/>
    <n v="48"/>
    <n v="3"/>
    <n v="1"/>
    <s v="Laboratory Technician"/>
    <n v="3"/>
    <s v="Married"/>
    <n v="3755"/>
    <n v="17872"/>
    <n v="1"/>
    <s v="Y"/>
    <s v="No"/>
    <n v="11"/>
    <n v="3"/>
    <n v="1"/>
    <n v="80"/>
    <n v="1"/>
    <n v="8"/>
    <n v="3"/>
    <n v="3"/>
    <n v="8"/>
    <n v="3"/>
    <n v="0"/>
    <n v="7"/>
    <x v="1"/>
    <n v="0"/>
    <n v="0"/>
    <n v="1"/>
    <m/>
    <m/>
  </r>
  <r>
    <n v="31"/>
    <s v="No"/>
    <s v="Travel_Rarely"/>
    <n v="828"/>
    <s v="Sales"/>
    <n v="2"/>
    <n v="1"/>
    <s v="Life Sciences"/>
    <n v="1"/>
    <n v="604"/>
    <n v="2"/>
    <s v="Male"/>
    <n v="77"/>
    <n v="3"/>
    <n v="2"/>
    <s v="Sales Executive"/>
    <n v="4"/>
    <s v="Single"/>
    <n v="6582"/>
    <n v="8346"/>
    <n v="4"/>
    <s v="Y"/>
    <s v="Yes"/>
    <n v="13"/>
    <n v="3"/>
    <n v="3"/>
    <n v="80"/>
    <n v="0"/>
    <n v="10"/>
    <n v="2"/>
    <n v="4"/>
    <n v="6"/>
    <n v="5"/>
    <n v="0"/>
    <n v="5"/>
    <x v="0"/>
    <n v="0"/>
    <n v="0"/>
    <n v="1"/>
    <m/>
    <m/>
  </r>
  <r>
    <n v="42"/>
    <s v="No"/>
    <s v="Travel_Rarely"/>
    <n v="319"/>
    <s v="Research &amp; Development"/>
    <n v="24"/>
    <n v="3"/>
    <s v="Medical"/>
    <n v="1"/>
    <n v="605"/>
    <n v="4"/>
    <s v="Male"/>
    <n v="56"/>
    <n v="3"/>
    <n v="3"/>
    <s v="Manufacturing Director"/>
    <n v="1"/>
    <s v="Married"/>
    <n v="7406"/>
    <n v="6950"/>
    <n v="1"/>
    <s v="Y"/>
    <s v="Yes"/>
    <n v="21"/>
    <n v="4"/>
    <n v="4"/>
    <n v="80"/>
    <n v="1"/>
    <n v="10"/>
    <n v="5"/>
    <n v="2"/>
    <n v="10"/>
    <n v="9"/>
    <n v="5"/>
    <n v="8"/>
    <x v="2"/>
    <n v="0"/>
    <n v="0"/>
    <n v="1"/>
    <m/>
    <m/>
  </r>
  <r>
    <n v="45"/>
    <s v="No"/>
    <s v="Travel_Rarely"/>
    <n v="561"/>
    <s v="Sales"/>
    <n v="2"/>
    <n v="3"/>
    <s v="Other"/>
    <n v="1"/>
    <n v="606"/>
    <n v="4"/>
    <s v="Male"/>
    <n v="61"/>
    <n v="3"/>
    <n v="2"/>
    <s v="Sales Executive"/>
    <n v="2"/>
    <s v="Married"/>
    <n v="4805"/>
    <n v="16177"/>
    <n v="0"/>
    <s v="Y"/>
    <s v="No"/>
    <n v="19"/>
    <n v="3"/>
    <n v="2"/>
    <n v="80"/>
    <n v="1"/>
    <n v="9"/>
    <n v="3"/>
    <n v="4"/>
    <n v="8"/>
    <n v="7"/>
    <n v="3"/>
    <n v="7"/>
    <x v="0"/>
    <n v="0"/>
    <n v="0"/>
    <n v="1"/>
    <m/>
    <m/>
  </r>
  <r>
    <n v="26"/>
    <s v="Yes"/>
    <s v="Travel_Frequently"/>
    <n v="426"/>
    <s v="Human Resources"/>
    <n v="17"/>
    <n v="4"/>
    <s v="Life Sciences"/>
    <n v="1"/>
    <n v="608"/>
    <n v="2"/>
    <s v="Female"/>
    <n v="58"/>
    <n v="3"/>
    <n v="1"/>
    <s v="Human Resources"/>
    <n v="3"/>
    <s v="Divorced"/>
    <n v="2741"/>
    <n v="22808"/>
    <n v="0"/>
    <s v="Y"/>
    <s v="Yes"/>
    <n v="11"/>
    <n v="3"/>
    <n v="2"/>
    <n v="80"/>
    <n v="1"/>
    <n v="8"/>
    <n v="2"/>
    <n v="2"/>
    <n v="7"/>
    <n v="7"/>
    <n v="1"/>
    <n v="0"/>
    <x v="5"/>
    <n v="1"/>
    <n v="49338"/>
    <n v="1"/>
    <m/>
    <m/>
  </r>
  <r>
    <n v="29"/>
    <s v="No"/>
    <s v="Travel_Rarely"/>
    <n v="232"/>
    <s v="Research &amp; Development"/>
    <n v="19"/>
    <n v="3"/>
    <s v="Technical Degree"/>
    <n v="1"/>
    <n v="611"/>
    <n v="4"/>
    <s v="Male"/>
    <n v="34"/>
    <n v="3"/>
    <n v="2"/>
    <s v="Manufacturing Director"/>
    <n v="4"/>
    <s v="Divorced"/>
    <n v="4262"/>
    <n v="22645"/>
    <n v="4"/>
    <s v="Y"/>
    <s v="No"/>
    <n v="12"/>
    <n v="3"/>
    <n v="2"/>
    <n v="80"/>
    <n v="2"/>
    <n v="8"/>
    <n v="2"/>
    <n v="4"/>
    <n v="3"/>
    <n v="2"/>
    <n v="1"/>
    <n v="2"/>
    <x v="2"/>
    <n v="0"/>
    <n v="0"/>
    <n v="1"/>
    <m/>
    <m/>
  </r>
  <r>
    <n v="33"/>
    <s v="No"/>
    <s v="Travel_Rarely"/>
    <n v="922"/>
    <s v="Research &amp; Development"/>
    <n v="1"/>
    <n v="5"/>
    <s v="Medical"/>
    <n v="1"/>
    <n v="612"/>
    <n v="1"/>
    <s v="Female"/>
    <n v="95"/>
    <n v="4"/>
    <n v="4"/>
    <s v="Research Director"/>
    <n v="3"/>
    <s v="Divorced"/>
    <n v="16184"/>
    <n v="22578"/>
    <n v="4"/>
    <s v="Y"/>
    <s v="No"/>
    <n v="19"/>
    <n v="3"/>
    <n v="3"/>
    <n v="80"/>
    <n v="1"/>
    <n v="10"/>
    <n v="2"/>
    <n v="3"/>
    <n v="6"/>
    <n v="1"/>
    <n v="0"/>
    <n v="5"/>
    <x v="1"/>
    <n v="0"/>
    <n v="0"/>
    <n v="1"/>
    <m/>
    <m/>
  </r>
  <r>
    <n v="31"/>
    <s v="No"/>
    <s v="Travel_Rarely"/>
    <n v="688"/>
    <s v="Sales"/>
    <n v="7"/>
    <n v="3"/>
    <s v="Life Sciences"/>
    <n v="1"/>
    <n v="613"/>
    <n v="3"/>
    <s v="Male"/>
    <n v="44"/>
    <n v="2"/>
    <n v="3"/>
    <s v="Manager"/>
    <n v="4"/>
    <s v="Divorced"/>
    <n v="11557"/>
    <n v="25291"/>
    <n v="9"/>
    <s v="Y"/>
    <s v="No"/>
    <n v="21"/>
    <n v="4"/>
    <n v="3"/>
    <n v="80"/>
    <n v="1"/>
    <n v="10"/>
    <n v="3"/>
    <n v="2"/>
    <n v="5"/>
    <n v="4"/>
    <n v="0"/>
    <n v="1"/>
    <x v="4"/>
    <n v="0"/>
    <n v="0"/>
    <n v="1"/>
    <m/>
    <m/>
  </r>
  <r>
    <n v="18"/>
    <s v="Yes"/>
    <s v="Travel_Frequently"/>
    <n v="1306"/>
    <s v="Sales"/>
    <n v="5"/>
    <n v="3"/>
    <s v="Marketing"/>
    <n v="1"/>
    <n v="614"/>
    <n v="2"/>
    <s v="Male"/>
    <n v="69"/>
    <n v="3"/>
    <n v="1"/>
    <s v="Sales Representative"/>
    <n v="2"/>
    <s v="Single"/>
    <n v="1878"/>
    <n v="8059"/>
    <n v="1"/>
    <s v="Y"/>
    <s v="Yes"/>
    <n v="14"/>
    <n v="3"/>
    <n v="4"/>
    <n v="80"/>
    <n v="0"/>
    <n v="0"/>
    <n v="3"/>
    <n v="3"/>
    <n v="0"/>
    <n v="0"/>
    <n v="0"/>
    <n v="0"/>
    <x v="0"/>
    <n v="1"/>
    <n v="33804"/>
    <n v="1"/>
    <m/>
    <m/>
  </r>
  <r>
    <n v="40"/>
    <s v="No"/>
    <s v="Non-Travel"/>
    <n v="1094"/>
    <s v="Sales"/>
    <n v="28"/>
    <n v="3"/>
    <s v="Other"/>
    <n v="1"/>
    <n v="615"/>
    <n v="3"/>
    <s v="Male"/>
    <n v="58"/>
    <n v="1"/>
    <n v="3"/>
    <s v="Sales Executive"/>
    <n v="1"/>
    <s v="Divorced"/>
    <n v="10932"/>
    <n v="11373"/>
    <n v="3"/>
    <s v="Y"/>
    <s v="No"/>
    <n v="15"/>
    <n v="3"/>
    <n v="3"/>
    <n v="80"/>
    <n v="1"/>
    <n v="20"/>
    <n v="2"/>
    <n v="3"/>
    <n v="1"/>
    <n v="0"/>
    <n v="0"/>
    <n v="1"/>
    <x v="0"/>
    <n v="0"/>
    <n v="0"/>
    <n v="1"/>
    <m/>
    <m/>
  </r>
  <r>
    <n v="41"/>
    <s v="No"/>
    <s v="Non-Travel"/>
    <n v="509"/>
    <s v="Research &amp; Development"/>
    <n v="2"/>
    <n v="4"/>
    <s v="Other"/>
    <n v="1"/>
    <n v="616"/>
    <n v="1"/>
    <s v="Female"/>
    <n v="62"/>
    <n v="2"/>
    <n v="2"/>
    <s v="Healthcare Representative"/>
    <n v="3"/>
    <s v="Single"/>
    <n v="6811"/>
    <n v="2112"/>
    <n v="2"/>
    <s v="Y"/>
    <s v="Yes"/>
    <n v="17"/>
    <n v="3"/>
    <n v="1"/>
    <n v="80"/>
    <n v="0"/>
    <n v="10"/>
    <n v="3"/>
    <n v="3"/>
    <n v="8"/>
    <n v="7"/>
    <n v="0"/>
    <n v="7"/>
    <x v="3"/>
    <n v="0"/>
    <n v="0"/>
    <n v="1"/>
    <m/>
    <m/>
  </r>
  <r>
    <n v="26"/>
    <s v="No"/>
    <s v="Travel_Rarely"/>
    <n v="775"/>
    <s v="Sales"/>
    <n v="29"/>
    <n v="2"/>
    <s v="Medical"/>
    <n v="1"/>
    <n v="618"/>
    <n v="1"/>
    <s v="Male"/>
    <n v="45"/>
    <n v="3"/>
    <n v="2"/>
    <s v="Sales Executive"/>
    <n v="3"/>
    <s v="Divorced"/>
    <n v="4306"/>
    <n v="4267"/>
    <n v="5"/>
    <s v="Y"/>
    <s v="No"/>
    <n v="12"/>
    <n v="3"/>
    <n v="1"/>
    <n v="80"/>
    <n v="2"/>
    <n v="8"/>
    <n v="5"/>
    <n v="3"/>
    <n v="0"/>
    <n v="0"/>
    <n v="0"/>
    <n v="0"/>
    <x v="0"/>
    <n v="0"/>
    <n v="0"/>
    <n v="1"/>
    <m/>
    <m/>
  </r>
  <r>
    <n v="35"/>
    <s v="No"/>
    <s v="Travel_Rarely"/>
    <n v="195"/>
    <s v="Sales"/>
    <n v="1"/>
    <n v="3"/>
    <s v="Medical"/>
    <n v="1"/>
    <n v="620"/>
    <n v="1"/>
    <s v="Female"/>
    <n v="80"/>
    <n v="3"/>
    <n v="2"/>
    <s v="Sales Executive"/>
    <n v="3"/>
    <s v="Single"/>
    <n v="4859"/>
    <n v="6698"/>
    <n v="1"/>
    <s v="Y"/>
    <s v="No"/>
    <n v="16"/>
    <n v="3"/>
    <n v="4"/>
    <n v="80"/>
    <n v="0"/>
    <n v="5"/>
    <n v="3"/>
    <n v="3"/>
    <n v="5"/>
    <n v="4"/>
    <n v="0"/>
    <n v="3"/>
    <x v="0"/>
    <n v="0"/>
    <n v="0"/>
    <n v="1"/>
    <m/>
    <m/>
  </r>
  <r>
    <n v="34"/>
    <s v="No"/>
    <s v="Travel_Rarely"/>
    <n v="258"/>
    <s v="Sales"/>
    <n v="21"/>
    <n v="4"/>
    <s v="Life Sciences"/>
    <n v="1"/>
    <n v="621"/>
    <n v="4"/>
    <s v="Male"/>
    <n v="74"/>
    <n v="4"/>
    <n v="2"/>
    <s v="Sales Executive"/>
    <n v="4"/>
    <s v="Single"/>
    <n v="5337"/>
    <n v="19921"/>
    <n v="1"/>
    <s v="Y"/>
    <s v="No"/>
    <n v="12"/>
    <n v="3"/>
    <n v="4"/>
    <n v="80"/>
    <n v="0"/>
    <n v="10"/>
    <n v="3"/>
    <n v="3"/>
    <n v="10"/>
    <n v="7"/>
    <n v="5"/>
    <n v="7"/>
    <x v="0"/>
    <n v="0"/>
    <n v="0"/>
    <n v="1"/>
    <m/>
    <m/>
  </r>
  <r>
    <n v="26"/>
    <s v="Yes"/>
    <s v="Travel_Rarely"/>
    <n v="471"/>
    <s v="Research &amp; Development"/>
    <n v="24"/>
    <n v="3"/>
    <s v="Technical Degree"/>
    <n v="1"/>
    <n v="622"/>
    <n v="3"/>
    <s v="Male"/>
    <n v="66"/>
    <n v="1"/>
    <n v="1"/>
    <s v="Laboratory Technician"/>
    <n v="4"/>
    <s v="Single"/>
    <n v="2340"/>
    <n v="23213"/>
    <n v="1"/>
    <s v="Y"/>
    <s v="Yes"/>
    <n v="18"/>
    <n v="3"/>
    <n v="2"/>
    <n v="80"/>
    <n v="0"/>
    <n v="1"/>
    <n v="3"/>
    <n v="1"/>
    <n v="1"/>
    <n v="0"/>
    <n v="0"/>
    <n v="0"/>
    <x v="1"/>
    <n v="1"/>
    <n v="42120"/>
    <n v="1"/>
    <m/>
    <m/>
  </r>
  <r>
    <n v="37"/>
    <s v="No"/>
    <s v="Travel_Rarely"/>
    <n v="799"/>
    <s v="Research &amp; Development"/>
    <n v="1"/>
    <n v="3"/>
    <s v="Technical Degree"/>
    <n v="1"/>
    <n v="623"/>
    <n v="2"/>
    <s v="Female"/>
    <n v="59"/>
    <n v="3"/>
    <n v="3"/>
    <s v="Manufacturing Director"/>
    <n v="4"/>
    <s v="Single"/>
    <n v="7491"/>
    <n v="23848"/>
    <n v="4"/>
    <s v="Y"/>
    <s v="No"/>
    <n v="17"/>
    <n v="3"/>
    <n v="4"/>
    <n v="80"/>
    <n v="0"/>
    <n v="12"/>
    <n v="3"/>
    <n v="4"/>
    <n v="6"/>
    <n v="5"/>
    <n v="1"/>
    <n v="2"/>
    <x v="2"/>
    <n v="0"/>
    <n v="0"/>
    <n v="1"/>
    <m/>
    <m/>
  </r>
  <r>
    <n v="46"/>
    <s v="No"/>
    <s v="Travel_Frequently"/>
    <n v="1034"/>
    <s v="Research &amp; Development"/>
    <n v="18"/>
    <n v="1"/>
    <s v="Medical"/>
    <n v="1"/>
    <n v="624"/>
    <n v="1"/>
    <s v="Female"/>
    <n v="86"/>
    <n v="3"/>
    <n v="3"/>
    <s v="Healthcare Representative"/>
    <n v="3"/>
    <s v="Married"/>
    <n v="10527"/>
    <n v="8984"/>
    <n v="5"/>
    <s v="Y"/>
    <s v="No"/>
    <n v="11"/>
    <n v="3"/>
    <n v="4"/>
    <n v="80"/>
    <n v="0"/>
    <n v="28"/>
    <n v="3"/>
    <n v="2"/>
    <n v="2"/>
    <n v="2"/>
    <n v="1"/>
    <n v="2"/>
    <x v="3"/>
    <n v="0"/>
    <n v="0"/>
    <n v="1"/>
    <m/>
    <m/>
  </r>
  <r>
    <n v="41"/>
    <s v="No"/>
    <s v="Travel_Rarely"/>
    <n v="1276"/>
    <s v="Sales"/>
    <n v="2"/>
    <n v="5"/>
    <s v="Life Sciences"/>
    <n v="1"/>
    <n v="625"/>
    <n v="2"/>
    <s v="Female"/>
    <n v="91"/>
    <n v="3"/>
    <n v="4"/>
    <s v="Manager"/>
    <n v="1"/>
    <s v="Married"/>
    <n v="16595"/>
    <n v="5626"/>
    <n v="7"/>
    <s v="Y"/>
    <s v="No"/>
    <n v="16"/>
    <n v="3"/>
    <n v="2"/>
    <n v="80"/>
    <n v="1"/>
    <n v="22"/>
    <n v="2"/>
    <n v="3"/>
    <n v="18"/>
    <n v="16"/>
    <n v="11"/>
    <n v="8"/>
    <x v="4"/>
    <n v="0"/>
    <n v="0"/>
    <n v="1"/>
    <m/>
    <m/>
  </r>
  <r>
    <n v="37"/>
    <s v="No"/>
    <s v="Non-Travel"/>
    <n v="142"/>
    <s v="Sales"/>
    <n v="9"/>
    <n v="4"/>
    <s v="Medical"/>
    <n v="1"/>
    <n v="626"/>
    <n v="1"/>
    <s v="Male"/>
    <n v="69"/>
    <n v="3"/>
    <n v="3"/>
    <s v="Sales Executive"/>
    <n v="2"/>
    <s v="Divorced"/>
    <n v="8834"/>
    <n v="24666"/>
    <n v="1"/>
    <s v="Y"/>
    <s v="No"/>
    <n v="13"/>
    <n v="3"/>
    <n v="4"/>
    <n v="80"/>
    <n v="1"/>
    <n v="9"/>
    <n v="6"/>
    <n v="3"/>
    <n v="9"/>
    <n v="5"/>
    <n v="7"/>
    <n v="7"/>
    <x v="0"/>
    <n v="0"/>
    <n v="0"/>
    <n v="1"/>
    <m/>
    <m/>
  </r>
  <r>
    <n v="52"/>
    <s v="No"/>
    <s v="Travel_Rarely"/>
    <n v="956"/>
    <s v="Research &amp; Development"/>
    <n v="6"/>
    <n v="2"/>
    <s v="Technical Degree"/>
    <n v="1"/>
    <n v="630"/>
    <n v="4"/>
    <s v="Male"/>
    <n v="78"/>
    <n v="3"/>
    <n v="2"/>
    <s v="Research Scientist"/>
    <n v="1"/>
    <s v="Divorced"/>
    <n v="5577"/>
    <n v="22087"/>
    <n v="3"/>
    <s v="Y"/>
    <s v="Yes"/>
    <n v="12"/>
    <n v="3"/>
    <n v="2"/>
    <n v="80"/>
    <n v="2"/>
    <n v="18"/>
    <n v="3"/>
    <n v="3"/>
    <n v="10"/>
    <n v="9"/>
    <n v="6"/>
    <n v="9"/>
    <x v="1"/>
    <n v="0"/>
    <n v="0"/>
    <n v="1"/>
    <m/>
    <m/>
  </r>
  <r>
    <n v="32"/>
    <s v="Yes"/>
    <s v="Non-Travel"/>
    <n v="1474"/>
    <s v="Sales"/>
    <n v="11"/>
    <n v="4"/>
    <s v="Other"/>
    <n v="1"/>
    <n v="631"/>
    <n v="4"/>
    <s v="Male"/>
    <n v="60"/>
    <n v="4"/>
    <n v="2"/>
    <s v="Sales Executive"/>
    <n v="3"/>
    <s v="Married"/>
    <n v="4707"/>
    <n v="23914"/>
    <n v="8"/>
    <s v="Y"/>
    <s v="No"/>
    <n v="12"/>
    <n v="3"/>
    <n v="4"/>
    <n v="80"/>
    <n v="0"/>
    <n v="6"/>
    <n v="2"/>
    <n v="3"/>
    <n v="4"/>
    <n v="2"/>
    <n v="1"/>
    <n v="2"/>
    <x v="0"/>
    <n v="1"/>
    <n v="84726"/>
    <n v="1"/>
    <m/>
    <m/>
  </r>
  <r>
    <n v="24"/>
    <s v="No"/>
    <s v="Travel_Frequently"/>
    <n v="535"/>
    <s v="Sales"/>
    <n v="24"/>
    <n v="3"/>
    <s v="Medical"/>
    <n v="1"/>
    <n v="632"/>
    <n v="4"/>
    <s v="Male"/>
    <n v="38"/>
    <n v="3"/>
    <n v="1"/>
    <s v="Sales Representative"/>
    <n v="4"/>
    <s v="Married"/>
    <n v="2400"/>
    <n v="5530"/>
    <n v="0"/>
    <s v="Y"/>
    <s v="No"/>
    <n v="13"/>
    <n v="3"/>
    <n v="3"/>
    <n v="80"/>
    <n v="2"/>
    <n v="3"/>
    <n v="3"/>
    <n v="3"/>
    <n v="2"/>
    <n v="2"/>
    <n v="2"/>
    <n v="1"/>
    <x v="0"/>
    <n v="0"/>
    <n v="0"/>
    <n v="1"/>
    <m/>
    <m/>
  </r>
  <r>
    <n v="38"/>
    <s v="No"/>
    <s v="Travel_Rarely"/>
    <n v="1495"/>
    <s v="Research &amp; Development"/>
    <n v="10"/>
    <n v="3"/>
    <s v="Medical"/>
    <n v="1"/>
    <n v="634"/>
    <n v="3"/>
    <s v="Female"/>
    <n v="76"/>
    <n v="3"/>
    <n v="2"/>
    <s v="Healthcare Representative"/>
    <n v="3"/>
    <s v="Married"/>
    <n v="9824"/>
    <n v="22174"/>
    <n v="3"/>
    <s v="Y"/>
    <s v="No"/>
    <n v="19"/>
    <n v="3"/>
    <n v="3"/>
    <n v="80"/>
    <n v="1"/>
    <n v="18"/>
    <n v="4"/>
    <n v="3"/>
    <n v="1"/>
    <n v="0"/>
    <n v="0"/>
    <n v="0"/>
    <x v="3"/>
    <n v="0"/>
    <n v="0"/>
    <n v="1"/>
    <m/>
    <m/>
  </r>
  <r>
    <n v="37"/>
    <s v="No"/>
    <s v="Travel_Rarely"/>
    <n v="446"/>
    <s v="Research &amp; Development"/>
    <n v="1"/>
    <n v="4"/>
    <s v="Life Sciences"/>
    <n v="1"/>
    <n v="635"/>
    <n v="2"/>
    <s v="Female"/>
    <n v="65"/>
    <n v="3"/>
    <n v="2"/>
    <s v="Manufacturing Director"/>
    <n v="2"/>
    <s v="Married"/>
    <n v="6447"/>
    <n v="15701"/>
    <n v="6"/>
    <s v="Y"/>
    <s v="No"/>
    <n v="12"/>
    <n v="3"/>
    <n v="2"/>
    <n v="80"/>
    <n v="1"/>
    <n v="8"/>
    <n v="2"/>
    <n v="2"/>
    <n v="6"/>
    <n v="5"/>
    <n v="4"/>
    <n v="3"/>
    <x v="2"/>
    <n v="0"/>
    <n v="0"/>
    <n v="1"/>
    <m/>
    <m/>
  </r>
  <r>
    <n v="49"/>
    <s v="No"/>
    <s v="Travel_Rarely"/>
    <n v="1245"/>
    <s v="Research &amp; Development"/>
    <n v="18"/>
    <n v="4"/>
    <s v="Life Sciences"/>
    <n v="1"/>
    <n v="638"/>
    <n v="4"/>
    <s v="Male"/>
    <n v="58"/>
    <n v="2"/>
    <n v="5"/>
    <s v="Research Director"/>
    <n v="3"/>
    <s v="Divorced"/>
    <n v="19502"/>
    <n v="2125"/>
    <n v="1"/>
    <s v="Y"/>
    <s v="Yes"/>
    <n v="17"/>
    <n v="3"/>
    <n v="3"/>
    <n v="80"/>
    <n v="1"/>
    <n v="31"/>
    <n v="5"/>
    <n v="3"/>
    <n v="31"/>
    <n v="9"/>
    <n v="0"/>
    <n v="9"/>
    <x v="1"/>
    <n v="0"/>
    <n v="0"/>
    <n v="1"/>
    <m/>
    <m/>
  </r>
  <r>
    <n v="24"/>
    <s v="No"/>
    <s v="Travel_Rarely"/>
    <n v="691"/>
    <s v="Research &amp; Development"/>
    <n v="23"/>
    <n v="3"/>
    <s v="Medical"/>
    <n v="1"/>
    <n v="639"/>
    <n v="2"/>
    <s v="Male"/>
    <n v="89"/>
    <n v="4"/>
    <n v="1"/>
    <s v="Research Scientist"/>
    <n v="4"/>
    <s v="Married"/>
    <n v="2725"/>
    <n v="21630"/>
    <n v="1"/>
    <s v="Y"/>
    <s v="Yes"/>
    <n v="11"/>
    <n v="3"/>
    <n v="2"/>
    <n v="80"/>
    <n v="2"/>
    <n v="6"/>
    <n v="3"/>
    <n v="3"/>
    <n v="6"/>
    <n v="5"/>
    <n v="1"/>
    <n v="4"/>
    <x v="1"/>
    <n v="0"/>
    <n v="0"/>
    <n v="1"/>
    <m/>
    <m/>
  </r>
  <r>
    <n v="26"/>
    <s v="No"/>
    <s v="Travel_Rarely"/>
    <n v="703"/>
    <s v="Sales"/>
    <n v="28"/>
    <n v="2"/>
    <s v="Marketing"/>
    <n v="1"/>
    <n v="641"/>
    <n v="1"/>
    <s v="Male"/>
    <n v="66"/>
    <n v="3"/>
    <n v="2"/>
    <s v="Sales Executive"/>
    <n v="2"/>
    <s v="Married"/>
    <n v="6272"/>
    <n v="7428"/>
    <n v="1"/>
    <s v="Y"/>
    <s v="No"/>
    <n v="20"/>
    <n v="4"/>
    <n v="4"/>
    <n v="80"/>
    <n v="2"/>
    <n v="6"/>
    <n v="5"/>
    <n v="4"/>
    <n v="5"/>
    <n v="3"/>
    <n v="1"/>
    <n v="4"/>
    <x v="0"/>
    <n v="0"/>
    <n v="0"/>
    <n v="1"/>
    <m/>
    <m/>
  </r>
  <r>
    <n v="24"/>
    <s v="No"/>
    <s v="Travel_Rarely"/>
    <n v="823"/>
    <s v="Research &amp; Development"/>
    <n v="17"/>
    <n v="2"/>
    <s v="Other"/>
    <n v="1"/>
    <n v="643"/>
    <n v="4"/>
    <s v="Male"/>
    <n v="94"/>
    <n v="2"/>
    <n v="1"/>
    <s v="Laboratory Technician"/>
    <n v="2"/>
    <s v="Married"/>
    <n v="2127"/>
    <n v="9100"/>
    <n v="1"/>
    <s v="Y"/>
    <s v="No"/>
    <n v="21"/>
    <n v="4"/>
    <n v="4"/>
    <n v="80"/>
    <n v="1"/>
    <n v="1"/>
    <n v="2"/>
    <n v="3"/>
    <n v="1"/>
    <n v="0"/>
    <n v="0"/>
    <n v="0"/>
    <x v="1"/>
    <n v="0"/>
    <n v="0"/>
    <n v="1"/>
    <m/>
    <m/>
  </r>
  <r>
    <n v="50"/>
    <s v="No"/>
    <s v="Travel_Frequently"/>
    <n v="1246"/>
    <s v="Human Resources"/>
    <n v="3"/>
    <n v="3"/>
    <s v="Medical"/>
    <n v="1"/>
    <n v="644"/>
    <n v="1"/>
    <s v="Male"/>
    <n v="99"/>
    <n v="3"/>
    <n v="5"/>
    <s v="Manager"/>
    <n v="2"/>
    <s v="Married"/>
    <n v="18200"/>
    <n v="7999"/>
    <n v="1"/>
    <s v="Y"/>
    <s v="No"/>
    <n v="11"/>
    <n v="3"/>
    <n v="3"/>
    <n v="80"/>
    <n v="1"/>
    <n v="32"/>
    <n v="2"/>
    <n v="3"/>
    <n v="32"/>
    <n v="5"/>
    <n v="10"/>
    <n v="7"/>
    <x v="4"/>
    <n v="0"/>
    <n v="0"/>
    <n v="1"/>
    <m/>
    <m/>
  </r>
  <r>
    <n v="25"/>
    <s v="No"/>
    <s v="Travel_Rarely"/>
    <n v="622"/>
    <s v="Sales"/>
    <n v="13"/>
    <n v="1"/>
    <s v="Medical"/>
    <n v="1"/>
    <n v="645"/>
    <n v="2"/>
    <s v="Male"/>
    <n v="40"/>
    <n v="3"/>
    <n v="1"/>
    <s v="Sales Representative"/>
    <n v="3"/>
    <s v="Married"/>
    <n v="2096"/>
    <n v="26376"/>
    <n v="1"/>
    <s v="Y"/>
    <s v="No"/>
    <n v="11"/>
    <n v="3"/>
    <n v="3"/>
    <n v="80"/>
    <n v="0"/>
    <n v="7"/>
    <n v="1"/>
    <n v="3"/>
    <n v="7"/>
    <n v="4"/>
    <n v="0"/>
    <n v="6"/>
    <x v="0"/>
    <n v="0"/>
    <n v="0"/>
    <n v="1"/>
    <m/>
    <m/>
  </r>
  <r>
    <n v="24"/>
    <s v="Yes"/>
    <s v="Travel_Frequently"/>
    <n v="1287"/>
    <s v="Research &amp; Development"/>
    <n v="7"/>
    <n v="3"/>
    <s v="Life Sciences"/>
    <n v="1"/>
    <n v="647"/>
    <n v="1"/>
    <s v="Female"/>
    <n v="55"/>
    <n v="3"/>
    <n v="1"/>
    <s v="Laboratory Technician"/>
    <n v="3"/>
    <s v="Married"/>
    <n v="2886"/>
    <n v="14168"/>
    <n v="1"/>
    <s v="Y"/>
    <s v="Yes"/>
    <n v="16"/>
    <n v="3"/>
    <n v="4"/>
    <n v="80"/>
    <n v="1"/>
    <n v="6"/>
    <n v="4"/>
    <n v="3"/>
    <n v="6"/>
    <n v="3"/>
    <n v="1"/>
    <n v="2"/>
    <x v="1"/>
    <n v="1"/>
    <n v="51948"/>
    <n v="1"/>
    <m/>
    <m/>
  </r>
  <r>
    <n v="30"/>
    <s v="Yes"/>
    <s v="Travel_Frequently"/>
    <n v="448"/>
    <s v="Sales"/>
    <n v="12"/>
    <n v="4"/>
    <s v="Life Sciences"/>
    <n v="1"/>
    <n v="648"/>
    <n v="2"/>
    <s v="Male"/>
    <n v="74"/>
    <n v="2"/>
    <n v="1"/>
    <s v="Sales Representative"/>
    <n v="1"/>
    <s v="Married"/>
    <n v="2033"/>
    <n v="14470"/>
    <n v="1"/>
    <s v="Y"/>
    <s v="No"/>
    <n v="18"/>
    <n v="3"/>
    <n v="3"/>
    <n v="80"/>
    <n v="1"/>
    <n v="1"/>
    <n v="2"/>
    <n v="4"/>
    <n v="1"/>
    <n v="0"/>
    <n v="0"/>
    <n v="0"/>
    <x v="0"/>
    <n v="1"/>
    <n v="36594"/>
    <n v="1"/>
    <m/>
    <m/>
  </r>
  <r>
    <n v="34"/>
    <s v="No"/>
    <s v="Travel_Rarely"/>
    <n v="254"/>
    <s v="Research &amp; Development"/>
    <n v="1"/>
    <n v="2"/>
    <s v="Life Sciences"/>
    <n v="1"/>
    <n v="649"/>
    <n v="2"/>
    <s v="Male"/>
    <n v="83"/>
    <n v="2"/>
    <n v="1"/>
    <s v="Research Scientist"/>
    <n v="4"/>
    <s v="Married"/>
    <n v="3622"/>
    <n v="22794"/>
    <n v="1"/>
    <s v="Y"/>
    <s v="Yes"/>
    <n v="13"/>
    <n v="3"/>
    <n v="4"/>
    <n v="80"/>
    <n v="1"/>
    <n v="6"/>
    <n v="3"/>
    <n v="3"/>
    <n v="6"/>
    <n v="5"/>
    <n v="1"/>
    <n v="3"/>
    <x v="1"/>
    <n v="0"/>
    <n v="0"/>
    <n v="1"/>
    <m/>
    <m/>
  </r>
  <r>
    <n v="31"/>
    <s v="Yes"/>
    <s v="Travel_Rarely"/>
    <n v="1365"/>
    <s v="Sales"/>
    <n v="13"/>
    <n v="4"/>
    <s v="Medical"/>
    <n v="1"/>
    <n v="650"/>
    <n v="2"/>
    <s v="Male"/>
    <n v="46"/>
    <n v="3"/>
    <n v="2"/>
    <s v="Sales Executive"/>
    <n v="1"/>
    <s v="Divorced"/>
    <n v="4233"/>
    <n v="11512"/>
    <n v="2"/>
    <s v="Y"/>
    <s v="No"/>
    <n v="17"/>
    <n v="3"/>
    <n v="3"/>
    <n v="80"/>
    <n v="0"/>
    <n v="9"/>
    <n v="2"/>
    <n v="1"/>
    <n v="3"/>
    <n v="1"/>
    <n v="1"/>
    <n v="2"/>
    <x v="0"/>
    <n v="1"/>
    <n v="76194"/>
    <n v="1"/>
    <m/>
    <m/>
  </r>
  <r>
    <n v="35"/>
    <s v="No"/>
    <s v="Travel_Rarely"/>
    <n v="538"/>
    <s v="Research &amp; Development"/>
    <n v="25"/>
    <n v="2"/>
    <s v="Other"/>
    <n v="1"/>
    <n v="652"/>
    <n v="1"/>
    <s v="Male"/>
    <n v="54"/>
    <n v="2"/>
    <n v="2"/>
    <s v="Laboratory Technician"/>
    <n v="4"/>
    <s v="Single"/>
    <n v="3681"/>
    <n v="14004"/>
    <n v="4"/>
    <s v="Y"/>
    <s v="No"/>
    <n v="14"/>
    <n v="3"/>
    <n v="4"/>
    <n v="80"/>
    <n v="0"/>
    <n v="9"/>
    <n v="3"/>
    <n v="3"/>
    <n v="3"/>
    <n v="2"/>
    <n v="0"/>
    <n v="2"/>
    <x v="1"/>
    <n v="0"/>
    <n v="0"/>
    <n v="1"/>
    <m/>
    <m/>
  </r>
  <r>
    <n v="31"/>
    <s v="No"/>
    <s v="Travel_Rarely"/>
    <n v="525"/>
    <s v="Sales"/>
    <n v="6"/>
    <n v="4"/>
    <s v="Medical"/>
    <n v="1"/>
    <n v="653"/>
    <n v="1"/>
    <s v="Male"/>
    <n v="66"/>
    <n v="4"/>
    <n v="2"/>
    <s v="Sales Executive"/>
    <n v="4"/>
    <s v="Divorced"/>
    <n v="5460"/>
    <n v="6219"/>
    <n v="4"/>
    <s v="Y"/>
    <s v="No"/>
    <n v="22"/>
    <n v="4"/>
    <n v="4"/>
    <n v="80"/>
    <n v="2"/>
    <n v="13"/>
    <n v="4"/>
    <n v="4"/>
    <n v="7"/>
    <n v="7"/>
    <n v="5"/>
    <n v="7"/>
    <x v="0"/>
    <n v="0"/>
    <n v="0"/>
    <n v="1"/>
    <m/>
    <m/>
  </r>
  <r>
    <n v="27"/>
    <s v="No"/>
    <s v="Travel_Rarely"/>
    <n v="798"/>
    <s v="Research &amp; Development"/>
    <n v="6"/>
    <n v="4"/>
    <s v="Medical"/>
    <n v="1"/>
    <n v="655"/>
    <n v="1"/>
    <s v="Female"/>
    <n v="66"/>
    <n v="2"/>
    <n v="1"/>
    <s v="Research Scientist"/>
    <n v="3"/>
    <s v="Divorced"/>
    <n v="2187"/>
    <n v="5013"/>
    <n v="0"/>
    <s v="Y"/>
    <s v="No"/>
    <n v="12"/>
    <n v="3"/>
    <n v="3"/>
    <n v="80"/>
    <n v="2"/>
    <n v="6"/>
    <n v="5"/>
    <n v="2"/>
    <n v="5"/>
    <n v="3"/>
    <n v="0"/>
    <n v="3"/>
    <x v="1"/>
    <n v="0"/>
    <n v="0"/>
    <n v="1"/>
    <m/>
    <m/>
  </r>
  <r>
    <n v="37"/>
    <s v="No"/>
    <s v="Travel_Rarely"/>
    <n v="558"/>
    <s v="Sales"/>
    <n v="2"/>
    <n v="3"/>
    <s v="Marketing"/>
    <n v="1"/>
    <n v="656"/>
    <n v="4"/>
    <s v="Male"/>
    <n v="75"/>
    <n v="3"/>
    <n v="2"/>
    <s v="Sales Executive"/>
    <n v="3"/>
    <s v="Married"/>
    <n v="9602"/>
    <n v="3010"/>
    <n v="4"/>
    <s v="Y"/>
    <s v="Yes"/>
    <n v="11"/>
    <n v="3"/>
    <n v="3"/>
    <n v="80"/>
    <n v="1"/>
    <n v="17"/>
    <n v="3"/>
    <n v="2"/>
    <n v="3"/>
    <n v="0"/>
    <n v="1"/>
    <n v="0"/>
    <x v="0"/>
    <n v="0"/>
    <n v="0"/>
    <n v="1"/>
    <m/>
    <m/>
  </r>
  <r>
    <n v="20"/>
    <s v="No"/>
    <s v="Travel_Rarely"/>
    <n v="959"/>
    <s v="Research &amp; Development"/>
    <n v="1"/>
    <n v="3"/>
    <s v="Life Sciences"/>
    <n v="1"/>
    <n v="657"/>
    <n v="4"/>
    <s v="Female"/>
    <n v="83"/>
    <n v="2"/>
    <n v="1"/>
    <s v="Research Scientist"/>
    <n v="2"/>
    <s v="Single"/>
    <n v="2836"/>
    <n v="11757"/>
    <n v="1"/>
    <s v="Y"/>
    <s v="No"/>
    <n v="13"/>
    <n v="3"/>
    <n v="4"/>
    <n v="80"/>
    <n v="0"/>
    <n v="1"/>
    <n v="0"/>
    <n v="4"/>
    <n v="1"/>
    <n v="0"/>
    <n v="0"/>
    <n v="0"/>
    <x v="1"/>
    <n v="0"/>
    <n v="0"/>
    <n v="1"/>
    <m/>
    <m/>
  </r>
  <r>
    <n v="42"/>
    <s v="No"/>
    <s v="Travel_Rarely"/>
    <n v="622"/>
    <s v="Research &amp; Development"/>
    <n v="2"/>
    <n v="4"/>
    <s v="Life Sciences"/>
    <n v="1"/>
    <n v="659"/>
    <n v="3"/>
    <s v="Female"/>
    <n v="81"/>
    <n v="3"/>
    <n v="2"/>
    <s v="Healthcare Representative"/>
    <n v="4"/>
    <s v="Married"/>
    <n v="4089"/>
    <n v="5718"/>
    <n v="1"/>
    <s v="Y"/>
    <s v="No"/>
    <n v="13"/>
    <n v="3"/>
    <n v="2"/>
    <n v="80"/>
    <n v="2"/>
    <n v="10"/>
    <n v="4"/>
    <n v="3"/>
    <n v="10"/>
    <n v="2"/>
    <n v="2"/>
    <n v="2"/>
    <x v="3"/>
    <n v="0"/>
    <n v="0"/>
    <n v="1"/>
    <m/>
    <m/>
  </r>
  <r>
    <n v="43"/>
    <s v="No"/>
    <s v="Travel_Rarely"/>
    <n v="782"/>
    <s v="Research &amp; Development"/>
    <n v="6"/>
    <n v="4"/>
    <s v="Other"/>
    <n v="1"/>
    <n v="661"/>
    <n v="2"/>
    <s v="Male"/>
    <n v="50"/>
    <n v="2"/>
    <n v="4"/>
    <s v="Research Director"/>
    <n v="4"/>
    <s v="Divorced"/>
    <n v="16627"/>
    <n v="2671"/>
    <n v="4"/>
    <s v="Y"/>
    <s v="Yes"/>
    <n v="14"/>
    <n v="3"/>
    <n v="3"/>
    <n v="80"/>
    <n v="1"/>
    <n v="21"/>
    <n v="3"/>
    <n v="2"/>
    <n v="1"/>
    <n v="0"/>
    <n v="0"/>
    <n v="0"/>
    <x v="1"/>
    <n v="0"/>
    <n v="0"/>
    <n v="1"/>
    <m/>
    <m/>
  </r>
  <r>
    <n v="38"/>
    <s v="No"/>
    <s v="Travel_Rarely"/>
    <n v="362"/>
    <s v="Research &amp; Development"/>
    <n v="1"/>
    <n v="1"/>
    <s v="Life Sciences"/>
    <n v="1"/>
    <n v="662"/>
    <n v="3"/>
    <s v="Female"/>
    <n v="43"/>
    <n v="3"/>
    <n v="1"/>
    <s v="Research Scientist"/>
    <n v="1"/>
    <s v="Single"/>
    <n v="2619"/>
    <n v="14561"/>
    <n v="3"/>
    <s v="Y"/>
    <s v="No"/>
    <n v="17"/>
    <n v="3"/>
    <n v="4"/>
    <n v="80"/>
    <n v="0"/>
    <n v="8"/>
    <n v="3"/>
    <n v="2"/>
    <n v="0"/>
    <n v="0"/>
    <n v="0"/>
    <n v="0"/>
    <x v="1"/>
    <n v="0"/>
    <n v="0"/>
    <n v="1"/>
    <m/>
    <m/>
  </r>
  <r>
    <n v="43"/>
    <s v="No"/>
    <s v="Travel_Frequently"/>
    <n v="1001"/>
    <s v="Research &amp; Development"/>
    <n v="9"/>
    <n v="5"/>
    <s v="Medical"/>
    <n v="1"/>
    <n v="663"/>
    <n v="4"/>
    <s v="Male"/>
    <n v="72"/>
    <n v="3"/>
    <n v="2"/>
    <s v="Laboratory Technician"/>
    <n v="3"/>
    <s v="Divorced"/>
    <n v="5679"/>
    <n v="19627"/>
    <n v="3"/>
    <s v="Y"/>
    <s v="Yes"/>
    <n v="13"/>
    <n v="3"/>
    <n v="2"/>
    <n v="80"/>
    <n v="1"/>
    <n v="10"/>
    <n v="3"/>
    <n v="3"/>
    <n v="8"/>
    <n v="7"/>
    <n v="4"/>
    <n v="7"/>
    <x v="1"/>
    <n v="0"/>
    <n v="0"/>
    <n v="1"/>
    <m/>
    <m/>
  </r>
  <r>
    <n v="48"/>
    <s v="No"/>
    <s v="Travel_Rarely"/>
    <n v="1236"/>
    <s v="Research &amp; Development"/>
    <n v="1"/>
    <n v="4"/>
    <s v="Life Sciences"/>
    <n v="1"/>
    <n v="664"/>
    <n v="4"/>
    <s v="Female"/>
    <n v="40"/>
    <n v="2"/>
    <n v="4"/>
    <s v="Manager"/>
    <n v="1"/>
    <s v="Married"/>
    <n v="15402"/>
    <n v="17997"/>
    <n v="7"/>
    <s v="Y"/>
    <s v="No"/>
    <n v="11"/>
    <n v="3"/>
    <n v="1"/>
    <n v="80"/>
    <n v="1"/>
    <n v="21"/>
    <n v="3"/>
    <n v="1"/>
    <n v="3"/>
    <n v="2"/>
    <n v="0"/>
    <n v="2"/>
    <x v="4"/>
    <n v="0"/>
    <n v="0"/>
    <n v="1"/>
    <m/>
    <m/>
  </r>
  <r>
    <n v="44"/>
    <s v="No"/>
    <s v="Travel_Rarely"/>
    <n v="1112"/>
    <s v="Human Resources"/>
    <n v="1"/>
    <n v="4"/>
    <s v="Life Sciences"/>
    <n v="1"/>
    <n v="665"/>
    <n v="1"/>
    <s v="Female"/>
    <n v="50"/>
    <n v="2"/>
    <n v="2"/>
    <s v="Human Resources"/>
    <n v="3"/>
    <s v="Single"/>
    <n v="5985"/>
    <n v="26894"/>
    <n v="4"/>
    <s v="Y"/>
    <s v="No"/>
    <n v="11"/>
    <n v="3"/>
    <n v="2"/>
    <n v="80"/>
    <n v="0"/>
    <n v="10"/>
    <n v="1"/>
    <n v="4"/>
    <n v="2"/>
    <n v="2"/>
    <n v="0"/>
    <n v="2"/>
    <x v="5"/>
    <n v="0"/>
    <n v="0"/>
    <n v="1"/>
    <m/>
    <m/>
  </r>
  <r>
    <n v="34"/>
    <s v="No"/>
    <s v="Travel_Rarely"/>
    <n v="204"/>
    <s v="Sales"/>
    <n v="14"/>
    <n v="3"/>
    <s v="Technical Degree"/>
    <n v="1"/>
    <n v="666"/>
    <n v="3"/>
    <s v="Female"/>
    <n v="31"/>
    <n v="3"/>
    <n v="1"/>
    <s v="Sales Representative"/>
    <n v="3"/>
    <s v="Divorced"/>
    <n v="2579"/>
    <n v="2912"/>
    <n v="1"/>
    <s v="Y"/>
    <s v="Yes"/>
    <n v="18"/>
    <n v="3"/>
    <n v="4"/>
    <n v="80"/>
    <n v="2"/>
    <n v="8"/>
    <n v="3"/>
    <n v="3"/>
    <n v="8"/>
    <n v="2"/>
    <n v="0"/>
    <n v="6"/>
    <x v="0"/>
    <n v="0"/>
    <n v="0"/>
    <n v="1"/>
    <m/>
    <m/>
  </r>
  <r>
    <n v="27"/>
    <s v="Yes"/>
    <s v="Travel_Rarely"/>
    <n v="1420"/>
    <s v="Sales"/>
    <n v="2"/>
    <n v="1"/>
    <s v="Marketing"/>
    <n v="1"/>
    <n v="667"/>
    <n v="3"/>
    <s v="Male"/>
    <n v="85"/>
    <n v="3"/>
    <n v="1"/>
    <s v="Sales Representative"/>
    <n v="1"/>
    <s v="Divorced"/>
    <n v="3041"/>
    <n v="16346"/>
    <n v="0"/>
    <s v="Y"/>
    <s v="No"/>
    <n v="11"/>
    <n v="3"/>
    <n v="2"/>
    <n v="80"/>
    <n v="1"/>
    <n v="5"/>
    <n v="3"/>
    <n v="3"/>
    <n v="4"/>
    <n v="3"/>
    <n v="0"/>
    <n v="2"/>
    <x v="0"/>
    <n v="1"/>
    <n v="54738"/>
    <n v="1"/>
    <m/>
    <m/>
  </r>
  <r>
    <n v="21"/>
    <s v="No"/>
    <s v="Travel_Rarely"/>
    <n v="1343"/>
    <s v="Sales"/>
    <n v="22"/>
    <n v="1"/>
    <s v="Technical Degree"/>
    <n v="1"/>
    <n v="669"/>
    <n v="3"/>
    <s v="Male"/>
    <n v="49"/>
    <n v="3"/>
    <n v="1"/>
    <s v="Sales Representative"/>
    <n v="3"/>
    <s v="Single"/>
    <n v="3447"/>
    <n v="24444"/>
    <n v="1"/>
    <s v="Y"/>
    <s v="No"/>
    <n v="11"/>
    <n v="3"/>
    <n v="3"/>
    <n v="80"/>
    <n v="0"/>
    <n v="3"/>
    <n v="2"/>
    <n v="3"/>
    <n v="3"/>
    <n v="2"/>
    <n v="1"/>
    <n v="2"/>
    <x v="0"/>
    <n v="0"/>
    <n v="0"/>
    <n v="1"/>
    <m/>
    <m/>
  </r>
  <r>
    <n v="44"/>
    <s v="No"/>
    <s v="Travel_Rarely"/>
    <n v="1315"/>
    <s v="Research &amp; Development"/>
    <n v="3"/>
    <n v="4"/>
    <s v="Other"/>
    <n v="1"/>
    <n v="671"/>
    <n v="4"/>
    <s v="Male"/>
    <n v="35"/>
    <n v="3"/>
    <n v="5"/>
    <s v="Manager"/>
    <n v="4"/>
    <s v="Married"/>
    <n v="19513"/>
    <n v="9358"/>
    <n v="4"/>
    <s v="Y"/>
    <s v="Yes"/>
    <n v="12"/>
    <n v="3"/>
    <n v="1"/>
    <n v="80"/>
    <n v="1"/>
    <n v="26"/>
    <n v="2"/>
    <n v="4"/>
    <n v="2"/>
    <n v="2"/>
    <n v="0"/>
    <n v="1"/>
    <x v="4"/>
    <n v="0"/>
    <n v="0"/>
    <n v="1"/>
    <m/>
    <m/>
  </r>
  <r>
    <n v="22"/>
    <s v="No"/>
    <s v="Travel_Rarely"/>
    <n v="604"/>
    <s v="Research &amp; Development"/>
    <n v="6"/>
    <n v="1"/>
    <s v="Medical"/>
    <n v="1"/>
    <n v="675"/>
    <n v="1"/>
    <s v="Male"/>
    <n v="69"/>
    <n v="3"/>
    <n v="1"/>
    <s v="Research Scientist"/>
    <n v="3"/>
    <s v="Married"/>
    <n v="2773"/>
    <n v="12145"/>
    <n v="0"/>
    <s v="Y"/>
    <s v="No"/>
    <n v="20"/>
    <n v="4"/>
    <n v="4"/>
    <n v="80"/>
    <n v="0"/>
    <n v="3"/>
    <n v="3"/>
    <n v="3"/>
    <n v="2"/>
    <n v="2"/>
    <n v="2"/>
    <n v="2"/>
    <x v="1"/>
    <n v="0"/>
    <n v="0"/>
    <n v="1"/>
    <m/>
    <m/>
  </r>
  <r>
    <n v="33"/>
    <s v="No"/>
    <s v="Travel_Rarely"/>
    <n v="1216"/>
    <s v="Sales"/>
    <n v="8"/>
    <n v="4"/>
    <s v="Marketing"/>
    <n v="1"/>
    <n v="677"/>
    <n v="3"/>
    <s v="Male"/>
    <n v="39"/>
    <n v="3"/>
    <n v="2"/>
    <s v="Sales Executive"/>
    <n v="3"/>
    <s v="Divorced"/>
    <n v="7104"/>
    <n v="20431"/>
    <n v="0"/>
    <s v="Y"/>
    <s v="No"/>
    <n v="12"/>
    <n v="3"/>
    <n v="4"/>
    <n v="80"/>
    <n v="0"/>
    <n v="6"/>
    <n v="3"/>
    <n v="3"/>
    <n v="5"/>
    <n v="0"/>
    <n v="1"/>
    <n v="2"/>
    <x v="0"/>
    <n v="0"/>
    <n v="0"/>
    <n v="1"/>
    <m/>
    <m/>
  </r>
  <r>
    <n v="32"/>
    <s v="No"/>
    <s v="Travel_Rarely"/>
    <n v="646"/>
    <s v="Research &amp; Development"/>
    <n v="9"/>
    <n v="4"/>
    <s v="Life Sciences"/>
    <n v="1"/>
    <n v="679"/>
    <n v="1"/>
    <s v="Female"/>
    <n v="92"/>
    <n v="3"/>
    <n v="2"/>
    <s v="Research Scientist"/>
    <n v="4"/>
    <s v="Married"/>
    <n v="6322"/>
    <n v="18089"/>
    <n v="1"/>
    <s v="Y"/>
    <s v="Yes"/>
    <n v="12"/>
    <n v="3"/>
    <n v="4"/>
    <n v="80"/>
    <n v="1"/>
    <n v="6"/>
    <n v="2"/>
    <n v="2"/>
    <n v="6"/>
    <n v="4"/>
    <n v="0"/>
    <n v="5"/>
    <x v="1"/>
    <n v="0"/>
    <n v="0"/>
    <n v="1"/>
    <m/>
    <m/>
  </r>
  <r>
    <n v="30"/>
    <s v="No"/>
    <s v="Travel_Frequently"/>
    <n v="160"/>
    <s v="Research &amp; Development"/>
    <n v="3"/>
    <n v="3"/>
    <s v="Medical"/>
    <n v="1"/>
    <n v="680"/>
    <n v="3"/>
    <s v="Female"/>
    <n v="71"/>
    <n v="3"/>
    <n v="1"/>
    <s v="Research Scientist"/>
    <n v="3"/>
    <s v="Divorced"/>
    <n v="2083"/>
    <n v="22653"/>
    <n v="1"/>
    <s v="Y"/>
    <s v="No"/>
    <n v="20"/>
    <n v="4"/>
    <n v="3"/>
    <n v="80"/>
    <n v="1"/>
    <n v="1"/>
    <n v="2"/>
    <n v="3"/>
    <n v="1"/>
    <n v="0"/>
    <n v="0"/>
    <n v="0"/>
    <x v="1"/>
    <n v="0"/>
    <n v="0"/>
    <n v="1"/>
    <m/>
    <m/>
  </r>
  <r>
    <n v="53"/>
    <s v="No"/>
    <s v="Travel_Rarely"/>
    <n v="238"/>
    <s v="Sales"/>
    <n v="1"/>
    <n v="1"/>
    <s v="Medical"/>
    <n v="1"/>
    <n v="682"/>
    <n v="4"/>
    <s v="Female"/>
    <n v="34"/>
    <n v="3"/>
    <n v="2"/>
    <s v="Sales Executive"/>
    <n v="1"/>
    <s v="Single"/>
    <n v="8381"/>
    <n v="7507"/>
    <n v="7"/>
    <s v="Y"/>
    <s v="No"/>
    <n v="20"/>
    <n v="4"/>
    <n v="4"/>
    <n v="80"/>
    <n v="0"/>
    <n v="18"/>
    <n v="2"/>
    <n v="4"/>
    <n v="14"/>
    <n v="7"/>
    <n v="8"/>
    <n v="10"/>
    <x v="0"/>
    <n v="0"/>
    <n v="0"/>
    <n v="1"/>
    <m/>
    <m/>
  </r>
  <r>
    <n v="34"/>
    <s v="No"/>
    <s v="Travel_Rarely"/>
    <n v="1397"/>
    <s v="Research &amp; Development"/>
    <n v="1"/>
    <n v="5"/>
    <s v="Life Sciences"/>
    <n v="1"/>
    <n v="683"/>
    <n v="2"/>
    <s v="Male"/>
    <n v="42"/>
    <n v="3"/>
    <n v="1"/>
    <s v="Research Scientist"/>
    <n v="4"/>
    <s v="Married"/>
    <n v="2691"/>
    <n v="7660"/>
    <n v="1"/>
    <s v="Y"/>
    <s v="No"/>
    <n v="12"/>
    <n v="3"/>
    <n v="4"/>
    <n v="80"/>
    <n v="1"/>
    <n v="10"/>
    <n v="4"/>
    <n v="2"/>
    <n v="10"/>
    <n v="9"/>
    <n v="8"/>
    <n v="8"/>
    <x v="1"/>
    <n v="0"/>
    <n v="0"/>
    <n v="1"/>
    <m/>
    <m/>
  </r>
  <r>
    <n v="45"/>
    <s v="Yes"/>
    <s v="Travel_Frequently"/>
    <n v="306"/>
    <s v="Sales"/>
    <n v="26"/>
    <n v="4"/>
    <s v="Life Sciences"/>
    <n v="1"/>
    <n v="684"/>
    <n v="1"/>
    <s v="Female"/>
    <n v="100"/>
    <n v="3"/>
    <n v="2"/>
    <s v="Sales Executive"/>
    <n v="1"/>
    <s v="Married"/>
    <n v="4286"/>
    <n v="5630"/>
    <n v="2"/>
    <s v="Y"/>
    <s v="No"/>
    <n v="14"/>
    <n v="3"/>
    <n v="4"/>
    <n v="80"/>
    <n v="2"/>
    <n v="5"/>
    <n v="4"/>
    <n v="3"/>
    <n v="1"/>
    <n v="1"/>
    <n v="0"/>
    <n v="0"/>
    <x v="0"/>
    <n v="1"/>
    <n v="77148"/>
    <n v="1"/>
    <m/>
    <m/>
  </r>
  <r>
    <n v="26"/>
    <s v="No"/>
    <s v="Travel_Rarely"/>
    <n v="991"/>
    <s v="Research &amp; Development"/>
    <n v="6"/>
    <n v="3"/>
    <s v="Life Sciences"/>
    <n v="1"/>
    <n v="686"/>
    <n v="3"/>
    <s v="Female"/>
    <n v="71"/>
    <n v="3"/>
    <n v="1"/>
    <s v="Laboratory Technician"/>
    <n v="4"/>
    <s v="Married"/>
    <n v="2659"/>
    <n v="17759"/>
    <n v="1"/>
    <s v="Y"/>
    <s v="Yes"/>
    <n v="13"/>
    <n v="3"/>
    <n v="3"/>
    <n v="80"/>
    <n v="1"/>
    <n v="3"/>
    <n v="2"/>
    <n v="3"/>
    <n v="3"/>
    <n v="2"/>
    <n v="0"/>
    <n v="2"/>
    <x v="1"/>
    <n v="0"/>
    <n v="0"/>
    <n v="1"/>
    <m/>
    <m/>
  </r>
  <r>
    <n v="37"/>
    <s v="No"/>
    <s v="Travel_Rarely"/>
    <n v="482"/>
    <s v="Research &amp; Development"/>
    <n v="3"/>
    <n v="3"/>
    <s v="Other"/>
    <n v="1"/>
    <n v="689"/>
    <n v="3"/>
    <s v="Male"/>
    <n v="36"/>
    <n v="3"/>
    <n v="3"/>
    <s v="Manufacturing Director"/>
    <n v="3"/>
    <s v="Married"/>
    <n v="9434"/>
    <n v="9606"/>
    <n v="1"/>
    <s v="Y"/>
    <s v="No"/>
    <n v="15"/>
    <n v="3"/>
    <n v="3"/>
    <n v="80"/>
    <n v="1"/>
    <n v="10"/>
    <n v="2"/>
    <n v="3"/>
    <n v="10"/>
    <n v="7"/>
    <n v="7"/>
    <n v="8"/>
    <x v="2"/>
    <n v="0"/>
    <n v="0"/>
    <n v="1"/>
    <m/>
    <m/>
  </r>
  <r>
    <n v="29"/>
    <s v="No"/>
    <s v="Travel_Rarely"/>
    <n v="1176"/>
    <s v="Sales"/>
    <n v="3"/>
    <n v="2"/>
    <s v="Medical"/>
    <n v="1"/>
    <n v="690"/>
    <n v="2"/>
    <s v="Female"/>
    <n v="62"/>
    <n v="3"/>
    <n v="2"/>
    <s v="Sales Executive"/>
    <n v="3"/>
    <s v="Married"/>
    <n v="5561"/>
    <n v="3487"/>
    <n v="1"/>
    <s v="Y"/>
    <s v="No"/>
    <n v="14"/>
    <n v="3"/>
    <n v="1"/>
    <n v="80"/>
    <n v="1"/>
    <n v="6"/>
    <n v="5"/>
    <n v="2"/>
    <n v="6"/>
    <n v="0"/>
    <n v="1"/>
    <n v="2"/>
    <x v="0"/>
    <n v="0"/>
    <n v="0"/>
    <n v="1"/>
    <m/>
    <m/>
  </r>
  <r>
    <n v="35"/>
    <s v="No"/>
    <s v="Travel_Rarely"/>
    <n v="1017"/>
    <s v="Research &amp; Development"/>
    <n v="6"/>
    <n v="4"/>
    <s v="Life Sciences"/>
    <n v="1"/>
    <n v="691"/>
    <n v="2"/>
    <s v="Male"/>
    <n v="82"/>
    <n v="1"/>
    <n v="2"/>
    <s v="Research Scientist"/>
    <n v="4"/>
    <s v="Single"/>
    <n v="6646"/>
    <n v="19368"/>
    <n v="1"/>
    <s v="Y"/>
    <s v="No"/>
    <n v="13"/>
    <n v="3"/>
    <n v="2"/>
    <n v="80"/>
    <n v="0"/>
    <n v="17"/>
    <n v="3"/>
    <n v="3"/>
    <n v="17"/>
    <n v="11"/>
    <n v="11"/>
    <n v="8"/>
    <x v="1"/>
    <n v="0"/>
    <n v="0"/>
    <n v="1"/>
    <m/>
    <m/>
  </r>
  <r>
    <n v="33"/>
    <s v="No"/>
    <s v="Travel_Frequently"/>
    <n v="1296"/>
    <s v="Research &amp; Development"/>
    <n v="6"/>
    <n v="3"/>
    <s v="Life Sciences"/>
    <n v="1"/>
    <n v="692"/>
    <n v="3"/>
    <s v="Male"/>
    <n v="30"/>
    <n v="3"/>
    <n v="2"/>
    <s v="Healthcare Representative"/>
    <n v="4"/>
    <s v="Divorced"/>
    <n v="7725"/>
    <n v="5335"/>
    <n v="3"/>
    <s v="Y"/>
    <s v="No"/>
    <n v="23"/>
    <n v="4"/>
    <n v="3"/>
    <n v="80"/>
    <n v="1"/>
    <n v="15"/>
    <n v="2"/>
    <n v="1"/>
    <n v="13"/>
    <n v="11"/>
    <n v="4"/>
    <n v="7"/>
    <x v="3"/>
    <n v="0"/>
    <n v="0"/>
    <n v="1"/>
    <m/>
    <m/>
  </r>
  <r>
    <n v="54"/>
    <s v="No"/>
    <s v="Travel_Rarely"/>
    <n v="397"/>
    <s v="Human Resources"/>
    <n v="19"/>
    <n v="4"/>
    <s v="Medical"/>
    <n v="1"/>
    <n v="698"/>
    <n v="3"/>
    <s v="Male"/>
    <n v="88"/>
    <n v="3"/>
    <n v="3"/>
    <s v="Human Resources"/>
    <n v="2"/>
    <s v="Married"/>
    <n v="10725"/>
    <n v="6729"/>
    <n v="2"/>
    <s v="Y"/>
    <s v="No"/>
    <n v="15"/>
    <n v="3"/>
    <n v="3"/>
    <n v="80"/>
    <n v="1"/>
    <n v="16"/>
    <n v="1"/>
    <n v="4"/>
    <n v="9"/>
    <n v="7"/>
    <n v="7"/>
    <n v="1"/>
    <x v="5"/>
    <n v="0"/>
    <n v="0"/>
    <n v="1"/>
    <m/>
    <m/>
  </r>
  <r>
    <n v="36"/>
    <s v="No"/>
    <s v="Travel_Rarely"/>
    <n v="913"/>
    <s v="Research &amp; Development"/>
    <n v="9"/>
    <n v="2"/>
    <s v="Medical"/>
    <n v="1"/>
    <n v="699"/>
    <n v="2"/>
    <s v="Male"/>
    <n v="48"/>
    <n v="2"/>
    <n v="2"/>
    <s v="Manufacturing Director"/>
    <n v="2"/>
    <s v="Divorced"/>
    <n v="8847"/>
    <n v="13934"/>
    <n v="2"/>
    <s v="Y"/>
    <s v="Yes"/>
    <n v="11"/>
    <n v="3"/>
    <n v="3"/>
    <n v="80"/>
    <n v="1"/>
    <n v="13"/>
    <n v="2"/>
    <n v="3"/>
    <n v="3"/>
    <n v="2"/>
    <n v="0"/>
    <n v="2"/>
    <x v="2"/>
    <n v="0"/>
    <n v="0"/>
    <n v="1"/>
    <m/>
    <m/>
  </r>
  <r>
    <n v="27"/>
    <s v="No"/>
    <s v="Travel_Rarely"/>
    <n v="1115"/>
    <s v="Research &amp; Development"/>
    <n v="3"/>
    <n v="4"/>
    <s v="Medical"/>
    <n v="1"/>
    <n v="700"/>
    <n v="1"/>
    <s v="Male"/>
    <n v="54"/>
    <n v="2"/>
    <n v="1"/>
    <s v="Research Scientist"/>
    <n v="4"/>
    <s v="Single"/>
    <n v="2045"/>
    <n v="15174"/>
    <n v="0"/>
    <s v="Y"/>
    <s v="No"/>
    <n v="13"/>
    <n v="3"/>
    <n v="4"/>
    <n v="80"/>
    <n v="0"/>
    <n v="5"/>
    <n v="0"/>
    <n v="3"/>
    <n v="4"/>
    <n v="2"/>
    <n v="1"/>
    <n v="1"/>
    <x v="1"/>
    <n v="0"/>
    <n v="0"/>
    <n v="1"/>
    <m/>
    <m/>
  </r>
  <r>
    <n v="20"/>
    <s v="Yes"/>
    <s v="Travel_Rarely"/>
    <n v="1362"/>
    <s v="Research &amp; Development"/>
    <n v="10"/>
    <n v="1"/>
    <s v="Medical"/>
    <n v="1"/>
    <n v="701"/>
    <n v="4"/>
    <s v="Male"/>
    <n v="32"/>
    <n v="3"/>
    <n v="1"/>
    <s v="Research Scientist"/>
    <n v="3"/>
    <s v="Single"/>
    <n v="1009"/>
    <n v="26999"/>
    <n v="1"/>
    <s v="Y"/>
    <s v="Yes"/>
    <n v="11"/>
    <n v="3"/>
    <n v="4"/>
    <n v="80"/>
    <n v="0"/>
    <n v="1"/>
    <n v="5"/>
    <n v="3"/>
    <n v="1"/>
    <n v="0"/>
    <n v="1"/>
    <n v="1"/>
    <x v="1"/>
    <n v="1"/>
    <n v="18162"/>
    <n v="1"/>
    <m/>
    <m/>
  </r>
  <r>
    <n v="33"/>
    <s v="Yes"/>
    <s v="Travel_Frequently"/>
    <n v="1076"/>
    <s v="Research &amp; Development"/>
    <n v="3"/>
    <n v="3"/>
    <s v="Life Sciences"/>
    <n v="1"/>
    <n v="702"/>
    <n v="1"/>
    <s v="Male"/>
    <n v="70"/>
    <n v="3"/>
    <n v="1"/>
    <s v="Research Scientist"/>
    <n v="1"/>
    <s v="Single"/>
    <n v="3348"/>
    <n v="3164"/>
    <n v="1"/>
    <s v="Y"/>
    <s v="Yes"/>
    <n v="11"/>
    <n v="3"/>
    <n v="1"/>
    <n v="80"/>
    <n v="0"/>
    <n v="10"/>
    <n v="3"/>
    <n v="3"/>
    <n v="10"/>
    <n v="8"/>
    <n v="9"/>
    <n v="7"/>
    <x v="1"/>
    <n v="1"/>
    <n v="60264"/>
    <n v="1"/>
    <m/>
    <m/>
  </r>
  <r>
    <n v="35"/>
    <s v="No"/>
    <s v="Non-Travel"/>
    <n v="727"/>
    <s v="Research &amp; Development"/>
    <n v="3"/>
    <n v="3"/>
    <s v="Life Sciences"/>
    <n v="1"/>
    <n v="704"/>
    <n v="3"/>
    <s v="Male"/>
    <n v="41"/>
    <n v="2"/>
    <n v="1"/>
    <s v="Laboratory Technician"/>
    <n v="3"/>
    <s v="Married"/>
    <n v="1281"/>
    <n v="16900"/>
    <n v="1"/>
    <s v="Y"/>
    <s v="No"/>
    <n v="18"/>
    <n v="3"/>
    <n v="3"/>
    <n v="80"/>
    <n v="2"/>
    <n v="1"/>
    <n v="3"/>
    <n v="3"/>
    <n v="1"/>
    <n v="0"/>
    <n v="0"/>
    <n v="0"/>
    <x v="1"/>
    <n v="0"/>
    <n v="0"/>
    <n v="1"/>
    <m/>
    <m/>
  </r>
  <r>
    <n v="23"/>
    <s v="No"/>
    <s v="Travel_Rarely"/>
    <n v="885"/>
    <s v="Research &amp; Development"/>
    <n v="4"/>
    <n v="3"/>
    <s v="Medical"/>
    <n v="1"/>
    <n v="705"/>
    <n v="1"/>
    <s v="Male"/>
    <n v="58"/>
    <n v="4"/>
    <n v="1"/>
    <s v="Research Scientist"/>
    <n v="1"/>
    <s v="Married"/>
    <n v="2819"/>
    <n v="8544"/>
    <n v="2"/>
    <s v="Y"/>
    <s v="No"/>
    <n v="16"/>
    <n v="3"/>
    <n v="1"/>
    <n v="80"/>
    <n v="1"/>
    <n v="5"/>
    <n v="3"/>
    <n v="4"/>
    <n v="3"/>
    <n v="2"/>
    <n v="0"/>
    <n v="2"/>
    <x v="1"/>
    <n v="0"/>
    <n v="0"/>
    <n v="1"/>
    <m/>
    <m/>
  </r>
  <r>
    <n v="25"/>
    <s v="No"/>
    <s v="Travel_Rarely"/>
    <n v="810"/>
    <s v="Sales"/>
    <n v="8"/>
    <n v="3"/>
    <s v="Life Sciences"/>
    <n v="1"/>
    <n v="707"/>
    <n v="4"/>
    <s v="Male"/>
    <n v="57"/>
    <n v="4"/>
    <n v="2"/>
    <s v="Sales Executive"/>
    <n v="2"/>
    <s v="Married"/>
    <n v="4851"/>
    <n v="15678"/>
    <n v="0"/>
    <s v="Y"/>
    <s v="No"/>
    <n v="22"/>
    <n v="4"/>
    <n v="3"/>
    <n v="80"/>
    <n v="1"/>
    <n v="4"/>
    <n v="4"/>
    <n v="3"/>
    <n v="3"/>
    <n v="2"/>
    <n v="1"/>
    <n v="2"/>
    <x v="0"/>
    <n v="0"/>
    <n v="0"/>
    <n v="1"/>
    <m/>
    <m/>
  </r>
  <r>
    <n v="38"/>
    <s v="No"/>
    <s v="Travel_Rarely"/>
    <n v="243"/>
    <s v="Sales"/>
    <n v="7"/>
    <n v="4"/>
    <s v="Marketing"/>
    <n v="1"/>
    <n v="709"/>
    <n v="4"/>
    <s v="Female"/>
    <n v="46"/>
    <n v="2"/>
    <n v="2"/>
    <s v="Sales Executive"/>
    <n v="4"/>
    <s v="Single"/>
    <n v="4028"/>
    <n v="7791"/>
    <n v="0"/>
    <s v="Y"/>
    <s v="No"/>
    <n v="20"/>
    <n v="4"/>
    <n v="1"/>
    <n v="80"/>
    <n v="0"/>
    <n v="8"/>
    <n v="2"/>
    <n v="3"/>
    <n v="7"/>
    <n v="7"/>
    <n v="0"/>
    <n v="5"/>
    <x v="0"/>
    <n v="0"/>
    <n v="0"/>
    <n v="1"/>
    <m/>
    <m/>
  </r>
  <r>
    <n v="29"/>
    <s v="No"/>
    <s v="Travel_Frequently"/>
    <n v="806"/>
    <s v="Research &amp; Development"/>
    <n v="1"/>
    <n v="4"/>
    <s v="Life Sciences"/>
    <n v="1"/>
    <n v="710"/>
    <n v="2"/>
    <s v="Male"/>
    <n v="76"/>
    <n v="1"/>
    <n v="1"/>
    <s v="Research Scientist"/>
    <n v="4"/>
    <s v="Divorced"/>
    <n v="2720"/>
    <n v="18959"/>
    <n v="1"/>
    <s v="Y"/>
    <s v="No"/>
    <n v="18"/>
    <n v="3"/>
    <n v="4"/>
    <n v="80"/>
    <n v="1"/>
    <n v="10"/>
    <n v="5"/>
    <n v="3"/>
    <n v="10"/>
    <n v="7"/>
    <n v="2"/>
    <n v="8"/>
    <x v="1"/>
    <n v="0"/>
    <n v="0"/>
    <n v="1"/>
    <m/>
    <m/>
  </r>
  <r>
    <n v="48"/>
    <s v="No"/>
    <s v="Travel_Rarely"/>
    <n v="817"/>
    <s v="Sales"/>
    <n v="2"/>
    <n v="1"/>
    <s v="Marketing"/>
    <n v="1"/>
    <n v="712"/>
    <n v="2"/>
    <s v="Male"/>
    <n v="56"/>
    <n v="4"/>
    <n v="2"/>
    <s v="Sales Executive"/>
    <n v="2"/>
    <s v="Married"/>
    <n v="8120"/>
    <n v="18597"/>
    <n v="3"/>
    <s v="Y"/>
    <s v="No"/>
    <n v="12"/>
    <n v="3"/>
    <n v="4"/>
    <n v="80"/>
    <n v="0"/>
    <n v="12"/>
    <n v="3"/>
    <n v="3"/>
    <n v="2"/>
    <n v="2"/>
    <n v="2"/>
    <n v="2"/>
    <x v="0"/>
    <n v="0"/>
    <n v="0"/>
    <n v="1"/>
    <m/>
    <m/>
  </r>
  <r>
    <n v="27"/>
    <s v="No"/>
    <s v="Travel_Frequently"/>
    <n v="1410"/>
    <s v="Sales"/>
    <n v="3"/>
    <n v="1"/>
    <s v="Medical"/>
    <n v="1"/>
    <n v="714"/>
    <n v="4"/>
    <s v="Female"/>
    <n v="71"/>
    <n v="4"/>
    <n v="2"/>
    <s v="Sales Executive"/>
    <n v="4"/>
    <s v="Divorced"/>
    <n v="4647"/>
    <n v="16673"/>
    <n v="1"/>
    <s v="Y"/>
    <s v="Yes"/>
    <n v="20"/>
    <n v="4"/>
    <n v="2"/>
    <n v="80"/>
    <n v="2"/>
    <n v="6"/>
    <n v="3"/>
    <n v="3"/>
    <n v="6"/>
    <n v="5"/>
    <n v="0"/>
    <n v="4"/>
    <x v="0"/>
    <n v="0"/>
    <n v="0"/>
    <n v="1"/>
    <m/>
    <m/>
  </r>
  <r>
    <n v="37"/>
    <s v="No"/>
    <s v="Travel_Rarely"/>
    <n v="1225"/>
    <s v="Research &amp; Development"/>
    <n v="10"/>
    <n v="2"/>
    <s v="Life Sciences"/>
    <n v="1"/>
    <n v="715"/>
    <n v="4"/>
    <s v="Male"/>
    <n v="80"/>
    <n v="4"/>
    <n v="1"/>
    <s v="Research Scientist"/>
    <n v="4"/>
    <s v="Single"/>
    <n v="4680"/>
    <n v="15232"/>
    <n v="3"/>
    <s v="Y"/>
    <s v="No"/>
    <n v="17"/>
    <n v="3"/>
    <n v="1"/>
    <n v="80"/>
    <n v="0"/>
    <n v="4"/>
    <n v="2"/>
    <n v="3"/>
    <n v="1"/>
    <n v="0"/>
    <n v="0"/>
    <n v="0"/>
    <x v="1"/>
    <n v="0"/>
    <n v="0"/>
    <n v="1"/>
    <m/>
    <m/>
  </r>
  <r>
    <n v="50"/>
    <s v="No"/>
    <s v="Travel_Rarely"/>
    <n v="1207"/>
    <s v="Research &amp; Development"/>
    <n v="28"/>
    <n v="1"/>
    <s v="Medical"/>
    <n v="1"/>
    <n v="716"/>
    <n v="4"/>
    <s v="Male"/>
    <n v="74"/>
    <n v="4"/>
    <n v="1"/>
    <s v="Laboratory Technician"/>
    <n v="3"/>
    <s v="Married"/>
    <n v="3221"/>
    <n v="3297"/>
    <n v="1"/>
    <s v="Y"/>
    <s v="Yes"/>
    <n v="11"/>
    <n v="3"/>
    <n v="3"/>
    <n v="80"/>
    <n v="3"/>
    <n v="20"/>
    <n v="3"/>
    <n v="3"/>
    <n v="20"/>
    <n v="8"/>
    <n v="3"/>
    <n v="8"/>
    <x v="1"/>
    <n v="0"/>
    <n v="0"/>
    <n v="1"/>
    <m/>
    <m/>
  </r>
  <r>
    <n v="34"/>
    <s v="No"/>
    <s v="Travel_Rarely"/>
    <n v="1442"/>
    <s v="Research &amp; Development"/>
    <n v="9"/>
    <n v="3"/>
    <s v="Medical"/>
    <n v="1"/>
    <n v="717"/>
    <n v="4"/>
    <s v="Female"/>
    <n v="46"/>
    <n v="2"/>
    <n v="3"/>
    <s v="Healthcare Representative"/>
    <n v="2"/>
    <s v="Single"/>
    <n v="8621"/>
    <n v="17654"/>
    <n v="1"/>
    <s v="Y"/>
    <s v="No"/>
    <n v="14"/>
    <n v="3"/>
    <n v="2"/>
    <n v="80"/>
    <n v="0"/>
    <n v="9"/>
    <n v="3"/>
    <n v="4"/>
    <n v="8"/>
    <n v="7"/>
    <n v="7"/>
    <n v="7"/>
    <x v="3"/>
    <n v="0"/>
    <n v="0"/>
    <n v="1"/>
    <m/>
    <m/>
  </r>
  <r>
    <n v="24"/>
    <s v="Yes"/>
    <s v="Travel_Rarely"/>
    <n v="693"/>
    <s v="Sales"/>
    <n v="3"/>
    <n v="2"/>
    <s v="Life Sciences"/>
    <n v="1"/>
    <n v="720"/>
    <n v="1"/>
    <s v="Female"/>
    <n v="65"/>
    <n v="3"/>
    <n v="2"/>
    <s v="Sales Executive"/>
    <n v="3"/>
    <s v="Single"/>
    <n v="4577"/>
    <n v="24785"/>
    <n v="9"/>
    <s v="Y"/>
    <s v="No"/>
    <n v="14"/>
    <n v="3"/>
    <n v="1"/>
    <n v="80"/>
    <n v="0"/>
    <n v="4"/>
    <n v="3"/>
    <n v="3"/>
    <n v="2"/>
    <n v="2"/>
    <n v="2"/>
    <n v="0"/>
    <x v="0"/>
    <n v="1"/>
    <n v="82386"/>
    <n v="1"/>
    <m/>
    <m/>
  </r>
  <r>
    <n v="39"/>
    <s v="No"/>
    <s v="Travel_Rarely"/>
    <n v="408"/>
    <s v="Research &amp; Development"/>
    <n v="2"/>
    <n v="4"/>
    <s v="Technical Degree"/>
    <n v="1"/>
    <n v="721"/>
    <n v="4"/>
    <s v="Female"/>
    <n v="80"/>
    <n v="2"/>
    <n v="2"/>
    <s v="Healthcare Representative"/>
    <n v="3"/>
    <s v="Single"/>
    <n v="4553"/>
    <n v="20978"/>
    <n v="1"/>
    <s v="Y"/>
    <s v="No"/>
    <n v="11"/>
    <n v="3"/>
    <n v="1"/>
    <n v="80"/>
    <n v="0"/>
    <n v="20"/>
    <n v="4"/>
    <n v="3"/>
    <n v="20"/>
    <n v="7"/>
    <n v="11"/>
    <n v="10"/>
    <x v="3"/>
    <n v="0"/>
    <n v="0"/>
    <n v="1"/>
    <m/>
    <m/>
  </r>
  <r>
    <n v="32"/>
    <s v="No"/>
    <s v="Travel_Rarely"/>
    <n v="929"/>
    <s v="Sales"/>
    <n v="10"/>
    <n v="3"/>
    <s v="Marketing"/>
    <n v="1"/>
    <n v="722"/>
    <n v="4"/>
    <s v="Male"/>
    <n v="55"/>
    <n v="3"/>
    <n v="2"/>
    <s v="Sales Executive"/>
    <n v="4"/>
    <s v="Single"/>
    <n v="5396"/>
    <n v="21703"/>
    <n v="1"/>
    <s v="Y"/>
    <s v="No"/>
    <n v="12"/>
    <n v="3"/>
    <n v="4"/>
    <n v="80"/>
    <n v="0"/>
    <n v="10"/>
    <n v="2"/>
    <n v="2"/>
    <n v="10"/>
    <n v="7"/>
    <n v="0"/>
    <n v="8"/>
    <x v="0"/>
    <n v="0"/>
    <n v="0"/>
    <n v="1"/>
    <m/>
    <m/>
  </r>
  <r>
    <n v="50"/>
    <s v="Yes"/>
    <s v="Travel_Frequently"/>
    <n v="562"/>
    <s v="Sales"/>
    <n v="8"/>
    <n v="2"/>
    <s v="Technical Degree"/>
    <n v="1"/>
    <n v="723"/>
    <n v="2"/>
    <s v="Male"/>
    <n v="50"/>
    <n v="3"/>
    <n v="2"/>
    <s v="Sales Executive"/>
    <n v="3"/>
    <s v="Married"/>
    <n v="6796"/>
    <n v="23452"/>
    <n v="3"/>
    <s v="Y"/>
    <s v="Yes"/>
    <n v="14"/>
    <n v="3"/>
    <n v="1"/>
    <n v="80"/>
    <n v="1"/>
    <n v="18"/>
    <n v="4"/>
    <n v="3"/>
    <n v="4"/>
    <n v="3"/>
    <n v="1"/>
    <n v="3"/>
    <x v="0"/>
    <n v="1"/>
    <n v="122328"/>
    <n v="1"/>
    <m/>
    <m/>
  </r>
  <r>
    <n v="38"/>
    <s v="No"/>
    <s v="Travel_Rarely"/>
    <n v="827"/>
    <s v="Research &amp; Development"/>
    <n v="1"/>
    <n v="4"/>
    <s v="Life Sciences"/>
    <n v="1"/>
    <n v="724"/>
    <n v="2"/>
    <s v="Female"/>
    <n v="33"/>
    <n v="4"/>
    <n v="2"/>
    <s v="Healthcare Representative"/>
    <n v="4"/>
    <s v="Single"/>
    <n v="7625"/>
    <n v="19383"/>
    <n v="0"/>
    <s v="Y"/>
    <s v="No"/>
    <n v="13"/>
    <n v="3"/>
    <n v="3"/>
    <n v="80"/>
    <n v="0"/>
    <n v="10"/>
    <n v="4"/>
    <n v="2"/>
    <n v="9"/>
    <n v="7"/>
    <n v="1"/>
    <n v="8"/>
    <x v="3"/>
    <n v="0"/>
    <n v="0"/>
    <n v="1"/>
    <m/>
    <m/>
  </r>
  <r>
    <n v="27"/>
    <s v="No"/>
    <s v="Travel_Rarely"/>
    <n v="608"/>
    <s v="Research &amp; Development"/>
    <n v="1"/>
    <n v="2"/>
    <s v="Life Sciences"/>
    <n v="1"/>
    <n v="725"/>
    <n v="3"/>
    <s v="Female"/>
    <n v="68"/>
    <n v="3"/>
    <n v="3"/>
    <s v="Manufacturing Director"/>
    <n v="1"/>
    <s v="Married"/>
    <n v="7412"/>
    <n v="6009"/>
    <n v="1"/>
    <s v="Y"/>
    <s v="No"/>
    <n v="11"/>
    <n v="3"/>
    <n v="4"/>
    <n v="80"/>
    <n v="0"/>
    <n v="9"/>
    <n v="3"/>
    <n v="3"/>
    <n v="9"/>
    <n v="7"/>
    <n v="0"/>
    <n v="7"/>
    <x v="2"/>
    <n v="0"/>
    <n v="0"/>
    <n v="1"/>
    <m/>
    <m/>
  </r>
  <r>
    <n v="32"/>
    <s v="No"/>
    <s v="Travel_Rarely"/>
    <n v="1018"/>
    <s v="Research &amp; Development"/>
    <n v="3"/>
    <n v="2"/>
    <s v="Life Sciences"/>
    <n v="1"/>
    <n v="727"/>
    <n v="3"/>
    <s v="Female"/>
    <n v="39"/>
    <n v="3"/>
    <n v="3"/>
    <s v="Research Director"/>
    <n v="4"/>
    <s v="Single"/>
    <n v="11159"/>
    <n v="19373"/>
    <n v="3"/>
    <s v="Y"/>
    <s v="No"/>
    <n v="15"/>
    <n v="3"/>
    <n v="4"/>
    <n v="80"/>
    <n v="0"/>
    <n v="10"/>
    <n v="6"/>
    <n v="3"/>
    <n v="7"/>
    <n v="7"/>
    <n v="7"/>
    <n v="7"/>
    <x v="1"/>
    <n v="0"/>
    <n v="0"/>
    <n v="1"/>
    <m/>
    <m/>
  </r>
  <r>
    <n v="47"/>
    <s v="No"/>
    <s v="Travel_Rarely"/>
    <n v="703"/>
    <s v="Sales"/>
    <n v="14"/>
    <n v="4"/>
    <s v="Marketing"/>
    <n v="1"/>
    <n v="728"/>
    <n v="4"/>
    <s v="Male"/>
    <n v="42"/>
    <n v="3"/>
    <n v="2"/>
    <s v="Sales Executive"/>
    <n v="1"/>
    <s v="Single"/>
    <n v="4960"/>
    <n v="11825"/>
    <n v="2"/>
    <s v="Y"/>
    <s v="No"/>
    <n v="12"/>
    <n v="3"/>
    <n v="4"/>
    <n v="80"/>
    <n v="0"/>
    <n v="20"/>
    <n v="2"/>
    <n v="3"/>
    <n v="7"/>
    <n v="7"/>
    <n v="1"/>
    <n v="7"/>
    <x v="0"/>
    <n v="0"/>
    <n v="0"/>
    <n v="1"/>
    <m/>
    <m/>
  </r>
  <r>
    <n v="40"/>
    <s v="No"/>
    <s v="Travel_Frequently"/>
    <n v="580"/>
    <s v="Sales"/>
    <n v="5"/>
    <n v="4"/>
    <s v="Life Sciences"/>
    <n v="1"/>
    <n v="729"/>
    <n v="4"/>
    <s v="Male"/>
    <n v="48"/>
    <n v="2"/>
    <n v="3"/>
    <s v="Sales Executive"/>
    <n v="1"/>
    <s v="Married"/>
    <n v="10475"/>
    <n v="23772"/>
    <n v="5"/>
    <s v="Y"/>
    <s v="Yes"/>
    <n v="21"/>
    <n v="4"/>
    <n v="3"/>
    <n v="80"/>
    <n v="1"/>
    <n v="20"/>
    <n v="2"/>
    <n v="3"/>
    <n v="18"/>
    <n v="13"/>
    <n v="1"/>
    <n v="12"/>
    <x v="0"/>
    <n v="0"/>
    <n v="0"/>
    <n v="1"/>
    <m/>
    <m/>
  </r>
  <r>
    <n v="53"/>
    <s v="No"/>
    <s v="Travel_Rarely"/>
    <n v="970"/>
    <s v="Research &amp; Development"/>
    <n v="7"/>
    <n v="3"/>
    <s v="Life Sciences"/>
    <n v="1"/>
    <n v="730"/>
    <n v="3"/>
    <s v="Male"/>
    <n v="59"/>
    <n v="4"/>
    <n v="4"/>
    <s v="Research Director"/>
    <n v="3"/>
    <s v="Married"/>
    <n v="14814"/>
    <n v="13514"/>
    <n v="3"/>
    <s v="Y"/>
    <s v="No"/>
    <n v="19"/>
    <n v="3"/>
    <n v="3"/>
    <n v="80"/>
    <n v="0"/>
    <n v="32"/>
    <n v="3"/>
    <n v="3"/>
    <n v="5"/>
    <n v="1"/>
    <n v="1"/>
    <n v="3"/>
    <x v="1"/>
    <n v="0"/>
    <n v="0"/>
    <n v="1"/>
    <m/>
    <m/>
  </r>
  <r>
    <n v="41"/>
    <s v="No"/>
    <s v="Travel_Rarely"/>
    <n v="427"/>
    <s v="Human Resources"/>
    <n v="10"/>
    <n v="4"/>
    <s v="Human Resources"/>
    <n v="1"/>
    <n v="731"/>
    <n v="2"/>
    <s v="Male"/>
    <n v="73"/>
    <n v="2"/>
    <n v="5"/>
    <s v="Manager"/>
    <n v="4"/>
    <s v="Divorced"/>
    <n v="19141"/>
    <n v="8861"/>
    <n v="3"/>
    <s v="Y"/>
    <s v="No"/>
    <n v="15"/>
    <n v="3"/>
    <n v="2"/>
    <n v="80"/>
    <n v="3"/>
    <n v="23"/>
    <n v="2"/>
    <n v="2"/>
    <n v="21"/>
    <n v="6"/>
    <n v="12"/>
    <n v="6"/>
    <x v="4"/>
    <n v="0"/>
    <n v="0"/>
    <n v="1"/>
    <m/>
    <m/>
  </r>
  <r>
    <n v="60"/>
    <s v="No"/>
    <s v="Travel_Rarely"/>
    <n v="1179"/>
    <s v="Sales"/>
    <n v="16"/>
    <n v="4"/>
    <s v="Marketing"/>
    <n v="1"/>
    <n v="732"/>
    <n v="1"/>
    <s v="Male"/>
    <n v="84"/>
    <n v="3"/>
    <n v="2"/>
    <s v="Sales Executive"/>
    <n v="1"/>
    <s v="Single"/>
    <n v="5405"/>
    <n v="11924"/>
    <n v="8"/>
    <s v="Y"/>
    <s v="No"/>
    <n v="14"/>
    <n v="3"/>
    <n v="4"/>
    <n v="80"/>
    <n v="0"/>
    <n v="10"/>
    <n v="1"/>
    <n v="3"/>
    <n v="2"/>
    <n v="2"/>
    <n v="2"/>
    <n v="2"/>
    <x v="0"/>
    <n v="0"/>
    <n v="0"/>
    <n v="1"/>
    <m/>
    <m/>
  </r>
  <r>
    <n v="27"/>
    <s v="No"/>
    <s v="Travel_Frequently"/>
    <n v="294"/>
    <s v="Research &amp; Development"/>
    <n v="10"/>
    <n v="2"/>
    <s v="Life Sciences"/>
    <n v="1"/>
    <n v="733"/>
    <n v="4"/>
    <s v="Male"/>
    <n v="32"/>
    <n v="3"/>
    <n v="3"/>
    <s v="Manufacturing Director"/>
    <n v="1"/>
    <s v="Divorced"/>
    <n v="8793"/>
    <n v="4809"/>
    <n v="1"/>
    <s v="Y"/>
    <s v="No"/>
    <n v="21"/>
    <n v="4"/>
    <n v="3"/>
    <n v="80"/>
    <n v="2"/>
    <n v="9"/>
    <n v="4"/>
    <n v="2"/>
    <n v="9"/>
    <n v="7"/>
    <n v="1"/>
    <n v="7"/>
    <x v="2"/>
    <n v="0"/>
    <n v="0"/>
    <n v="1"/>
    <m/>
    <m/>
  </r>
  <r>
    <n v="41"/>
    <s v="No"/>
    <s v="Travel_Rarely"/>
    <n v="314"/>
    <s v="Human Resources"/>
    <n v="1"/>
    <n v="3"/>
    <s v="Human Resources"/>
    <n v="1"/>
    <n v="734"/>
    <n v="4"/>
    <s v="Male"/>
    <n v="59"/>
    <n v="2"/>
    <n v="5"/>
    <s v="Manager"/>
    <n v="3"/>
    <s v="Married"/>
    <n v="19189"/>
    <n v="19562"/>
    <n v="1"/>
    <s v="Y"/>
    <s v="No"/>
    <n v="12"/>
    <n v="3"/>
    <n v="2"/>
    <n v="80"/>
    <n v="1"/>
    <n v="22"/>
    <n v="3"/>
    <n v="3"/>
    <n v="22"/>
    <n v="7"/>
    <n v="2"/>
    <n v="10"/>
    <x v="4"/>
    <n v="0"/>
    <n v="0"/>
    <n v="1"/>
    <m/>
    <m/>
  </r>
  <r>
    <n v="50"/>
    <s v="No"/>
    <s v="Travel_Rarely"/>
    <n v="316"/>
    <s v="Sales"/>
    <n v="8"/>
    <n v="4"/>
    <s v="Marketing"/>
    <n v="1"/>
    <n v="738"/>
    <n v="4"/>
    <s v="Male"/>
    <n v="54"/>
    <n v="3"/>
    <n v="1"/>
    <s v="Sales Representative"/>
    <n v="2"/>
    <s v="Married"/>
    <n v="3875"/>
    <n v="9983"/>
    <n v="7"/>
    <s v="Y"/>
    <s v="No"/>
    <n v="15"/>
    <n v="3"/>
    <n v="4"/>
    <n v="80"/>
    <n v="1"/>
    <n v="4"/>
    <n v="2"/>
    <n v="3"/>
    <n v="2"/>
    <n v="2"/>
    <n v="2"/>
    <n v="2"/>
    <x v="0"/>
    <n v="0"/>
    <n v="0"/>
    <n v="1"/>
    <m/>
    <m/>
  </r>
  <r>
    <n v="28"/>
    <s v="Yes"/>
    <s v="Travel_Rarely"/>
    <n v="654"/>
    <s v="Research &amp; Development"/>
    <n v="1"/>
    <n v="2"/>
    <s v="Life Sciences"/>
    <n v="1"/>
    <n v="741"/>
    <n v="1"/>
    <s v="Female"/>
    <n v="67"/>
    <n v="1"/>
    <n v="1"/>
    <s v="Research Scientist"/>
    <n v="2"/>
    <s v="Single"/>
    <n v="2216"/>
    <n v="3872"/>
    <n v="7"/>
    <s v="Y"/>
    <s v="Yes"/>
    <n v="13"/>
    <n v="3"/>
    <n v="4"/>
    <n v="80"/>
    <n v="0"/>
    <n v="10"/>
    <n v="4"/>
    <n v="3"/>
    <n v="7"/>
    <n v="7"/>
    <n v="3"/>
    <n v="7"/>
    <x v="1"/>
    <n v="1"/>
    <n v="39888"/>
    <n v="1"/>
    <m/>
    <m/>
  </r>
  <r>
    <n v="36"/>
    <s v="No"/>
    <s v="Non-Travel"/>
    <n v="427"/>
    <s v="Research &amp; Development"/>
    <n v="8"/>
    <n v="3"/>
    <s v="Life Sciences"/>
    <n v="1"/>
    <n v="742"/>
    <n v="1"/>
    <s v="Female"/>
    <n v="63"/>
    <n v="4"/>
    <n v="3"/>
    <s v="Research Director"/>
    <n v="1"/>
    <s v="Married"/>
    <n v="11713"/>
    <n v="20335"/>
    <n v="9"/>
    <s v="Y"/>
    <s v="No"/>
    <n v="14"/>
    <n v="3"/>
    <n v="1"/>
    <n v="80"/>
    <n v="1"/>
    <n v="10"/>
    <n v="2"/>
    <n v="3"/>
    <n v="8"/>
    <n v="7"/>
    <n v="0"/>
    <n v="5"/>
    <x v="1"/>
    <n v="0"/>
    <n v="0"/>
    <n v="1"/>
    <m/>
    <m/>
  </r>
  <r>
    <n v="38"/>
    <s v="No"/>
    <s v="Travel_Rarely"/>
    <n v="168"/>
    <s v="Research &amp; Development"/>
    <n v="1"/>
    <n v="3"/>
    <s v="Life Sciences"/>
    <n v="1"/>
    <n v="743"/>
    <n v="3"/>
    <s v="Female"/>
    <n v="81"/>
    <n v="3"/>
    <n v="3"/>
    <s v="Manufacturing Director"/>
    <n v="3"/>
    <s v="Single"/>
    <n v="7861"/>
    <n v="15397"/>
    <n v="4"/>
    <s v="Y"/>
    <s v="Yes"/>
    <n v="14"/>
    <n v="3"/>
    <n v="4"/>
    <n v="80"/>
    <n v="0"/>
    <n v="10"/>
    <n v="4"/>
    <n v="4"/>
    <n v="1"/>
    <n v="0"/>
    <n v="0"/>
    <n v="0"/>
    <x v="2"/>
    <n v="0"/>
    <n v="0"/>
    <n v="1"/>
    <m/>
    <m/>
  </r>
  <r>
    <n v="44"/>
    <s v="No"/>
    <s v="Non-Travel"/>
    <n v="381"/>
    <s v="Research &amp; Development"/>
    <n v="24"/>
    <n v="3"/>
    <s v="Medical"/>
    <n v="1"/>
    <n v="744"/>
    <n v="1"/>
    <s v="Male"/>
    <n v="49"/>
    <n v="1"/>
    <n v="1"/>
    <s v="Laboratory Technician"/>
    <n v="3"/>
    <s v="Single"/>
    <n v="3708"/>
    <n v="2104"/>
    <n v="2"/>
    <s v="Y"/>
    <s v="No"/>
    <n v="14"/>
    <n v="3"/>
    <n v="3"/>
    <n v="80"/>
    <n v="0"/>
    <n v="9"/>
    <n v="5"/>
    <n v="3"/>
    <n v="5"/>
    <n v="2"/>
    <n v="1"/>
    <n v="4"/>
    <x v="1"/>
    <n v="0"/>
    <n v="0"/>
    <n v="1"/>
    <m/>
    <m/>
  </r>
  <r>
    <n v="47"/>
    <s v="No"/>
    <s v="Travel_Frequently"/>
    <n v="217"/>
    <s v="Sales"/>
    <n v="3"/>
    <n v="3"/>
    <s v="Medical"/>
    <n v="1"/>
    <n v="746"/>
    <n v="4"/>
    <s v="Female"/>
    <n v="49"/>
    <n v="3"/>
    <n v="4"/>
    <s v="Sales Executive"/>
    <n v="3"/>
    <s v="Divorced"/>
    <n v="13770"/>
    <n v="10225"/>
    <n v="9"/>
    <s v="Y"/>
    <s v="Yes"/>
    <n v="12"/>
    <n v="3"/>
    <n v="4"/>
    <n v="80"/>
    <n v="2"/>
    <n v="28"/>
    <n v="2"/>
    <n v="2"/>
    <n v="22"/>
    <n v="2"/>
    <n v="11"/>
    <n v="13"/>
    <x v="0"/>
    <n v="0"/>
    <n v="0"/>
    <n v="1"/>
    <m/>
    <m/>
  </r>
  <r>
    <n v="30"/>
    <s v="No"/>
    <s v="Travel_Rarely"/>
    <n v="501"/>
    <s v="Sales"/>
    <n v="27"/>
    <n v="5"/>
    <s v="Marketing"/>
    <n v="1"/>
    <n v="747"/>
    <n v="3"/>
    <s v="Male"/>
    <n v="99"/>
    <n v="3"/>
    <n v="2"/>
    <s v="Sales Executive"/>
    <n v="4"/>
    <s v="Divorced"/>
    <n v="5304"/>
    <n v="25275"/>
    <n v="7"/>
    <s v="Y"/>
    <s v="No"/>
    <n v="23"/>
    <n v="4"/>
    <n v="4"/>
    <n v="80"/>
    <n v="1"/>
    <n v="10"/>
    <n v="2"/>
    <n v="2"/>
    <n v="8"/>
    <n v="7"/>
    <n v="7"/>
    <n v="7"/>
    <x v="0"/>
    <n v="0"/>
    <n v="0"/>
    <n v="1"/>
    <m/>
    <m/>
  </r>
  <r>
    <n v="29"/>
    <s v="No"/>
    <s v="Travel_Rarely"/>
    <n v="1396"/>
    <s v="Sales"/>
    <n v="10"/>
    <n v="3"/>
    <s v="Life Sciences"/>
    <n v="1"/>
    <n v="749"/>
    <n v="3"/>
    <s v="Male"/>
    <n v="99"/>
    <n v="3"/>
    <n v="1"/>
    <s v="Sales Representative"/>
    <n v="3"/>
    <s v="Single"/>
    <n v="2642"/>
    <n v="2755"/>
    <n v="1"/>
    <s v="Y"/>
    <s v="No"/>
    <n v="11"/>
    <n v="3"/>
    <n v="3"/>
    <n v="80"/>
    <n v="0"/>
    <n v="1"/>
    <n v="6"/>
    <n v="3"/>
    <n v="1"/>
    <n v="0"/>
    <n v="0"/>
    <n v="0"/>
    <x v="0"/>
    <n v="0"/>
    <n v="0"/>
    <n v="1"/>
    <m/>
    <m/>
  </r>
  <r>
    <n v="42"/>
    <s v="Yes"/>
    <s v="Travel_Frequently"/>
    <n v="933"/>
    <s v="Research &amp; Development"/>
    <n v="19"/>
    <n v="3"/>
    <s v="Medical"/>
    <n v="1"/>
    <n v="752"/>
    <n v="3"/>
    <s v="Male"/>
    <n v="57"/>
    <n v="4"/>
    <n v="1"/>
    <s v="Research Scientist"/>
    <n v="3"/>
    <s v="Divorced"/>
    <n v="2759"/>
    <n v="20366"/>
    <n v="6"/>
    <s v="Y"/>
    <s v="Yes"/>
    <n v="12"/>
    <n v="3"/>
    <n v="4"/>
    <n v="80"/>
    <n v="0"/>
    <n v="7"/>
    <n v="2"/>
    <n v="3"/>
    <n v="2"/>
    <n v="2"/>
    <n v="2"/>
    <n v="2"/>
    <x v="1"/>
    <n v="1"/>
    <n v="49662"/>
    <n v="1"/>
    <m/>
    <m/>
  </r>
  <r>
    <n v="43"/>
    <s v="No"/>
    <s v="Travel_Frequently"/>
    <n v="775"/>
    <s v="Sales"/>
    <n v="15"/>
    <n v="3"/>
    <s v="Life Sciences"/>
    <n v="1"/>
    <n v="754"/>
    <n v="4"/>
    <s v="Male"/>
    <n v="47"/>
    <n v="2"/>
    <n v="2"/>
    <s v="Sales Executive"/>
    <n v="4"/>
    <s v="Married"/>
    <n v="6804"/>
    <n v="23683"/>
    <n v="3"/>
    <s v="Y"/>
    <s v="No"/>
    <n v="18"/>
    <n v="3"/>
    <n v="3"/>
    <n v="80"/>
    <n v="1"/>
    <n v="7"/>
    <n v="5"/>
    <n v="3"/>
    <n v="2"/>
    <n v="2"/>
    <n v="2"/>
    <n v="2"/>
    <x v="0"/>
    <n v="0"/>
    <n v="0"/>
    <n v="1"/>
    <m/>
    <m/>
  </r>
  <r>
    <n v="34"/>
    <s v="No"/>
    <s v="Travel_Rarely"/>
    <n v="970"/>
    <s v="Research &amp; Development"/>
    <n v="8"/>
    <n v="2"/>
    <s v="Medical"/>
    <n v="1"/>
    <n v="757"/>
    <n v="2"/>
    <s v="Female"/>
    <n v="96"/>
    <n v="3"/>
    <n v="2"/>
    <s v="Healthcare Representative"/>
    <n v="3"/>
    <s v="Single"/>
    <n v="6142"/>
    <n v="7360"/>
    <n v="3"/>
    <s v="Y"/>
    <s v="No"/>
    <n v="11"/>
    <n v="3"/>
    <n v="4"/>
    <n v="80"/>
    <n v="0"/>
    <n v="10"/>
    <n v="2"/>
    <n v="3"/>
    <n v="5"/>
    <n v="1"/>
    <n v="4"/>
    <n v="3"/>
    <x v="3"/>
    <n v="0"/>
    <n v="0"/>
    <n v="1"/>
    <m/>
    <m/>
  </r>
  <r>
    <n v="23"/>
    <s v="No"/>
    <s v="Travel_Rarely"/>
    <n v="650"/>
    <s v="Research &amp; Development"/>
    <n v="9"/>
    <n v="1"/>
    <s v="Medical"/>
    <n v="1"/>
    <n v="758"/>
    <n v="2"/>
    <s v="Male"/>
    <n v="37"/>
    <n v="3"/>
    <n v="1"/>
    <s v="Laboratory Technician"/>
    <n v="1"/>
    <s v="Married"/>
    <n v="2500"/>
    <n v="4344"/>
    <n v="1"/>
    <s v="Y"/>
    <s v="No"/>
    <n v="14"/>
    <n v="3"/>
    <n v="4"/>
    <n v="80"/>
    <n v="1"/>
    <n v="5"/>
    <n v="2"/>
    <n v="4"/>
    <n v="4"/>
    <n v="3"/>
    <n v="0"/>
    <n v="2"/>
    <x v="1"/>
    <n v="0"/>
    <n v="0"/>
    <n v="1"/>
    <m/>
    <m/>
  </r>
  <r>
    <n v="39"/>
    <s v="No"/>
    <s v="Travel_Rarely"/>
    <n v="141"/>
    <s v="Human Resources"/>
    <n v="3"/>
    <n v="3"/>
    <s v="Human Resources"/>
    <n v="1"/>
    <n v="760"/>
    <n v="3"/>
    <s v="Female"/>
    <n v="44"/>
    <n v="4"/>
    <n v="2"/>
    <s v="Human Resources"/>
    <n v="2"/>
    <s v="Married"/>
    <n v="6389"/>
    <n v="18767"/>
    <n v="9"/>
    <s v="Y"/>
    <s v="No"/>
    <n v="15"/>
    <n v="3"/>
    <n v="3"/>
    <n v="80"/>
    <n v="1"/>
    <n v="12"/>
    <n v="3"/>
    <n v="1"/>
    <n v="8"/>
    <n v="3"/>
    <n v="3"/>
    <n v="6"/>
    <x v="5"/>
    <n v="0"/>
    <n v="0"/>
    <n v="1"/>
    <m/>
    <m/>
  </r>
  <r>
    <n v="56"/>
    <s v="No"/>
    <s v="Travel_Rarely"/>
    <n v="832"/>
    <s v="Research &amp; Development"/>
    <n v="9"/>
    <n v="3"/>
    <s v="Medical"/>
    <n v="1"/>
    <n v="762"/>
    <n v="3"/>
    <s v="Male"/>
    <n v="81"/>
    <n v="3"/>
    <n v="4"/>
    <s v="Healthcare Representative"/>
    <n v="4"/>
    <s v="Married"/>
    <n v="11103"/>
    <n v="20420"/>
    <n v="7"/>
    <s v="Y"/>
    <s v="No"/>
    <n v="11"/>
    <n v="3"/>
    <n v="3"/>
    <n v="80"/>
    <n v="0"/>
    <n v="30"/>
    <n v="1"/>
    <n v="2"/>
    <n v="10"/>
    <n v="7"/>
    <n v="1"/>
    <n v="1"/>
    <x v="3"/>
    <n v="0"/>
    <n v="0"/>
    <n v="1"/>
    <m/>
    <m/>
  </r>
  <r>
    <n v="40"/>
    <s v="No"/>
    <s v="Travel_Rarely"/>
    <n v="804"/>
    <s v="Research &amp; Development"/>
    <n v="2"/>
    <n v="1"/>
    <s v="Medical"/>
    <n v="1"/>
    <n v="763"/>
    <n v="4"/>
    <s v="Female"/>
    <n v="86"/>
    <n v="2"/>
    <n v="1"/>
    <s v="Research Scientist"/>
    <n v="4"/>
    <s v="Single"/>
    <n v="2342"/>
    <n v="22929"/>
    <n v="0"/>
    <s v="Y"/>
    <s v="Yes"/>
    <n v="20"/>
    <n v="4"/>
    <n v="4"/>
    <n v="80"/>
    <n v="0"/>
    <n v="5"/>
    <n v="2"/>
    <n v="2"/>
    <n v="4"/>
    <n v="2"/>
    <n v="2"/>
    <n v="3"/>
    <x v="1"/>
    <n v="0"/>
    <n v="0"/>
    <n v="1"/>
    <m/>
    <m/>
  </r>
  <r>
    <n v="27"/>
    <s v="No"/>
    <s v="Travel_Rarely"/>
    <n v="975"/>
    <s v="Research &amp; Development"/>
    <n v="7"/>
    <n v="3"/>
    <s v="Medical"/>
    <n v="1"/>
    <n v="764"/>
    <n v="4"/>
    <s v="Female"/>
    <n v="55"/>
    <n v="2"/>
    <n v="2"/>
    <s v="Healthcare Representative"/>
    <n v="1"/>
    <s v="Single"/>
    <n v="6811"/>
    <n v="23398"/>
    <n v="8"/>
    <s v="Y"/>
    <s v="No"/>
    <n v="19"/>
    <n v="3"/>
    <n v="1"/>
    <n v="80"/>
    <n v="0"/>
    <n v="9"/>
    <n v="2"/>
    <n v="1"/>
    <n v="7"/>
    <n v="6"/>
    <n v="0"/>
    <n v="7"/>
    <x v="3"/>
    <n v="0"/>
    <n v="0"/>
    <n v="1"/>
    <m/>
    <m/>
  </r>
  <r>
    <n v="29"/>
    <s v="No"/>
    <s v="Travel_Rarely"/>
    <n v="1090"/>
    <s v="Sales"/>
    <n v="10"/>
    <n v="3"/>
    <s v="Marketing"/>
    <n v="1"/>
    <n v="766"/>
    <n v="4"/>
    <s v="Male"/>
    <n v="83"/>
    <n v="3"/>
    <n v="1"/>
    <s v="Sales Representative"/>
    <n v="2"/>
    <s v="Divorced"/>
    <n v="2297"/>
    <n v="17967"/>
    <n v="1"/>
    <s v="Y"/>
    <s v="No"/>
    <n v="14"/>
    <n v="3"/>
    <n v="4"/>
    <n v="80"/>
    <n v="2"/>
    <n v="2"/>
    <n v="2"/>
    <n v="3"/>
    <n v="2"/>
    <n v="2"/>
    <n v="2"/>
    <n v="2"/>
    <x v="0"/>
    <n v="0"/>
    <n v="0"/>
    <n v="1"/>
    <m/>
    <m/>
  </r>
  <r>
    <n v="53"/>
    <s v="No"/>
    <s v="Travel_Rarely"/>
    <n v="346"/>
    <s v="Research &amp; Development"/>
    <n v="6"/>
    <n v="3"/>
    <s v="Life Sciences"/>
    <n v="1"/>
    <n v="769"/>
    <n v="4"/>
    <s v="Male"/>
    <n v="86"/>
    <n v="3"/>
    <n v="2"/>
    <s v="Laboratory Technician"/>
    <n v="4"/>
    <s v="Single"/>
    <n v="2450"/>
    <n v="10919"/>
    <n v="2"/>
    <s v="Y"/>
    <s v="No"/>
    <n v="17"/>
    <n v="3"/>
    <n v="4"/>
    <n v="80"/>
    <n v="0"/>
    <n v="19"/>
    <n v="4"/>
    <n v="3"/>
    <n v="2"/>
    <n v="2"/>
    <n v="2"/>
    <n v="2"/>
    <x v="1"/>
    <n v="0"/>
    <n v="0"/>
    <n v="1"/>
    <m/>
    <m/>
  </r>
  <r>
    <n v="35"/>
    <s v="No"/>
    <s v="Non-Travel"/>
    <n v="1225"/>
    <s v="Research &amp; Development"/>
    <n v="2"/>
    <n v="4"/>
    <s v="Life Sciences"/>
    <n v="1"/>
    <n v="771"/>
    <n v="4"/>
    <s v="Female"/>
    <n v="61"/>
    <n v="3"/>
    <n v="2"/>
    <s v="Healthcare Representative"/>
    <n v="1"/>
    <s v="Divorced"/>
    <n v="5093"/>
    <n v="4761"/>
    <n v="2"/>
    <s v="Y"/>
    <s v="No"/>
    <n v="11"/>
    <n v="3"/>
    <n v="1"/>
    <n v="80"/>
    <n v="1"/>
    <n v="16"/>
    <n v="2"/>
    <n v="4"/>
    <n v="1"/>
    <n v="0"/>
    <n v="0"/>
    <n v="0"/>
    <x v="3"/>
    <n v="0"/>
    <n v="0"/>
    <n v="1"/>
    <m/>
    <m/>
  </r>
  <r>
    <n v="32"/>
    <s v="No"/>
    <s v="Travel_Frequently"/>
    <n v="430"/>
    <s v="Research &amp; Development"/>
    <n v="24"/>
    <n v="4"/>
    <s v="Life Sciences"/>
    <n v="1"/>
    <n v="772"/>
    <n v="1"/>
    <s v="Male"/>
    <n v="80"/>
    <n v="3"/>
    <n v="2"/>
    <s v="Laboratory Technician"/>
    <n v="4"/>
    <s v="Married"/>
    <n v="5309"/>
    <n v="21146"/>
    <n v="1"/>
    <s v="Y"/>
    <s v="No"/>
    <n v="15"/>
    <n v="3"/>
    <n v="4"/>
    <n v="80"/>
    <n v="2"/>
    <n v="10"/>
    <n v="2"/>
    <n v="3"/>
    <n v="10"/>
    <n v="8"/>
    <n v="4"/>
    <n v="7"/>
    <x v="1"/>
    <n v="0"/>
    <n v="0"/>
    <n v="1"/>
    <m/>
    <m/>
  </r>
  <r>
    <n v="38"/>
    <s v="No"/>
    <s v="Travel_Rarely"/>
    <n v="268"/>
    <s v="Research &amp; Development"/>
    <n v="2"/>
    <n v="5"/>
    <s v="Medical"/>
    <n v="1"/>
    <n v="773"/>
    <n v="4"/>
    <s v="Male"/>
    <n v="92"/>
    <n v="3"/>
    <n v="1"/>
    <s v="Research Scientist"/>
    <n v="3"/>
    <s v="Married"/>
    <n v="3057"/>
    <n v="20471"/>
    <n v="6"/>
    <s v="Y"/>
    <s v="Yes"/>
    <n v="13"/>
    <n v="3"/>
    <n v="2"/>
    <n v="80"/>
    <n v="1"/>
    <n v="6"/>
    <n v="0"/>
    <n v="1"/>
    <n v="1"/>
    <n v="0"/>
    <n v="0"/>
    <n v="1"/>
    <x v="1"/>
    <n v="0"/>
    <n v="0"/>
    <n v="1"/>
    <m/>
    <m/>
  </r>
  <r>
    <n v="34"/>
    <s v="No"/>
    <s v="Travel_Rarely"/>
    <n v="167"/>
    <s v="Research &amp; Development"/>
    <n v="8"/>
    <n v="5"/>
    <s v="Life Sciences"/>
    <n v="1"/>
    <n v="775"/>
    <n v="2"/>
    <s v="Female"/>
    <n v="32"/>
    <n v="3"/>
    <n v="2"/>
    <s v="Manufacturing Director"/>
    <n v="1"/>
    <s v="Divorced"/>
    <n v="5121"/>
    <n v="4187"/>
    <n v="3"/>
    <s v="Y"/>
    <s v="No"/>
    <n v="14"/>
    <n v="3"/>
    <n v="3"/>
    <n v="80"/>
    <n v="1"/>
    <n v="7"/>
    <n v="3"/>
    <n v="3"/>
    <n v="0"/>
    <n v="0"/>
    <n v="0"/>
    <n v="0"/>
    <x v="2"/>
    <n v="0"/>
    <n v="0"/>
    <n v="1"/>
    <m/>
    <m/>
  </r>
  <r>
    <n v="52"/>
    <s v="No"/>
    <s v="Travel_Rarely"/>
    <n v="621"/>
    <s v="Sales"/>
    <n v="3"/>
    <n v="4"/>
    <s v="Marketing"/>
    <n v="1"/>
    <n v="776"/>
    <n v="3"/>
    <s v="Male"/>
    <n v="31"/>
    <n v="2"/>
    <n v="4"/>
    <s v="Manager"/>
    <n v="1"/>
    <s v="Married"/>
    <n v="16856"/>
    <n v="10084"/>
    <n v="1"/>
    <s v="Y"/>
    <s v="No"/>
    <n v="11"/>
    <n v="3"/>
    <n v="1"/>
    <n v="80"/>
    <n v="0"/>
    <n v="34"/>
    <n v="3"/>
    <n v="4"/>
    <n v="34"/>
    <n v="6"/>
    <n v="1"/>
    <n v="16"/>
    <x v="4"/>
    <n v="0"/>
    <n v="0"/>
    <n v="1"/>
    <m/>
    <m/>
  </r>
  <r>
    <n v="33"/>
    <s v="Yes"/>
    <s v="Travel_Rarely"/>
    <n v="527"/>
    <s v="Research &amp; Development"/>
    <n v="1"/>
    <n v="4"/>
    <s v="Other"/>
    <n v="1"/>
    <n v="780"/>
    <n v="4"/>
    <s v="Male"/>
    <n v="63"/>
    <n v="3"/>
    <n v="1"/>
    <s v="Research Scientist"/>
    <n v="4"/>
    <s v="Single"/>
    <n v="2686"/>
    <n v="5207"/>
    <n v="1"/>
    <s v="Y"/>
    <s v="Yes"/>
    <n v="13"/>
    <n v="3"/>
    <n v="3"/>
    <n v="80"/>
    <n v="0"/>
    <n v="10"/>
    <n v="2"/>
    <n v="2"/>
    <n v="10"/>
    <n v="9"/>
    <n v="7"/>
    <n v="8"/>
    <x v="1"/>
    <n v="1"/>
    <n v="48348"/>
    <n v="1"/>
    <m/>
    <m/>
  </r>
  <r>
    <n v="25"/>
    <s v="No"/>
    <s v="Travel_Rarely"/>
    <n v="883"/>
    <s v="Sales"/>
    <n v="26"/>
    <n v="1"/>
    <s v="Medical"/>
    <n v="1"/>
    <n v="781"/>
    <n v="3"/>
    <s v="Female"/>
    <n v="32"/>
    <n v="3"/>
    <n v="2"/>
    <s v="Sales Executive"/>
    <n v="4"/>
    <s v="Single"/>
    <n v="6180"/>
    <n v="22807"/>
    <n v="1"/>
    <s v="Y"/>
    <s v="No"/>
    <n v="23"/>
    <n v="4"/>
    <n v="2"/>
    <n v="80"/>
    <n v="0"/>
    <n v="6"/>
    <n v="5"/>
    <n v="2"/>
    <n v="6"/>
    <n v="5"/>
    <n v="1"/>
    <n v="4"/>
    <x v="0"/>
    <n v="0"/>
    <n v="0"/>
    <n v="1"/>
    <m/>
    <m/>
  </r>
  <r>
    <n v="45"/>
    <s v="No"/>
    <s v="Travel_Rarely"/>
    <n v="954"/>
    <s v="Sales"/>
    <n v="2"/>
    <n v="2"/>
    <s v="Technical Degree"/>
    <n v="1"/>
    <n v="783"/>
    <n v="2"/>
    <s v="Male"/>
    <n v="46"/>
    <n v="1"/>
    <n v="2"/>
    <s v="Sales Representative"/>
    <n v="3"/>
    <s v="Single"/>
    <n v="6632"/>
    <n v="12388"/>
    <n v="0"/>
    <s v="Y"/>
    <s v="No"/>
    <n v="13"/>
    <n v="3"/>
    <n v="1"/>
    <n v="80"/>
    <n v="0"/>
    <n v="9"/>
    <n v="3"/>
    <n v="3"/>
    <n v="8"/>
    <n v="7"/>
    <n v="3"/>
    <n v="1"/>
    <x v="0"/>
    <n v="0"/>
    <n v="0"/>
    <n v="1"/>
    <m/>
    <m/>
  </r>
  <r>
    <n v="23"/>
    <s v="No"/>
    <s v="Travel_Rarely"/>
    <n v="310"/>
    <s v="Research &amp; Development"/>
    <n v="10"/>
    <n v="1"/>
    <s v="Medical"/>
    <n v="1"/>
    <n v="784"/>
    <n v="1"/>
    <s v="Male"/>
    <n v="79"/>
    <n v="4"/>
    <n v="1"/>
    <s v="Research Scientist"/>
    <n v="3"/>
    <s v="Single"/>
    <n v="3505"/>
    <n v="19630"/>
    <n v="1"/>
    <s v="Y"/>
    <s v="No"/>
    <n v="18"/>
    <n v="3"/>
    <n v="4"/>
    <n v="80"/>
    <n v="0"/>
    <n v="2"/>
    <n v="3"/>
    <n v="3"/>
    <n v="2"/>
    <n v="2"/>
    <n v="0"/>
    <n v="2"/>
    <x v="1"/>
    <n v="0"/>
    <n v="0"/>
    <n v="1"/>
    <m/>
    <m/>
  </r>
  <r>
    <n v="47"/>
    <s v="Yes"/>
    <s v="Travel_Frequently"/>
    <n v="719"/>
    <s v="Sales"/>
    <n v="27"/>
    <n v="2"/>
    <s v="Life Sciences"/>
    <n v="1"/>
    <n v="785"/>
    <n v="2"/>
    <s v="Female"/>
    <n v="77"/>
    <n v="4"/>
    <n v="2"/>
    <s v="Sales Executive"/>
    <n v="3"/>
    <s v="Single"/>
    <n v="6397"/>
    <n v="10339"/>
    <n v="4"/>
    <s v="Y"/>
    <s v="Yes"/>
    <n v="12"/>
    <n v="3"/>
    <n v="4"/>
    <n v="80"/>
    <n v="0"/>
    <n v="8"/>
    <n v="2"/>
    <n v="3"/>
    <n v="5"/>
    <n v="4"/>
    <n v="1"/>
    <n v="3"/>
    <x v="0"/>
    <n v="1"/>
    <n v="115146"/>
    <n v="1"/>
    <m/>
    <m/>
  </r>
  <r>
    <n v="34"/>
    <s v="No"/>
    <s v="Travel_Rarely"/>
    <n v="304"/>
    <s v="Sales"/>
    <n v="2"/>
    <n v="3"/>
    <s v="Other"/>
    <n v="1"/>
    <n v="786"/>
    <n v="4"/>
    <s v="Male"/>
    <n v="60"/>
    <n v="3"/>
    <n v="2"/>
    <s v="Sales Executive"/>
    <n v="4"/>
    <s v="Single"/>
    <n v="6274"/>
    <n v="18686"/>
    <n v="1"/>
    <s v="Y"/>
    <s v="No"/>
    <n v="22"/>
    <n v="4"/>
    <n v="3"/>
    <n v="80"/>
    <n v="0"/>
    <n v="6"/>
    <n v="5"/>
    <n v="3"/>
    <n v="6"/>
    <n v="5"/>
    <n v="1"/>
    <n v="4"/>
    <x v="0"/>
    <n v="0"/>
    <n v="0"/>
    <n v="1"/>
    <m/>
    <m/>
  </r>
  <r>
    <n v="55"/>
    <s v="Yes"/>
    <s v="Travel_Rarely"/>
    <n v="725"/>
    <s v="Research &amp; Development"/>
    <n v="2"/>
    <n v="3"/>
    <s v="Medical"/>
    <n v="1"/>
    <n v="787"/>
    <n v="4"/>
    <s v="Male"/>
    <n v="78"/>
    <n v="3"/>
    <n v="5"/>
    <s v="Manager"/>
    <n v="1"/>
    <s v="Married"/>
    <n v="19859"/>
    <n v="21199"/>
    <n v="5"/>
    <s v="Y"/>
    <s v="Yes"/>
    <n v="13"/>
    <n v="3"/>
    <n v="4"/>
    <n v="80"/>
    <n v="1"/>
    <n v="24"/>
    <n v="2"/>
    <n v="3"/>
    <n v="5"/>
    <n v="2"/>
    <n v="1"/>
    <n v="4"/>
    <x v="4"/>
    <n v="1"/>
    <n v="357462"/>
    <n v="1"/>
    <m/>
    <m/>
  </r>
  <r>
    <n v="36"/>
    <s v="No"/>
    <s v="Non-Travel"/>
    <n v="1434"/>
    <s v="Sales"/>
    <n v="8"/>
    <n v="4"/>
    <s v="Life Sciences"/>
    <n v="1"/>
    <n v="789"/>
    <n v="1"/>
    <s v="Male"/>
    <n v="76"/>
    <n v="2"/>
    <n v="3"/>
    <s v="Sales Executive"/>
    <n v="1"/>
    <s v="Single"/>
    <n v="7587"/>
    <n v="14229"/>
    <n v="1"/>
    <s v="Y"/>
    <s v="No"/>
    <n v="15"/>
    <n v="3"/>
    <n v="2"/>
    <n v="80"/>
    <n v="0"/>
    <n v="10"/>
    <n v="1"/>
    <n v="3"/>
    <n v="10"/>
    <n v="7"/>
    <n v="0"/>
    <n v="9"/>
    <x v="0"/>
    <n v="0"/>
    <n v="0"/>
    <n v="1"/>
    <m/>
    <m/>
  </r>
  <r>
    <n v="52"/>
    <s v="No"/>
    <s v="Non-Travel"/>
    <n v="715"/>
    <s v="Research &amp; Development"/>
    <n v="19"/>
    <n v="4"/>
    <s v="Medical"/>
    <n v="1"/>
    <n v="791"/>
    <n v="4"/>
    <s v="Male"/>
    <n v="41"/>
    <n v="3"/>
    <n v="1"/>
    <s v="Research Scientist"/>
    <n v="4"/>
    <s v="Married"/>
    <n v="4258"/>
    <n v="26589"/>
    <n v="0"/>
    <s v="Y"/>
    <s v="No"/>
    <n v="18"/>
    <n v="3"/>
    <n v="1"/>
    <n v="80"/>
    <n v="1"/>
    <n v="5"/>
    <n v="3"/>
    <n v="3"/>
    <n v="4"/>
    <n v="3"/>
    <n v="1"/>
    <n v="2"/>
    <x v="1"/>
    <n v="0"/>
    <n v="0"/>
    <n v="1"/>
    <m/>
    <m/>
  </r>
  <r>
    <n v="26"/>
    <s v="No"/>
    <s v="Travel_Frequently"/>
    <n v="575"/>
    <s v="Research &amp; Development"/>
    <n v="1"/>
    <n v="2"/>
    <s v="Life Sciences"/>
    <n v="1"/>
    <n v="792"/>
    <n v="1"/>
    <s v="Female"/>
    <n v="71"/>
    <n v="1"/>
    <n v="1"/>
    <s v="Laboratory Technician"/>
    <n v="4"/>
    <s v="Divorced"/>
    <n v="4364"/>
    <n v="5288"/>
    <n v="3"/>
    <s v="Y"/>
    <s v="No"/>
    <n v="14"/>
    <n v="3"/>
    <n v="1"/>
    <n v="80"/>
    <n v="1"/>
    <n v="5"/>
    <n v="2"/>
    <n v="3"/>
    <n v="2"/>
    <n v="2"/>
    <n v="2"/>
    <n v="0"/>
    <x v="1"/>
    <n v="0"/>
    <n v="0"/>
    <n v="1"/>
    <m/>
    <m/>
  </r>
  <r>
    <n v="29"/>
    <s v="No"/>
    <s v="Travel_Rarely"/>
    <n v="657"/>
    <s v="Research &amp; Development"/>
    <n v="27"/>
    <n v="3"/>
    <s v="Medical"/>
    <n v="1"/>
    <n v="793"/>
    <n v="2"/>
    <s v="Female"/>
    <n v="66"/>
    <n v="3"/>
    <n v="2"/>
    <s v="Healthcare Representative"/>
    <n v="3"/>
    <s v="Married"/>
    <n v="4335"/>
    <n v="25549"/>
    <n v="4"/>
    <s v="Y"/>
    <s v="No"/>
    <n v="12"/>
    <n v="3"/>
    <n v="1"/>
    <n v="80"/>
    <n v="1"/>
    <n v="11"/>
    <n v="3"/>
    <n v="2"/>
    <n v="8"/>
    <n v="7"/>
    <n v="1"/>
    <n v="1"/>
    <x v="3"/>
    <n v="0"/>
    <n v="0"/>
    <n v="1"/>
    <m/>
    <m/>
  </r>
  <r>
    <n v="26"/>
    <s v="Yes"/>
    <s v="Travel_Rarely"/>
    <n v="1146"/>
    <s v="Sales"/>
    <n v="8"/>
    <n v="3"/>
    <s v="Technical Degree"/>
    <n v="1"/>
    <n v="796"/>
    <n v="4"/>
    <s v="Male"/>
    <n v="38"/>
    <n v="2"/>
    <n v="2"/>
    <s v="Sales Executive"/>
    <n v="1"/>
    <s v="Single"/>
    <n v="5326"/>
    <n v="3064"/>
    <n v="6"/>
    <s v="Y"/>
    <s v="No"/>
    <n v="17"/>
    <n v="3"/>
    <n v="3"/>
    <n v="80"/>
    <n v="0"/>
    <n v="6"/>
    <n v="2"/>
    <n v="2"/>
    <n v="4"/>
    <n v="3"/>
    <n v="1"/>
    <n v="2"/>
    <x v="0"/>
    <n v="1"/>
    <n v="95868"/>
    <n v="1"/>
    <m/>
    <m/>
  </r>
  <r>
    <n v="34"/>
    <s v="No"/>
    <s v="Travel_Rarely"/>
    <n v="182"/>
    <s v="Research &amp; Development"/>
    <n v="1"/>
    <n v="4"/>
    <s v="Life Sciences"/>
    <n v="1"/>
    <n v="797"/>
    <n v="2"/>
    <s v="Female"/>
    <n v="72"/>
    <n v="4"/>
    <n v="1"/>
    <s v="Research Scientist"/>
    <n v="4"/>
    <s v="Single"/>
    <n v="3280"/>
    <n v="13551"/>
    <n v="2"/>
    <s v="Y"/>
    <s v="No"/>
    <n v="16"/>
    <n v="3"/>
    <n v="3"/>
    <n v="80"/>
    <n v="0"/>
    <n v="10"/>
    <n v="2"/>
    <n v="3"/>
    <n v="4"/>
    <n v="2"/>
    <n v="1"/>
    <n v="3"/>
    <x v="1"/>
    <n v="0"/>
    <n v="0"/>
    <n v="1"/>
    <m/>
    <m/>
  </r>
  <r>
    <n v="54"/>
    <s v="No"/>
    <s v="Travel_Rarely"/>
    <n v="376"/>
    <s v="Research &amp; Development"/>
    <n v="19"/>
    <n v="4"/>
    <s v="Medical"/>
    <n v="1"/>
    <n v="799"/>
    <n v="4"/>
    <s v="Female"/>
    <n v="95"/>
    <n v="3"/>
    <n v="2"/>
    <s v="Manufacturing Director"/>
    <n v="1"/>
    <s v="Divorced"/>
    <n v="5485"/>
    <n v="22670"/>
    <n v="9"/>
    <s v="Y"/>
    <s v="Yes"/>
    <n v="11"/>
    <n v="3"/>
    <n v="2"/>
    <n v="80"/>
    <n v="2"/>
    <n v="9"/>
    <n v="4"/>
    <n v="3"/>
    <n v="5"/>
    <n v="3"/>
    <n v="1"/>
    <n v="4"/>
    <x v="2"/>
    <n v="0"/>
    <n v="0"/>
    <n v="1"/>
    <m/>
    <m/>
  </r>
  <r>
    <n v="27"/>
    <s v="No"/>
    <s v="Travel_Frequently"/>
    <n v="829"/>
    <s v="Sales"/>
    <n v="8"/>
    <n v="1"/>
    <s v="Marketing"/>
    <n v="1"/>
    <n v="800"/>
    <n v="3"/>
    <s v="Male"/>
    <n v="84"/>
    <n v="3"/>
    <n v="2"/>
    <s v="Sales Executive"/>
    <n v="4"/>
    <s v="Married"/>
    <n v="4342"/>
    <n v="24008"/>
    <n v="0"/>
    <s v="Y"/>
    <s v="No"/>
    <n v="19"/>
    <n v="3"/>
    <n v="2"/>
    <n v="80"/>
    <n v="1"/>
    <n v="5"/>
    <n v="3"/>
    <n v="3"/>
    <n v="4"/>
    <n v="2"/>
    <n v="1"/>
    <n v="1"/>
    <x v="0"/>
    <n v="0"/>
    <n v="0"/>
    <n v="1"/>
    <m/>
    <m/>
  </r>
  <r>
    <n v="37"/>
    <s v="No"/>
    <s v="Travel_Rarely"/>
    <n v="571"/>
    <s v="Research &amp; Development"/>
    <n v="10"/>
    <n v="1"/>
    <s v="Life Sciences"/>
    <n v="1"/>
    <n v="802"/>
    <n v="4"/>
    <s v="Female"/>
    <n v="82"/>
    <n v="3"/>
    <n v="1"/>
    <s v="Research Scientist"/>
    <n v="1"/>
    <s v="Divorced"/>
    <n v="2782"/>
    <n v="19905"/>
    <n v="0"/>
    <s v="Y"/>
    <s v="Yes"/>
    <n v="13"/>
    <n v="3"/>
    <n v="2"/>
    <n v="80"/>
    <n v="2"/>
    <n v="6"/>
    <n v="3"/>
    <n v="2"/>
    <n v="5"/>
    <n v="3"/>
    <n v="4"/>
    <n v="3"/>
    <x v="1"/>
    <n v="0"/>
    <n v="0"/>
    <n v="1"/>
    <m/>
    <m/>
  </r>
  <r>
    <n v="38"/>
    <s v="No"/>
    <s v="Travel_Frequently"/>
    <n v="240"/>
    <s v="Research &amp; Development"/>
    <n v="2"/>
    <n v="4"/>
    <s v="Life Sciences"/>
    <n v="1"/>
    <n v="803"/>
    <n v="1"/>
    <s v="Female"/>
    <n v="75"/>
    <n v="4"/>
    <n v="2"/>
    <s v="Manufacturing Director"/>
    <n v="1"/>
    <s v="Single"/>
    <n v="5980"/>
    <n v="26085"/>
    <n v="6"/>
    <s v="Y"/>
    <s v="Yes"/>
    <n v="12"/>
    <n v="3"/>
    <n v="4"/>
    <n v="80"/>
    <n v="0"/>
    <n v="17"/>
    <n v="2"/>
    <n v="3"/>
    <n v="15"/>
    <n v="7"/>
    <n v="4"/>
    <n v="12"/>
    <x v="2"/>
    <n v="0"/>
    <n v="0"/>
    <n v="1"/>
    <m/>
    <m/>
  </r>
  <r>
    <n v="34"/>
    <s v="No"/>
    <s v="Travel_Rarely"/>
    <n v="121"/>
    <s v="Research &amp; Development"/>
    <n v="2"/>
    <n v="4"/>
    <s v="Medical"/>
    <n v="1"/>
    <n v="804"/>
    <n v="3"/>
    <s v="Female"/>
    <n v="86"/>
    <n v="2"/>
    <n v="1"/>
    <s v="Research Scientist"/>
    <n v="1"/>
    <s v="Single"/>
    <n v="4381"/>
    <n v="7530"/>
    <n v="1"/>
    <s v="Y"/>
    <s v="No"/>
    <n v="11"/>
    <n v="3"/>
    <n v="3"/>
    <n v="80"/>
    <n v="0"/>
    <n v="6"/>
    <n v="3"/>
    <n v="3"/>
    <n v="6"/>
    <n v="5"/>
    <n v="1"/>
    <n v="3"/>
    <x v="1"/>
    <n v="0"/>
    <n v="0"/>
    <n v="1"/>
    <m/>
    <m/>
  </r>
  <r>
    <n v="35"/>
    <s v="No"/>
    <s v="Travel_Rarely"/>
    <n v="384"/>
    <s v="Sales"/>
    <n v="8"/>
    <n v="4"/>
    <s v="Life Sciences"/>
    <n v="1"/>
    <n v="805"/>
    <n v="1"/>
    <s v="Female"/>
    <n v="72"/>
    <n v="3"/>
    <n v="1"/>
    <s v="Sales Representative"/>
    <n v="4"/>
    <s v="Married"/>
    <n v="2572"/>
    <n v="20317"/>
    <n v="1"/>
    <s v="Y"/>
    <s v="No"/>
    <n v="16"/>
    <n v="3"/>
    <n v="2"/>
    <n v="80"/>
    <n v="1"/>
    <n v="3"/>
    <n v="1"/>
    <n v="2"/>
    <n v="3"/>
    <n v="2"/>
    <n v="0"/>
    <n v="2"/>
    <x v="0"/>
    <n v="0"/>
    <n v="0"/>
    <n v="1"/>
    <m/>
    <m/>
  </r>
  <r>
    <n v="30"/>
    <s v="No"/>
    <s v="Travel_Rarely"/>
    <n v="921"/>
    <s v="Research &amp; Development"/>
    <n v="1"/>
    <n v="3"/>
    <s v="Life Sciences"/>
    <n v="1"/>
    <n v="806"/>
    <n v="4"/>
    <s v="Male"/>
    <n v="38"/>
    <n v="1"/>
    <n v="1"/>
    <s v="Laboratory Technician"/>
    <n v="3"/>
    <s v="Married"/>
    <n v="3833"/>
    <n v="24375"/>
    <n v="3"/>
    <s v="Y"/>
    <s v="No"/>
    <n v="21"/>
    <n v="4"/>
    <n v="3"/>
    <n v="80"/>
    <n v="2"/>
    <n v="7"/>
    <n v="2"/>
    <n v="3"/>
    <n v="2"/>
    <n v="2"/>
    <n v="0"/>
    <n v="2"/>
    <x v="1"/>
    <n v="0"/>
    <n v="0"/>
    <n v="1"/>
    <m/>
    <m/>
  </r>
  <r>
    <n v="40"/>
    <s v="No"/>
    <s v="Travel_Frequently"/>
    <n v="791"/>
    <s v="Research &amp; Development"/>
    <n v="2"/>
    <n v="2"/>
    <s v="Medical"/>
    <n v="1"/>
    <n v="807"/>
    <n v="3"/>
    <s v="Female"/>
    <n v="38"/>
    <n v="4"/>
    <n v="2"/>
    <s v="Healthcare Representative"/>
    <n v="2"/>
    <s v="Married"/>
    <n v="4244"/>
    <n v="9931"/>
    <n v="1"/>
    <s v="Y"/>
    <s v="No"/>
    <n v="24"/>
    <n v="4"/>
    <n v="4"/>
    <n v="80"/>
    <n v="1"/>
    <n v="8"/>
    <n v="2"/>
    <n v="3"/>
    <n v="8"/>
    <n v="7"/>
    <n v="3"/>
    <n v="7"/>
    <x v="3"/>
    <n v="0"/>
    <n v="0"/>
    <n v="1"/>
    <m/>
    <m/>
  </r>
  <r>
    <n v="34"/>
    <s v="No"/>
    <s v="Travel_Rarely"/>
    <n v="1111"/>
    <s v="Sales"/>
    <n v="8"/>
    <n v="2"/>
    <s v="Life Sciences"/>
    <n v="1"/>
    <n v="808"/>
    <n v="3"/>
    <s v="Female"/>
    <n v="93"/>
    <n v="3"/>
    <n v="2"/>
    <s v="Sales Executive"/>
    <n v="1"/>
    <s v="Married"/>
    <n v="6500"/>
    <n v="13305"/>
    <n v="5"/>
    <s v="Y"/>
    <s v="No"/>
    <n v="17"/>
    <n v="3"/>
    <n v="2"/>
    <n v="80"/>
    <n v="1"/>
    <n v="6"/>
    <n v="1"/>
    <n v="3"/>
    <n v="3"/>
    <n v="2"/>
    <n v="1"/>
    <n v="2"/>
    <x v="0"/>
    <n v="0"/>
    <n v="0"/>
    <n v="1"/>
    <m/>
    <m/>
  </r>
  <r>
    <n v="42"/>
    <s v="No"/>
    <s v="Travel_Frequently"/>
    <n v="570"/>
    <s v="Research &amp; Development"/>
    <n v="8"/>
    <n v="3"/>
    <s v="Life Sciences"/>
    <n v="1"/>
    <n v="809"/>
    <n v="2"/>
    <s v="Male"/>
    <n v="66"/>
    <n v="3"/>
    <n v="5"/>
    <s v="Manager"/>
    <n v="4"/>
    <s v="Divorced"/>
    <n v="18430"/>
    <n v="16225"/>
    <n v="1"/>
    <s v="Y"/>
    <s v="No"/>
    <n v="13"/>
    <n v="3"/>
    <n v="2"/>
    <n v="80"/>
    <n v="1"/>
    <n v="24"/>
    <n v="4"/>
    <n v="2"/>
    <n v="24"/>
    <n v="7"/>
    <n v="14"/>
    <n v="9"/>
    <x v="4"/>
    <n v="0"/>
    <n v="0"/>
    <n v="1"/>
    <m/>
    <m/>
  </r>
  <r>
    <n v="23"/>
    <s v="Yes"/>
    <s v="Travel_Rarely"/>
    <n v="1243"/>
    <s v="Research &amp; Development"/>
    <n v="6"/>
    <n v="3"/>
    <s v="Life Sciences"/>
    <n v="1"/>
    <n v="811"/>
    <n v="3"/>
    <s v="Male"/>
    <n v="63"/>
    <n v="4"/>
    <n v="1"/>
    <s v="Laboratory Technician"/>
    <n v="1"/>
    <s v="Married"/>
    <n v="1601"/>
    <n v="3445"/>
    <n v="1"/>
    <s v="Y"/>
    <s v="Yes"/>
    <n v="21"/>
    <n v="4"/>
    <n v="3"/>
    <n v="80"/>
    <n v="2"/>
    <n v="1"/>
    <n v="2"/>
    <n v="3"/>
    <n v="0"/>
    <n v="0"/>
    <n v="0"/>
    <n v="0"/>
    <x v="1"/>
    <n v="1"/>
    <n v="28818"/>
    <n v="1"/>
    <m/>
    <m/>
  </r>
  <r>
    <n v="24"/>
    <s v="No"/>
    <s v="Non-Travel"/>
    <n v="1092"/>
    <s v="Research &amp; Development"/>
    <n v="9"/>
    <n v="3"/>
    <s v="Life Sciences"/>
    <n v="1"/>
    <n v="812"/>
    <n v="3"/>
    <s v="Male"/>
    <n v="60"/>
    <n v="2"/>
    <n v="1"/>
    <s v="Laboratory Technician"/>
    <n v="2"/>
    <s v="Divorced"/>
    <n v="2694"/>
    <n v="26551"/>
    <n v="1"/>
    <s v="Y"/>
    <s v="No"/>
    <n v="11"/>
    <n v="3"/>
    <n v="3"/>
    <n v="80"/>
    <n v="3"/>
    <n v="1"/>
    <n v="4"/>
    <n v="3"/>
    <n v="1"/>
    <n v="0"/>
    <n v="0"/>
    <n v="0"/>
    <x v="1"/>
    <n v="0"/>
    <n v="0"/>
    <n v="1"/>
    <m/>
    <m/>
  </r>
  <r>
    <n v="52"/>
    <s v="No"/>
    <s v="Travel_Rarely"/>
    <n v="1325"/>
    <s v="Research &amp; Development"/>
    <n v="11"/>
    <n v="4"/>
    <s v="Life Sciences"/>
    <n v="1"/>
    <n v="813"/>
    <n v="4"/>
    <s v="Female"/>
    <n v="82"/>
    <n v="3"/>
    <n v="2"/>
    <s v="Laboratory Technician"/>
    <n v="3"/>
    <s v="Married"/>
    <n v="3149"/>
    <n v="21821"/>
    <n v="8"/>
    <s v="Y"/>
    <s v="No"/>
    <n v="20"/>
    <n v="4"/>
    <n v="2"/>
    <n v="80"/>
    <n v="1"/>
    <n v="9"/>
    <n v="3"/>
    <n v="3"/>
    <n v="5"/>
    <n v="2"/>
    <n v="1"/>
    <n v="4"/>
    <x v="1"/>
    <n v="0"/>
    <n v="0"/>
    <n v="1"/>
    <m/>
    <m/>
  </r>
  <r>
    <n v="50"/>
    <s v="No"/>
    <s v="Travel_Rarely"/>
    <n v="691"/>
    <s v="Research &amp; Development"/>
    <n v="2"/>
    <n v="3"/>
    <s v="Medical"/>
    <n v="1"/>
    <n v="815"/>
    <n v="3"/>
    <s v="Male"/>
    <n v="64"/>
    <n v="3"/>
    <n v="4"/>
    <s v="Research Director"/>
    <n v="3"/>
    <s v="Married"/>
    <n v="17639"/>
    <n v="6881"/>
    <n v="5"/>
    <s v="Y"/>
    <s v="No"/>
    <n v="16"/>
    <n v="3"/>
    <n v="4"/>
    <n v="80"/>
    <n v="0"/>
    <n v="30"/>
    <n v="3"/>
    <n v="3"/>
    <n v="4"/>
    <n v="3"/>
    <n v="0"/>
    <n v="3"/>
    <x v="1"/>
    <n v="0"/>
    <n v="0"/>
    <n v="1"/>
    <m/>
    <m/>
  </r>
  <r>
    <n v="29"/>
    <s v="Yes"/>
    <s v="Travel_Rarely"/>
    <n v="805"/>
    <s v="Research &amp; Development"/>
    <n v="1"/>
    <n v="2"/>
    <s v="Life Sciences"/>
    <n v="1"/>
    <n v="816"/>
    <n v="2"/>
    <s v="Female"/>
    <n v="36"/>
    <n v="2"/>
    <n v="1"/>
    <s v="Laboratory Technician"/>
    <n v="1"/>
    <s v="Married"/>
    <n v="2319"/>
    <n v="6689"/>
    <n v="1"/>
    <s v="Y"/>
    <s v="Yes"/>
    <n v="11"/>
    <n v="3"/>
    <n v="4"/>
    <n v="80"/>
    <n v="1"/>
    <n v="1"/>
    <n v="1"/>
    <n v="3"/>
    <n v="1"/>
    <n v="0"/>
    <n v="0"/>
    <n v="0"/>
    <x v="1"/>
    <n v="1"/>
    <n v="41742"/>
    <n v="1"/>
    <m/>
    <m/>
  </r>
  <r>
    <n v="33"/>
    <s v="No"/>
    <s v="Travel_Rarely"/>
    <n v="213"/>
    <s v="Research &amp; Development"/>
    <n v="7"/>
    <n v="3"/>
    <s v="Medical"/>
    <n v="1"/>
    <n v="817"/>
    <n v="3"/>
    <s v="Male"/>
    <n v="49"/>
    <n v="3"/>
    <n v="3"/>
    <s v="Research Director"/>
    <n v="3"/>
    <s v="Married"/>
    <n v="11691"/>
    <n v="25995"/>
    <n v="0"/>
    <s v="Y"/>
    <s v="No"/>
    <n v="11"/>
    <n v="3"/>
    <n v="4"/>
    <n v="80"/>
    <n v="0"/>
    <n v="14"/>
    <n v="3"/>
    <n v="4"/>
    <n v="13"/>
    <n v="9"/>
    <n v="3"/>
    <n v="7"/>
    <x v="1"/>
    <n v="0"/>
    <n v="0"/>
    <n v="1"/>
    <m/>
    <m/>
  </r>
  <r>
    <n v="33"/>
    <s v="Yes"/>
    <s v="Travel_Rarely"/>
    <n v="118"/>
    <s v="Sales"/>
    <n v="16"/>
    <n v="3"/>
    <s v="Marketing"/>
    <n v="1"/>
    <n v="819"/>
    <n v="1"/>
    <s v="Female"/>
    <n v="69"/>
    <n v="3"/>
    <n v="2"/>
    <s v="Sales Executive"/>
    <n v="1"/>
    <s v="Single"/>
    <n v="5324"/>
    <n v="26507"/>
    <n v="5"/>
    <s v="Y"/>
    <s v="No"/>
    <n v="15"/>
    <n v="3"/>
    <n v="3"/>
    <n v="80"/>
    <n v="0"/>
    <n v="6"/>
    <n v="3"/>
    <n v="3"/>
    <n v="3"/>
    <n v="2"/>
    <n v="0"/>
    <n v="2"/>
    <x v="0"/>
    <n v="1"/>
    <n v="95832"/>
    <n v="1"/>
    <m/>
    <m/>
  </r>
  <r>
    <n v="47"/>
    <s v="No"/>
    <s v="Travel_Rarely"/>
    <n v="202"/>
    <s v="Research &amp; Development"/>
    <n v="2"/>
    <n v="2"/>
    <s v="Other"/>
    <n v="1"/>
    <n v="820"/>
    <n v="3"/>
    <s v="Female"/>
    <n v="33"/>
    <n v="3"/>
    <n v="4"/>
    <s v="Manager"/>
    <n v="4"/>
    <s v="Married"/>
    <n v="16752"/>
    <n v="12982"/>
    <n v="1"/>
    <s v="Y"/>
    <s v="Yes"/>
    <n v="11"/>
    <n v="3"/>
    <n v="3"/>
    <n v="80"/>
    <n v="1"/>
    <n v="26"/>
    <n v="3"/>
    <n v="2"/>
    <n v="26"/>
    <n v="14"/>
    <n v="3"/>
    <n v="0"/>
    <x v="4"/>
    <n v="0"/>
    <n v="0"/>
    <n v="1"/>
    <m/>
    <m/>
  </r>
  <r>
    <n v="36"/>
    <s v="No"/>
    <s v="Travel_Rarely"/>
    <n v="676"/>
    <s v="Research &amp; Development"/>
    <n v="1"/>
    <n v="3"/>
    <s v="Other"/>
    <n v="1"/>
    <n v="823"/>
    <n v="3"/>
    <s v="Female"/>
    <n v="35"/>
    <n v="3"/>
    <n v="2"/>
    <s v="Manufacturing Director"/>
    <n v="2"/>
    <s v="Married"/>
    <n v="5228"/>
    <n v="23361"/>
    <n v="0"/>
    <s v="Y"/>
    <s v="No"/>
    <n v="15"/>
    <n v="3"/>
    <n v="1"/>
    <n v="80"/>
    <n v="1"/>
    <n v="10"/>
    <n v="2"/>
    <n v="3"/>
    <n v="9"/>
    <n v="7"/>
    <n v="0"/>
    <n v="5"/>
    <x v="2"/>
    <n v="0"/>
    <n v="0"/>
    <n v="1"/>
    <m/>
    <m/>
  </r>
  <r>
    <n v="29"/>
    <s v="No"/>
    <s v="Travel_Rarely"/>
    <n v="1252"/>
    <s v="Research &amp; Development"/>
    <n v="23"/>
    <n v="2"/>
    <s v="Life Sciences"/>
    <n v="1"/>
    <n v="824"/>
    <n v="3"/>
    <s v="Male"/>
    <n v="81"/>
    <n v="4"/>
    <n v="1"/>
    <s v="Research Scientist"/>
    <n v="3"/>
    <s v="Married"/>
    <n v="2700"/>
    <n v="23779"/>
    <n v="1"/>
    <s v="Y"/>
    <s v="No"/>
    <n v="24"/>
    <n v="4"/>
    <n v="3"/>
    <n v="80"/>
    <n v="1"/>
    <n v="10"/>
    <n v="3"/>
    <n v="3"/>
    <n v="10"/>
    <n v="7"/>
    <n v="0"/>
    <n v="7"/>
    <x v="1"/>
    <n v="0"/>
    <n v="0"/>
    <n v="1"/>
    <m/>
    <m/>
  </r>
  <r>
    <n v="58"/>
    <s v="Yes"/>
    <s v="Travel_Rarely"/>
    <n v="286"/>
    <s v="Research &amp; Development"/>
    <n v="2"/>
    <n v="4"/>
    <s v="Life Sciences"/>
    <n v="1"/>
    <n v="825"/>
    <n v="4"/>
    <s v="Male"/>
    <n v="31"/>
    <n v="3"/>
    <n v="5"/>
    <s v="Research Director"/>
    <n v="2"/>
    <s v="Single"/>
    <n v="19246"/>
    <n v="25761"/>
    <n v="7"/>
    <s v="Y"/>
    <s v="Yes"/>
    <n v="12"/>
    <n v="3"/>
    <n v="4"/>
    <n v="80"/>
    <n v="0"/>
    <n v="40"/>
    <n v="2"/>
    <n v="3"/>
    <n v="31"/>
    <n v="15"/>
    <n v="13"/>
    <n v="8"/>
    <x v="1"/>
    <n v="1"/>
    <n v="346428"/>
    <n v="1"/>
    <m/>
    <m/>
  </r>
  <r>
    <n v="35"/>
    <s v="No"/>
    <s v="Travel_Rarely"/>
    <n v="1258"/>
    <s v="Research &amp; Development"/>
    <n v="1"/>
    <n v="4"/>
    <s v="Life Sciences"/>
    <n v="1"/>
    <n v="826"/>
    <n v="4"/>
    <s v="Female"/>
    <n v="40"/>
    <n v="4"/>
    <n v="1"/>
    <s v="Research Scientist"/>
    <n v="3"/>
    <s v="Single"/>
    <n v="2506"/>
    <n v="13301"/>
    <n v="3"/>
    <s v="Y"/>
    <s v="No"/>
    <n v="13"/>
    <n v="3"/>
    <n v="3"/>
    <n v="80"/>
    <n v="0"/>
    <n v="7"/>
    <n v="0"/>
    <n v="3"/>
    <n v="2"/>
    <n v="2"/>
    <n v="2"/>
    <n v="2"/>
    <x v="1"/>
    <n v="0"/>
    <n v="0"/>
    <n v="1"/>
    <m/>
    <m/>
  </r>
  <r>
    <n v="42"/>
    <s v="No"/>
    <s v="Travel_Rarely"/>
    <n v="932"/>
    <s v="Research &amp; Development"/>
    <n v="1"/>
    <n v="2"/>
    <s v="Life Sciences"/>
    <n v="1"/>
    <n v="827"/>
    <n v="4"/>
    <s v="Female"/>
    <n v="43"/>
    <n v="2"/>
    <n v="2"/>
    <s v="Manufacturing Director"/>
    <n v="4"/>
    <s v="Married"/>
    <n v="6062"/>
    <n v="4051"/>
    <n v="9"/>
    <s v="Y"/>
    <s v="Yes"/>
    <n v="13"/>
    <n v="3"/>
    <n v="4"/>
    <n v="80"/>
    <n v="1"/>
    <n v="8"/>
    <n v="4"/>
    <n v="3"/>
    <n v="4"/>
    <n v="3"/>
    <n v="0"/>
    <n v="2"/>
    <x v="2"/>
    <n v="0"/>
    <n v="0"/>
    <n v="1"/>
    <m/>
    <m/>
  </r>
  <r>
    <n v="28"/>
    <s v="Yes"/>
    <s v="Travel_Rarely"/>
    <n v="890"/>
    <s v="Research &amp; Development"/>
    <n v="2"/>
    <n v="4"/>
    <s v="Medical"/>
    <n v="1"/>
    <n v="828"/>
    <n v="3"/>
    <s v="Male"/>
    <n v="46"/>
    <n v="3"/>
    <n v="1"/>
    <s v="Research Scientist"/>
    <n v="3"/>
    <s v="Single"/>
    <n v="4382"/>
    <n v="16374"/>
    <n v="6"/>
    <s v="Y"/>
    <s v="No"/>
    <n v="17"/>
    <n v="3"/>
    <n v="4"/>
    <n v="80"/>
    <n v="0"/>
    <n v="5"/>
    <n v="3"/>
    <n v="2"/>
    <n v="2"/>
    <n v="2"/>
    <n v="2"/>
    <n v="1"/>
    <x v="1"/>
    <n v="1"/>
    <n v="78876"/>
    <n v="1"/>
    <m/>
    <m/>
  </r>
  <r>
    <n v="36"/>
    <s v="No"/>
    <s v="Travel_Rarely"/>
    <n v="1041"/>
    <s v="Human Resources"/>
    <n v="13"/>
    <n v="3"/>
    <s v="Human Resources"/>
    <n v="1"/>
    <n v="829"/>
    <n v="3"/>
    <s v="Male"/>
    <n v="36"/>
    <n v="3"/>
    <n v="1"/>
    <s v="Human Resources"/>
    <n v="2"/>
    <s v="Married"/>
    <n v="2143"/>
    <n v="25527"/>
    <n v="4"/>
    <s v="Y"/>
    <s v="No"/>
    <n v="13"/>
    <n v="3"/>
    <n v="2"/>
    <n v="80"/>
    <n v="1"/>
    <n v="8"/>
    <n v="2"/>
    <n v="3"/>
    <n v="5"/>
    <n v="2"/>
    <n v="0"/>
    <n v="4"/>
    <x v="5"/>
    <n v="0"/>
    <n v="0"/>
    <n v="1"/>
    <m/>
    <m/>
  </r>
  <r>
    <n v="32"/>
    <s v="No"/>
    <s v="Travel_Rarely"/>
    <n v="859"/>
    <s v="Research &amp; Development"/>
    <n v="4"/>
    <n v="3"/>
    <s v="Life Sciences"/>
    <n v="1"/>
    <n v="830"/>
    <n v="3"/>
    <s v="Female"/>
    <n v="98"/>
    <n v="2"/>
    <n v="2"/>
    <s v="Manufacturing Director"/>
    <n v="3"/>
    <s v="Married"/>
    <n v="6162"/>
    <n v="19124"/>
    <n v="1"/>
    <s v="Y"/>
    <s v="No"/>
    <n v="12"/>
    <n v="3"/>
    <n v="3"/>
    <n v="80"/>
    <n v="1"/>
    <n v="14"/>
    <n v="3"/>
    <n v="3"/>
    <n v="14"/>
    <n v="13"/>
    <n v="6"/>
    <n v="8"/>
    <x v="2"/>
    <n v="0"/>
    <n v="0"/>
    <n v="1"/>
    <m/>
    <m/>
  </r>
  <r>
    <n v="40"/>
    <s v="No"/>
    <s v="Travel_Frequently"/>
    <n v="720"/>
    <s v="Research &amp; Development"/>
    <n v="16"/>
    <n v="4"/>
    <s v="Medical"/>
    <n v="1"/>
    <n v="832"/>
    <n v="1"/>
    <s v="Male"/>
    <n v="51"/>
    <n v="2"/>
    <n v="2"/>
    <s v="Laboratory Technician"/>
    <n v="3"/>
    <s v="Single"/>
    <n v="5094"/>
    <n v="11983"/>
    <n v="6"/>
    <s v="Y"/>
    <s v="No"/>
    <n v="14"/>
    <n v="3"/>
    <n v="4"/>
    <n v="80"/>
    <n v="0"/>
    <n v="10"/>
    <n v="6"/>
    <n v="3"/>
    <n v="1"/>
    <n v="0"/>
    <n v="0"/>
    <n v="0"/>
    <x v="1"/>
    <n v="0"/>
    <n v="0"/>
    <n v="1"/>
    <m/>
    <m/>
  </r>
  <r>
    <n v="30"/>
    <s v="No"/>
    <s v="Travel_Rarely"/>
    <n v="946"/>
    <s v="Research &amp; Development"/>
    <n v="2"/>
    <n v="3"/>
    <s v="Medical"/>
    <n v="1"/>
    <n v="833"/>
    <n v="3"/>
    <s v="Female"/>
    <n v="52"/>
    <n v="2"/>
    <n v="2"/>
    <s v="Manufacturing Director"/>
    <n v="4"/>
    <s v="Single"/>
    <n v="6877"/>
    <n v="20234"/>
    <n v="5"/>
    <s v="Y"/>
    <s v="Yes"/>
    <n v="24"/>
    <n v="4"/>
    <n v="2"/>
    <n v="80"/>
    <n v="0"/>
    <n v="12"/>
    <n v="4"/>
    <n v="2"/>
    <n v="0"/>
    <n v="0"/>
    <n v="0"/>
    <n v="0"/>
    <x v="2"/>
    <n v="0"/>
    <n v="0"/>
    <n v="1"/>
    <m/>
    <m/>
  </r>
  <r>
    <n v="45"/>
    <s v="No"/>
    <s v="Travel_Rarely"/>
    <n v="252"/>
    <s v="Research &amp; Development"/>
    <n v="2"/>
    <n v="3"/>
    <s v="Life Sciences"/>
    <n v="1"/>
    <n v="834"/>
    <n v="2"/>
    <s v="Female"/>
    <n v="95"/>
    <n v="2"/>
    <n v="1"/>
    <s v="Research Scientist"/>
    <n v="3"/>
    <s v="Single"/>
    <n v="2274"/>
    <n v="6153"/>
    <n v="1"/>
    <s v="Y"/>
    <s v="No"/>
    <n v="14"/>
    <n v="3"/>
    <n v="4"/>
    <n v="80"/>
    <n v="0"/>
    <n v="1"/>
    <n v="3"/>
    <n v="3"/>
    <n v="1"/>
    <n v="0"/>
    <n v="0"/>
    <n v="0"/>
    <x v="1"/>
    <n v="0"/>
    <n v="0"/>
    <n v="1"/>
    <m/>
    <m/>
  </r>
  <r>
    <n v="42"/>
    <s v="No"/>
    <s v="Travel_Rarely"/>
    <n v="933"/>
    <s v="Research &amp; Development"/>
    <n v="29"/>
    <n v="3"/>
    <s v="Life Sciences"/>
    <n v="1"/>
    <n v="836"/>
    <n v="2"/>
    <s v="Male"/>
    <n v="98"/>
    <n v="3"/>
    <n v="2"/>
    <s v="Manufacturing Director"/>
    <n v="2"/>
    <s v="Married"/>
    <n v="4434"/>
    <n v="11806"/>
    <n v="1"/>
    <s v="Y"/>
    <s v="No"/>
    <n v="13"/>
    <n v="3"/>
    <n v="4"/>
    <n v="80"/>
    <n v="1"/>
    <n v="10"/>
    <n v="3"/>
    <n v="2"/>
    <n v="9"/>
    <n v="8"/>
    <n v="7"/>
    <n v="8"/>
    <x v="2"/>
    <n v="0"/>
    <n v="0"/>
    <n v="1"/>
    <m/>
    <m/>
  </r>
  <r>
    <n v="38"/>
    <s v="No"/>
    <s v="Travel_Frequently"/>
    <n v="471"/>
    <s v="Research &amp; Development"/>
    <n v="12"/>
    <n v="3"/>
    <s v="Life Sciences"/>
    <n v="1"/>
    <n v="837"/>
    <n v="1"/>
    <s v="Male"/>
    <n v="45"/>
    <n v="2"/>
    <n v="2"/>
    <s v="Healthcare Representative"/>
    <n v="1"/>
    <s v="Divorced"/>
    <n v="6288"/>
    <n v="4284"/>
    <n v="2"/>
    <s v="Y"/>
    <s v="No"/>
    <n v="15"/>
    <n v="3"/>
    <n v="3"/>
    <n v="80"/>
    <n v="1"/>
    <n v="13"/>
    <n v="3"/>
    <n v="2"/>
    <n v="4"/>
    <n v="3"/>
    <n v="1"/>
    <n v="2"/>
    <x v="3"/>
    <n v="0"/>
    <n v="0"/>
    <n v="1"/>
    <m/>
    <m/>
  </r>
  <r>
    <n v="34"/>
    <s v="No"/>
    <s v="Travel_Frequently"/>
    <n v="702"/>
    <s v="Research &amp; Development"/>
    <n v="16"/>
    <n v="4"/>
    <s v="Life Sciences"/>
    <n v="1"/>
    <n v="838"/>
    <n v="3"/>
    <s v="Female"/>
    <n v="100"/>
    <n v="2"/>
    <n v="1"/>
    <s v="Research Scientist"/>
    <n v="4"/>
    <s v="Single"/>
    <n v="2553"/>
    <n v="8306"/>
    <n v="1"/>
    <s v="Y"/>
    <s v="No"/>
    <n v="16"/>
    <n v="3"/>
    <n v="3"/>
    <n v="80"/>
    <n v="0"/>
    <n v="6"/>
    <n v="3"/>
    <n v="3"/>
    <n v="5"/>
    <n v="2"/>
    <n v="1"/>
    <n v="3"/>
    <x v="1"/>
    <n v="0"/>
    <n v="0"/>
    <n v="1"/>
    <m/>
    <m/>
  </r>
  <r>
    <n v="49"/>
    <s v="Yes"/>
    <s v="Travel_Rarely"/>
    <n v="1184"/>
    <s v="Sales"/>
    <n v="11"/>
    <n v="3"/>
    <s v="Marketing"/>
    <n v="1"/>
    <n v="840"/>
    <n v="3"/>
    <s v="Female"/>
    <n v="43"/>
    <n v="3"/>
    <n v="3"/>
    <s v="Sales Executive"/>
    <n v="4"/>
    <s v="Married"/>
    <n v="7654"/>
    <n v="5860"/>
    <n v="1"/>
    <s v="Y"/>
    <s v="No"/>
    <n v="18"/>
    <n v="3"/>
    <n v="1"/>
    <n v="80"/>
    <n v="2"/>
    <n v="9"/>
    <n v="3"/>
    <n v="4"/>
    <n v="9"/>
    <n v="8"/>
    <n v="7"/>
    <n v="7"/>
    <x v="0"/>
    <n v="1"/>
    <n v="137772"/>
    <n v="1"/>
    <m/>
    <m/>
  </r>
  <r>
    <n v="55"/>
    <s v="Yes"/>
    <s v="Travel_Rarely"/>
    <n v="436"/>
    <s v="Sales"/>
    <n v="2"/>
    <n v="1"/>
    <s v="Medical"/>
    <n v="1"/>
    <n v="842"/>
    <n v="3"/>
    <s v="Male"/>
    <n v="37"/>
    <n v="3"/>
    <n v="2"/>
    <s v="Sales Executive"/>
    <n v="4"/>
    <s v="Single"/>
    <n v="5160"/>
    <n v="21519"/>
    <n v="4"/>
    <s v="Y"/>
    <s v="No"/>
    <n v="16"/>
    <n v="3"/>
    <n v="3"/>
    <n v="80"/>
    <n v="0"/>
    <n v="12"/>
    <n v="3"/>
    <n v="2"/>
    <n v="9"/>
    <n v="7"/>
    <n v="7"/>
    <n v="3"/>
    <x v="0"/>
    <n v="1"/>
    <n v="92880"/>
    <n v="1"/>
    <m/>
    <m/>
  </r>
  <r>
    <n v="43"/>
    <s v="No"/>
    <s v="Travel_Rarely"/>
    <n v="589"/>
    <s v="Research &amp; Development"/>
    <n v="14"/>
    <n v="2"/>
    <s v="Life Sciences"/>
    <n v="1"/>
    <n v="843"/>
    <n v="2"/>
    <s v="Male"/>
    <n v="94"/>
    <n v="3"/>
    <n v="4"/>
    <s v="Research Director"/>
    <n v="1"/>
    <s v="Married"/>
    <n v="17159"/>
    <n v="5200"/>
    <n v="6"/>
    <s v="Y"/>
    <s v="No"/>
    <n v="24"/>
    <n v="4"/>
    <n v="3"/>
    <n v="80"/>
    <n v="1"/>
    <n v="22"/>
    <n v="3"/>
    <n v="3"/>
    <n v="4"/>
    <n v="1"/>
    <n v="1"/>
    <n v="0"/>
    <x v="1"/>
    <n v="0"/>
    <n v="0"/>
    <n v="1"/>
    <m/>
    <m/>
  </r>
  <r>
    <n v="27"/>
    <s v="No"/>
    <s v="Travel_Rarely"/>
    <n v="269"/>
    <s v="Research &amp; Development"/>
    <n v="5"/>
    <n v="1"/>
    <s v="Technical Degree"/>
    <n v="1"/>
    <n v="844"/>
    <n v="3"/>
    <s v="Male"/>
    <n v="42"/>
    <n v="2"/>
    <n v="3"/>
    <s v="Research Director"/>
    <n v="4"/>
    <s v="Divorced"/>
    <n v="12808"/>
    <n v="8842"/>
    <n v="1"/>
    <s v="Y"/>
    <s v="Yes"/>
    <n v="16"/>
    <n v="3"/>
    <n v="2"/>
    <n v="80"/>
    <n v="1"/>
    <n v="9"/>
    <n v="3"/>
    <n v="3"/>
    <n v="9"/>
    <n v="8"/>
    <n v="0"/>
    <n v="8"/>
    <x v="1"/>
    <n v="0"/>
    <n v="0"/>
    <n v="1"/>
    <m/>
    <m/>
  </r>
  <r>
    <n v="35"/>
    <s v="No"/>
    <s v="Travel_Rarely"/>
    <n v="950"/>
    <s v="Research &amp; Development"/>
    <n v="7"/>
    <n v="3"/>
    <s v="Other"/>
    <n v="1"/>
    <n v="845"/>
    <n v="3"/>
    <s v="Male"/>
    <n v="59"/>
    <n v="3"/>
    <n v="3"/>
    <s v="Manufacturing Director"/>
    <n v="3"/>
    <s v="Single"/>
    <n v="10221"/>
    <n v="18869"/>
    <n v="3"/>
    <s v="Y"/>
    <s v="No"/>
    <n v="21"/>
    <n v="4"/>
    <n v="2"/>
    <n v="80"/>
    <n v="0"/>
    <n v="17"/>
    <n v="3"/>
    <n v="4"/>
    <n v="8"/>
    <n v="5"/>
    <n v="1"/>
    <n v="6"/>
    <x v="2"/>
    <n v="0"/>
    <n v="0"/>
    <n v="1"/>
    <m/>
    <m/>
  </r>
  <r>
    <n v="28"/>
    <s v="No"/>
    <s v="Travel_Rarely"/>
    <n v="760"/>
    <s v="Sales"/>
    <n v="2"/>
    <n v="4"/>
    <s v="Marketing"/>
    <n v="1"/>
    <n v="846"/>
    <n v="2"/>
    <s v="Female"/>
    <n v="81"/>
    <n v="3"/>
    <n v="2"/>
    <s v="Sales Executive"/>
    <n v="2"/>
    <s v="Married"/>
    <n v="4779"/>
    <n v="3698"/>
    <n v="1"/>
    <s v="Y"/>
    <s v="Yes"/>
    <n v="20"/>
    <n v="4"/>
    <n v="1"/>
    <n v="80"/>
    <n v="0"/>
    <n v="8"/>
    <n v="2"/>
    <n v="3"/>
    <n v="8"/>
    <n v="7"/>
    <n v="7"/>
    <n v="5"/>
    <x v="0"/>
    <n v="0"/>
    <n v="0"/>
    <n v="1"/>
    <m/>
    <m/>
  </r>
  <r>
    <n v="34"/>
    <s v="No"/>
    <s v="Travel_Rarely"/>
    <n v="829"/>
    <s v="Human Resources"/>
    <n v="3"/>
    <n v="2"/>
    <s v="Human Resources"/>
    <n v="1"/>
    <n v="847"/>
    <n v="3"/>
    <s v="Male"/>
    <n v="88"/>
    <n v="3"/>
    <n v="1"/>
    <s v="Human Resources"/>
    <n v="4"/>
    <s v="Married"/>
    <n v="3737"/>
    <n v="2243"/>
    <n v="0"/>
    <s v="Y"/>
    <s v="No"/>
    <n v="19"/>
    <n v="3"/>
    <n v="3"/>
    <n v="80"/>
    <n v="1"/>
    <n v="4"/>
    <n v="1"/>
    <n v="1"/>
    <n v="3"/>
    <n v="2"/>
    <n v="0"/>
    <n v="2"/>
    <x v="5"/>
    <n v="0"/>
    <n v="0"/>
    <n v="1"/>
    <m/>
    <m/>
  </r>
  <r>
    <n v="26"/>
    <s v="Yes"/>
    <s v="Travel_Frequently"/>
    <n v="887"/>
    <s v="Research &amp; Development"/>
    <n v="5"/>
    <n v="2"/>
    <s v="Medical"/>
    <n v="1"/>
    <n v="848"/>
    <n v="3"/>
    <s v="Female"/>
    <n v="88"/>
    <n v="2"/>
    <n v="1"/>
    <s v="Research Scientist"/>
    <n v="3"/>
    <s v="Married"/>
    <n v="2366"/>
    <n v="20898"/>
    <n v="1"/>
    <s v="Y"/>
    <s v="Yes"/>
    <n v="14"/>
    <n v="3"/>
    <n v="1"/>
    <n v="80"/>
    <n v="1"/>
    <n v="8"/>
    <n v="2"/>
    <n v="3"/>
    <n v="8"/>
    <n v="7"/>
    <n v="1"/>
    <n v="7"/>
    <x v="1"/>
    <n v="1"/>
    <n v="42588"/>
    <n v="1"/>
    <m/>
    <m/>
  </r>
  <r>
    <n v="27"/>
    <s v="No"/>
    <s v="Non-Travel"/>
    <n v="443"/>
    <s v="Research &amp; Development"/>
    <n v="3"/>
    <n v="3"/>
    <s v="Medical"/>
    <n v="1"/>
    <n v="850"/>
    <n v="4"/>
    <s v="Male"/>
    <n v="50"/>
    <n v="3"/>
    <n v="1"/>
    <s v="Research Scientist"/>
    <n v="4"/>
    <s v="Married"/>
    <n v="1706"/>
    <n v="16571"/>
    <n v="1"/>
    <s v="Y"/>
    <s v="No"/>
    <n v="11"/>
    <n v="3"/>
    <n v="3"/>
    <n v="80"/>
    <n v="3"/>
    <n v="0"/>
    <n v="6"/>
    <n v="2"/>
    <n v="0"/>
    <n v="0"/>
    <n v="0"/>
    <n v="0"/>
    <x v="1"/>
    <n v="0"/>
    <n v="0"/>
    <n v="1"/>
    <m/>
    <m/>
  </r>
  <r>
    <n v="51"/>
    <s v="No"/>
    <s v="Travel_Rarely"/>
    <n v="1318"/>
    <s v="Sales"/>
    <n v="26"/>
    <n v="4"/>
    <s v="Marketing"/>
    <n v="1"/>
    <n v="851"/>
    <n v="1"/>
    <s v="Female"/>
    <n v="66"/>
    <n v="3"/>
    <n v="4"/>
    <s v="Manager"/>
    <n v="3"/>
    <s v="Married"/>
    <n v="16307"/>
    <n v="5594"/>
    <n v="2"/>
    <s v="Y"/>
    <s v="No"/>
    <n v="14"/>
    <n v="3"/>
    <n v="3"/>
    <n v="80"/>
    <n v="1"/>
    <n v="29"/>
    <n v="2"/>
    <n v="2"/>
    <n v="20"/>
    <n v="6"/>
    <n v="4"/>
    <n v="17"/>
    <x v="4"/>
    <n v="0"/>
    <n v="0"/>
    <n v="1"/>
    <m/>
    <m/>
  </r>
  <r>
    <n v="44"/>
    <s v="No"/>
    <s v="Travel_Rarely"/>
    <n v="625"/>
    <s v="Research &amp; Development"/>
    <n v="4"/>
    <n v="3"/>
    <s v="Medical"/>
    <n v="1"/>
    <n v="852"/>
    <n v="4"/>
    <s v="Male"/>
    <n v="50"/>
    <n v="3"/>
    <n v="2"/>
    <s v="Healthcare Representative"/>
    <n v="2"/>
    <s v="Single"/>
    <n v="5933"/>
    <n v="5197"/>
    <n v="9"/>
    <s v="Y"/>
    <s v="No"/>
    <n v="12"/>
    <n v="3"/>
    <n v="4"/>
    <n v="80"/>
    <n v="0"/>
    <n v="10"/>
    <n v="2"/>
    <n v="2"/>
    <n v="5"/>
    <n v="2"/>
    <n v="2"/>
    <n v="3"/>
    <x v="3"/>
    <n v="0"/>
    <n v="0"/>
    <n v="1"/>
    <m/>
    <m/>
  </r>
  <r>
    <n v="25"/>
    <s v="No"/>
    <s v="Travel_Rarely"/>
    <n v="180"/>
    <s v="Research &amp; Development"/>
    <n v="2"/>
    <n v="1"/>
    <s v="Medical"/>
    <n v="1"/>
    <n v="854"/>
    <n v="1"/>
    <s v="Male"/>
    <n v="65"/>
    <n v="4"/>
    <n v="1"/>
    <s v="Research Scientist"/>
    <n v="1"/>
    <s v="Single"/>
    <n v="3424"/>
    <n v="21632"/>
    <n v="7"/>
    <s v="Y"/>
    <s v="No"/>
    <n v="13"/>
    <n v="3"/>
    <n v="3"/>
    <n v="80"/>
    <n v="0"/>
    <n v="6"/>
    <n v="3"/>
    <n v="2"/>
    <n v="4"/>
    <n v="3"/>
    <n v="0"/>
    <n v="1"/>
    <x v="1"/>
    <n v="0"/>
    <n v="0"/>
    <n v="1"/>
    <m/>
    <m/>
  </r>
  <r>
    <n v="33"/>
    <s v="No"/>
    <s v="Travel_Rarely"/>
    <n v="586"/>
    <s v="Sales"/>
    <n v="1"/>
    <n v="3"/>
    <s v="Medical"/>
    <n v="1"/>
    <n v="855"/>
    <n v="1"/>
    <s v="Male"/>
    <n v="48"/>
    <n v="4"/>
    <n v="2"/>
    <s v="Sales Executive"/>
    <n v="1"/>
    <s v="Divorced"/>
    <n v="4037"/>
    <n v="21816"/>
    <n v="1"/>
    <s v="Y"/>
    <s v="No"/>
    <n v="22"/>
    <n v="4"/>
    <n v="1"/>
    <n v="80"/>
    <n v="1"/>
    <n v="9"/>
    <n v="5"/>
    <n v="3"/>
    <n v="9"/>
    <n v="8"/>
    <n v="0"/>
    <n v="8"/>
    <x v="0"/>
    <n v="0"/>
    <n v="0"/>
    <n v="1"/>
    <m/>
    <m/>
  </r>
  <r>
    <n v="35"/>
    <s v="No"/>
    <s v="Travel_Rarely"/>
    <n v="1343"/>
    <s v="Research &amp; Development"/>
    <n v="27"/>
    <n v="1"/>
    <s v="Medical"/>
    <n v="1"/>
    <n v="856"/>
    <n v="3"/>
    <s v="Female"/>
    <n v="53"/>
    <n v="2"/>
    <n v="1"/>
    <s v="Research Scientist"/>
    <n v="1"/>
    <s v="Single"/>
    <n v="2559"/>
    <n v="17852"/>
    <n v="1"/>
    <s v="Y"/>
    <s v="No"/>
    <n v="11"/>
    <n v="3"/>
    <n v="4"/>
    <n v="80"/>
    <n v="0"/>
    <n v="6"/>
    <n v="3"/>
    <n v="2"/>
    <n v="6"/>
    <n v="5"/>
    <n v="1"/>
    <n v="1"/>
    <x v="1"/>
    <n v="0"/>
    <n v="0"/>
    <n v="1"/>
    <m/>
    <m/>
  </r>
  <r>
    <n v="36"/>
    <s v="No"/>
    <s v="Travel_Rarely"/>
    <n v="928"/>
    <s v="Sales"/>
    <n v="1"/>
    <n v="2"/>
    <s v="Life Sciences"/>
    <n v="1"/>
    <n v="857"/>
    <n v="2"/>
    <s v="Male"/>
    <n v="56"/>
    <n v="3"/>
    <n v="2"/>
    <s v="Sales Executive"/>
    <n v="4"/>
    <s v="Married"/>
    <n v="6201"/>
    <n v="2823"/>
    <n v="1"/>
    <s v="Y"/>
    <s v="Yes"/>
    <n v="14"/>
    <n v="3"/>
    <n v="4"/>
    <n v="80"/>
    <n v="1"/>
    <n v="18"/>
    <n v="1"/>
    <n v="2"/>
    <n v="18"/>
    <n v="14"/>
    <n v="4"/>
    <n v="11"/>
    <x v="0"/>
    <n v="0"/>
    <n v="0"/>
    <n v="1"/>
    <m/>
    <m/>
  </r>
  <r>
    <n v="32"/>
    <s v="No"/>
    <s v="Travel_Rarely"/>
    <n v="117"/>
    <s v="Sales"/>
    <n v="13"/>
    <n v="4"/>
    <s v="Life Sciences"/>
    <n v="1"/>
    <n v="859"/>
    <n v="2"/>
    <s v="Male"/>
    <n v="73"/>
    <n v="3"/>
    <n v="2"/>
    <s v="Sales Executive"/>
    <n v="4"/>
    <s v="Divorced"/>
    <n v="4403"/>
    <n v="9250"/>
    <n v="2"/>
    <s v="Y"/>
    <s v="No"/>
    <n v="11"/>
    <n v="3"/>
    <n v="3"/>
    <n v="80"/>
    <n v="1"/>
    <n v="8"/>
    <n v="3"/>
    <n v="2"/>
    <n v="5"/>
    <n v="2"/>
    <n v="0"/>
    <n v="3"/>
    <x v="0"/>
    <n v="0"/>
    <n v="0"/>
    <n v="1"/>
    <m/>
    <m/>
  </r>
  <r>
    <n v="30"/>
    <s v="No"/>
    <s v="Travel_Frequently"/>
    <n v="1012"/>
    <s v="Research &amp; Development"/>
    <n v="5"/>
    <n v="4"/>
    <s v="Life Sciences"/>
    <n v="1"/>
    <n v="861"/>
    <n v="2"/>
    <s v="Male"/>
    <n v="75"/>
    <n v="2"/>
    <n v="1"/>
    <s v="Research Scientist"/>
    <n v="4"/>
    <s v="Divorced"/>
    <n v="3761"/>
    <n v="2373"/>
    <n v="9"/>
    <s v="Y"/>
    <s v="No"/>
    <n v="12"/>
    <n v="3"/>
    <n v="2"/>
    <n v="80"/>
    <n v="1"/>
    <n v="10"/>
    <n v="3"/>
    <n v="2"/>
    <n v="5"/>
    <n v="4"/>
    <n v="0"/>
    <n v="3"/>
    <x v="1"/>
    <n v="0"/>
    <n v="0"/>
    <n v="1"/>
    <m/>
    <m/>
  </r>
  <r>
    <n v="53"/>
    <s v="No"/>
    <s v="Travel_Rarely"/>
    <n v="661"/>
    <s v="Sales"/>
    <n v="7"/>
    <n v="2"/>
    <s v="Marketing"/>
    <n v="1"/>
    <n v="862"/>
    <n v="1"/>
    <s v="Female"/>
    <n v="78"/>
    <n v="2"/>
    <n v="3"/>
    <s v="Sales Executive"/>
    <n v="4"/>
    <s v="Married"/>
    <n v="10934"/>
    <n v="20715"/>
    <n v="7"/>
    <s v="Y"/>
    <s v="Yes"/>
    <n v="18"/>
    <n v="3"/>
    <n v="4"/>
    <n v="80"/>
    <n v="1"/>
    <n v="35"/>
    <n v="3"/>
    <n v="3"/>
    <n v="5"/>
    <n v="2"/>
    <n v="0"/>
    <n v="4"/>
    <x v="0"/>
    <n v="0"/>
    <n v="0"/>
    <n v="1"/>
    <m/>
    <m/>
  </r>
  <r>
    <n v="45"/>
    <s v="No"/>
    <s v="Travel_Rarely"/>
    <n v="930"/>
    <s v="Sales"/>
    <n v="9"/>
    <n v="3"/>
    <s v="Marketing"/>
    <n v="1"/>
    <n v="864"/>
    <n v="4"/>
    <s v="Male"/>
    <n v="74"/>
    <n v="3"/>
    <n v="3"/>
    <s v="Sales Executive"/>
    <n v="1"/>
    <s v="Divorced"/>
    <n v="10761"/>
    <n v="19239"/>
    <n v="4"/>
    <s v="Y"/>
    <s v="Yes"/>
    <n v="12"/>
    <n v="3"/>
    <n v="3"/>
    <n v="80"/>
    <n v="1"/>
    <n v="18"/>
    <n v="2"/>
    <n v="3"/>
    <n v="5"/>
    <n v="4"/>
    <n v="0"/>
    <n v="2"/>
    <x v="0"/>
    <n v="0"/>
    <n v="0"/>
    <n v="1"/>
    <m/>
    <m/>
  </r>
  <r>
    <n v="32"/>
    <s v="No"/>
    <s v="Travel_Rarely"/>
    <n v="638"/>
    <s v="Research &amp; Development"/>
    <n v="8"/>
    <n v="2"/>
    <s v="Medical"/>
    <n v="1"/>
    <n v="865"/>
    <n v="3"/>
    <s v="Female"/>
    <n v="91"/>
    <n v="4"/>
    <n v="2"/>
    <s v="Research Scientist"/>
    <n v="3"/>
    <s v="Married"/>
    <n v="5175"/>
    <n v="22162"/>
    <n v="5"/>
    <s v="Y"/>
    <s v="No"/>
    <n v="12"/>
    <n v="3"/>
    <n v="3"/>
    <n v="80"/>
    <n v="1"/>
    <n v="9"/>
    <n v="3"/>
    <n v="2"/>
    <n v="5"/>
    <n v="3"/>
    <n v="1"/>
    <n v="3"/>
    <x v="1"/>
    <n v="0"/>
    <n v="0"/>
    <n v="1"/>
    <m/>
    <m/>
  </r>
  <r>
    <n v="52"/>
    <s v="No"/>
    <s v="Travel_Frequently"/>
    <n v="890"/>
    <s v="Research &amp; Development"/>
    <n v="25"/>
    <n v="4"/>
    <s v="Medical"/>
    <n v="1"/>
    <n v="867"/>
    <n v="3"/>
    <s v="Female"/>
    <n v="81"/>
    <n v="2"/>
    <n v="4"/>
    <s v="Manufacturing Director"/>
    <n v="4"/>
    <s v="Married"/>
    <n v="13826"/>
    <n v="19028"/>
    <n v="3"/>
    <s v="Y"/>
    <s v="No"/>
    <n v="22"/>
    <n v="4"/>
    <n v="3"/>
    <n v="80"/>
    <n v="0"/>
    <n v="31"/>
    <n v="3"/>
    <n v="3"/>
    <n v="9"/>
    <n v="8"/>
    <n v="0"/>
    <n v="0"/>
    <x v="2"/>
    <n v="0"/>
    <n v="0"/>
    <n v="1"/>
    <m/>
    <m/>
  </r>
  <r>
    <n v="37"/>
    <s v="No"/>
    <s v="Travel_Rarely"/>
    <n v="342"/>
    <s v="Sales"/>
    <n v="16"/>
    <n v="4"/>
    <s v="Marketing"/>
    <n v="1"/>
    <n v="868"/>
    <n v="4"/>
    <s v="Male"/>
    <n v="66"/>
    <n v="2"/>
    <n v="2"/>
    <s v="Sales Executive"/>
    <n v="3"/>
    <s v="Divorced"/>
    <n v="6334"/>
    <n v="24558"/>
    <n v="4"/>
    <s v="Y"/>
    <s v="No"/>
    <n v="19"/>
    <n v="3"/>
    <n v="4"/>
    <n v="80"/>
    <n v="2"/>
    <n v="9"/>
    <n v="2"/>
    <n v="3"/>
    <n v="1"/>
    <n v="0"/>
    <n v="0"/>
    <n v="0"/>
    <x v="0"/>
    <n v="0"/>
    <n v="0"/>
    <n v="1"/>
    <m/>
    <m/>
  </r>
  <r>
    <n v="28"/>
    <s v="No"/>
    <s v="Travel_Rarely"/>
    <n v="1169"/>
    <s v="Human Resources"/>
    <n v="8"/>
    <n v="2"/>
    <s v="Medical"/>
    <n v="1"/>
    <n v="869"/>
    <n v="2"/>
    <s v="Male"/>
    <n v="63"/>
    <n v="2"/>
    <n v="1"/>
    <s v="Human Resources"/>
    <n v="4"/>
    <s v="Divorced"/>
    <n v="4936"/>
    <n v="23965"/>
    <n v="1"/>
    <s v="Y"/>
    <s v="No"/>
    <n v="13"/>
    <n v="3"/>
    <n v="4"/>
    <n v="80"/>
    <n v="1"/>
    <n v="6"/>
    <n v="6"/>
    <n v="3"/>
    <n v="5"/>
    <n v="1"/>
    <n v="0"/>
    <n v="4"/>
    <x v="5"/>
    <n v="0"/>
    <n v="0"/>
    <n v="1"/>
    <m/>
    <m/>
  </r>
  <r>
    <n v="22"/>
    <s v="No"/>
    <s v="Travel_Rarely"/>
    <n v="1230"/>
    <s v="Research &amp; Development"/>
    <n v="1"/>
    <n v="2"/>
    <s v="Life Sciences"/>
    <n v="1"/>
    <n v="872"/>
    <n v="4"/>
    <s v="Male"/>
    <n v="33"/>
    <n v="2"/>
    <n v="2"/>
    <s v="Manufacturing Director"/>
    <n v="4"/>
    <s v="Married"/>
    <n v="4775"/>
    <n v="19146"/>
    <n v="6"/>
    <s v="Y"/>
    <s v="No"/>
    <n v="22"/>
    <n v="4"/>
    <n v="1"/>
    <n v="80"/>
    <n v="2"/>
    <n v="4"/>
    <n v="2"/>
    <n v="1"/>
    <n v="2"/>
    <n v="2"/>
    <n v="2"/>
    <n v="2"/>
    <x v="2"/>
    <n v="0"/>
    <n v="0"/>
    <n v="1"/>
    <m/>
    <m/>
  </r>
  <r>
    <n v="44"/>
    <s v="No"/>
    <s v="Travel_Rarely"/>
    <n v="986"/>
    <s v="Research &amp; Development"/>
    <n v="8"/>
    <n v="4"/>
    <s v="Life Sciences"/>
    <n v="1"/>
    <n v="874"/>
    <n v="1"/>
    <s v="Male"/>
    <n v="62"/>
    <n v="4"/>
    <n v="1"/>
    <s v="Laboratory Technician"/>
    <n v="4"/>
    <s v="Married"/>
    <n v="2818"/>
    <n v="5044"/>
    <n v="2"/>
    <s v="Y"/>
    <s v="Yes"/>
    <n v="24"/>
    <n v="4"/>
    <n v="3"/>
    <n v="80"/>
    <n v="1"/>
    <n v="10"/>
    <n v="2"/>
    <n v="2"/>
    <n v="3"/>
    <n v="2"/>
    <n v="0"/>
    <n v="2"/>
    <x v="1"/>
    <n v="0"/>
    <n v="0"/>
    <n v="1"/>
    <m/>
    <m/>
  </r>
  <r>
    <n v="42"/>
    <s v="No"/>
    <s v="Travel_Frequently"/>
    <n v="1271"/>
    <s v="Research &amp; Development"/>
    <n v="2"/>
    <n v="1"/>
    <s v="Medical"/>
    <n v="1"/>
    <n v="875"/>
    <n v="2"/>
    <s v="Male"/>
    <n v="35"/>
    <n v="3"/>
    <n v="1"/>
    <s v="Research Scientist"/>
    <n v="4"/>
    <s v="Single"/>
    <n v="2515"/>
    <n v="9068"/>
    <n v="5"/>
    <s v="Y"/>
    <s v="Yes"/>
    <n v="14"/>
    <n v="3"/>
    <n v="4"/>
    <n v="80"/>
    <n v="0"/>
    <n v="8"/>
    <n v="2"/>
    <n v="3"/>
    <n v="2"/>
    <n v="1"/>
    <n v="2"/>
    <n v="2"/>
    <x v="1"/>
    <n v="0"/>
    <n v="0"/>
    <n v="1"/>
    <m/>
    <m/>
  </r>
  <r>
    <n v="36"/>
    <s v="No"/>
    <s v="Travel_Rarely"/>
    <n v="1278"/>
    <s v="Human Resources"/>
    <n v="8"/>
    <n v="3"/>
    <s v="Life Sciences"/>
    <n v="1"/>
    <n v="878"/>
    <n v="1"/>
    <s v="Male"/>
    <n v="77"/>
    <n v="2"/>
    <n v="1"/>
    <s v="Human Resources"/>
    <n v="1"/>
    <s v="Married"/>
    <n v="2342"/>
    <n v="8635"/>
    <n v="0"/>
    <s v="Y"/>
    <s v="No"/>
    <n v="21"/>
    <n v="4"/>
    <n v="3"/>
    <n v="80"/>
    <n v="0"/>
    <n v="6"/>
    <n v="3"/>
    <n v="3"/>
    <n v="5"/>
    <n v="4"/>
    <n v="0"/>
    <n v="3"/>
    <x v="5"/>
    <n v="0"/>
    <n v="0"/>
    <n v="1"/>
    <m/>
    <m/>
  </r>
  <r>
    <n v="25"/>
    <s v="No"/>
    <s v="Travel_Rarely"/>
    <n v="141"/>
    <s v="Sales"/>
    <n v="3"/>
    <n v="1"/>
    <s v="Other"/>
    <n v="1"/>
    <n v="879"/>
    <n v="3"/>
    <s v="Male"/>
    <n v="98"/>
    <n v="3"/>
    <n v="2"/>
    <s v="Sales Executive"/>
    <n v="1"/>
    <s v="Married"/>
    <n v="4194"/>
    <n v="14363"/>
    <n v="1"/>
    <s v="Y"/>
    <s v="Yes"/>
    <n v="18"/>
    <n v="3"/>
    <n v="4"/>
    <n v="80"/>
    <n v="0"/>
    <n v="5"/>
    <n v="3"/>
    <n v="3"/>
    <n v="5"/>
    <n v="3"/>
    <n v="0"/>
    <n v="3"/>
    <x v="0"/>
    <n v="0"/>
    <n v="0"/>
    <n v="1"/>
    <m/>
    <m/>
  </r>
  <r>
    <n v="35"/>
    <s v="No"/>
    <s v="Travel_Rarely"/>
    <n v="607"/>
    <s v="Research &amp; Development"/>
    <n v="9"/>
    <n v="3"/>
    <s v="Life Sciences"/>
    <n v="1"/>
    <n v="880"/>
    <n v="4"/>
    <s v="Female"/>
    <n v="66"/>
    <n v="2"/>
    <n v="3"/>
    <s v="Manufacturing Director"/>
    <n v="3"/>
    <s v="Married"/>
    <n v="10685"/>
    <n v="23457"/>
    <n v="1"/>
    <s v="Y"/>
    <s v="Yes"/>
    <n v="20"/>
    <n v="4"/>
    <n v="2"/>
    <n v="80"/>
    <n v="1"/>
    <n v="17"/>
    <n v="2"/>
    <n v="3"/>
    <n v="17"/>
    <n v="14"/>
    <n v="5"/>
    <n v="15"/>
    <x v="2"/>
    <n v="0"/>
    <n v="0"/>
    <n v="1"/>
    <m/>
    <m/>
  </r>
  <r>
    <n v="35"/>
    <s v="Yes"/>
    <s v="Travel_Frequently"/>
    <n v="130"/>
    <s v="Research &amp; Development"/>
    <n v="25"/>
    <n v="4"/>
    <s v="Life Sciences"/>
    <n v="1"/>
    <n v="881"/>
    <n v="4"/>
    <s v="Female"/>
    <n v="96"/>
    <n v="3"/>
    <n v="1"/>
    <s v="Research Scientist"/>
    <n v="2"/>
    <s v="Divorced"/>
    <n v="2022"/>
    <n v="16612"/>
    <n v="1"/>
    <s v="Y"/>
    <s v="Yes"/>
    <n v="19"/>
    <n v="3"/>
    <n v="1"/>
    <n v="80"/>
    <n v="1"/>
    <n v="10"/>
    <n v="3"/>
    <n v="2"/>
    <n v="10"/>
    <n v="2"/>
    <n v="7"/>
    <n v="8"/>
    <x v="1"/>
    <n v="1"/>
    <n v="36396"/>
    <n v="1"/>
    <m/>
    <m/>
  </r>
  <r>
    <n v="32"/>
    <s v="No"/>
    <s v="Non-Travel"/>
    <n v="300"/>
    <s v="Research &amp; Development"/>
    <n v="1"/>
    <n v="3"/>
    <s v="Life Sciences"/>
    <n v="1"/>
    <n v="882"/>
    <n v="4"/>
    <s v="Male"/>
    <n v="61"/>
    <n v="3"/>
    <n v="1"/>
    <s v="Laboratory Technician"/>
    <n v="4"/>
    <s v="Divorced"/>
    <n v="2314"/>
    <n v="9148"/>
    <n v="0"/>
    <s v="Y"/>
    <s v="No"/>
    <n v="12"/>
    <n v="3"/>
    <n v="2"/>
    <n v="80"/>
    <n v="1"/>
    <n v="4"/>
    <n v="2"/>
    <n v="3"/>
    <n v="3"/>
    <n v="0"/>
    <n v="0"/>
    <n v="2"/>
    <x v="1"/>
    <n v="0"/>
    <n v="0"/>
    <n v="1"/>
    <m/>
    <m/>
  </r>
  <r>
    <n v="25"/>
    <s v="No"/>
    <s v="Travel_Rarely"/>
    <n v="583"/>
    <s v="Sales"/>
    <n v="4"/>
    <n v="1"/>
    <s v="Marketing"/>
    <n v="1"/>
    <n v="885"/>
    <n v="3"/>
    <s v="Male"/>
    <n v="87"/>
    <n v="2"/>
    <n v="2"/>
    <s v="Sales Executive"/>
    <n v="1"/>
    <s v="Married"/>
    <n v="4256"/>
    <n v="18154"/>
    <n v="1"/>
    <s v="Y"/>
    <s v="No"/>
    <n v="12"/>
    <n v="3"/>
    <n v="1"/>
    <n v="80"/>
    <n v="0"/>
    <n v="5"/>
    <n v="1"/>
    <n v="4"/>
    <n v="5"/>
    <n v="2"/>
    <n v="0"/>
    <n v="3"/>
    <x v="0"/>
    <n v="0"/>
    <n v="0"/>
    <n v="1"/>
    <m/>
    <m/>
  </r>
  <r>
    <n v="49"/>
    <s v="No"/>
    <s v="Travel_Rarely"/>
    <n v="1418"/>
    <s v="Research &amp; Development"/>
    <n v="1"/>
    <n v="3"/>
    <s v="Technical Degree"/>
    <n v="1"/>
    <n v="887"/>
    <n v="3"/>
    <s v="Female"/>
    <n v="36"/>
    <n v="3"/>
    <n v="1"/>
    <s v="Research Scientist"/>
    <n v="1"/>
    <s v="Married"/>
    <n v="3580"/>
    <n v="10554"/>
    <n v="2"/>
    <s v="Y"/>
    <s v="No"/>
    <n v="16"/>
    <n v="3"/>
    <n v="2"/>
    <n v="80"/>
    <n v="1"/>
    <n v="7"/>
    <n v="2"/>
    <n v="3"/>
    <n v="4"/>
    <n v="2"/>
    <n v="0"/>
    <n v="2"/>
    <x v="1"/>
    <n v="0"/>
    <n v="0"/>
    <n v="1"/>
    <m/>
    <m/>
  </r>
  <r>
    <n v="24"/>
    <s v="No"/>
    <s v="Non-Travel"/>
    <n v="1269"/>
    <s v="Research &amp; Development"/>
    <n v="4"/>
    <n v="1"/>
    <s v="Life Sciences"/>
    <n v="1"/>
    <n v="888"/>
    <n v="1"/>
    <s v="Male"/>
    <n v="46"/>
    <n v="2"/>
    <n v="1"/>
    <s v="Laboratory Technician"/>
    <n v="4"/>
    <s v="Married"/>
    <n v="3162"/>
    <n v="10778"/>
    <n v="0"/>
    <s v="Y"/>
    <s v="No"/>
    <n v="17"/>
    <n v="3"/>
    <n v="4"/>
    <n v="80"/>
    <n v="0"/>
    <n v="6"/>
    <n v="2"/>
    <n v="2"/>
    <n v="5"/>
    <n v="2"/>
    <n v="3"/>
    <n v="4"/>
    <x v="1"/>
    <n v="0"/>
    <n v="0"/>
    <n v="1"/>
    <m/>
    <m/>
  </r>
  <r>
    <n v="32"/>
    <s v="No"/>
    <s v="Travel_Frequently"/>
    <n v="379"/>
    <s v="Sales"/>
    <n v="5"/>
    <n v="2"/>
    <s v="Life Sciences"/>
    <n v="1"/>
    <n v="889"/>
    <n v="2"/>
    <s v="Male"/>
    <n v="48"/>
    <n v="3"/>
    <n v="2"/>
    <s v="Sales Executive"/>
    <n v="2"/>
    <s v="Married"/>
    <n v="6524"/>
    <n v="8891"/>
    <n v="1"/>
    <s v="Y"/>
    <s v="No"/>
    <n v="14"/>
    <n v="3"/>
    <n v="4"/>
    <n v="80"/>
    <n v="1"/>
    <n v="10"/>
    <n v="3"/>
    <n v="3"/>
    <n v="10"/>
    <n v="8"/>
    <n v="5"/>
    <n v="3"/>
    <x v="0"/>
    <n v="0"/>
    <n v="0"/>
    <n v="1"/>
    <m/>
    <m/>
  </r>
  <r>
    <n v="38"/>
    <s v="No"/>
    <s v="Travel_Rarely"/>
    <n v="395"/>
    <s v="Sales"/>
    <n v="9"/>
    <n v="3"/>
    <s v="Marketing"/>
    <n v="1"/>
    <n v="893"/>
    <n v="2"/>
    <s v="Male"/>
    <n v="98"/>
    <n v="2"/>
    <n v="1"/>
    <s v="Sales Representative"/>
    <n v="2"/>
    <s v="Married"/>
    <n v="2899"/>
    <n v="12102"/>
    <n v="0"/>
    <s v="Y"/>
    <s v="No"/>
    <n v="19"/>
    <n v="3"/>
    <n v="4"/>
    <n v="80"/>
    <n v="1"/>
    <n v="3"/>
    <n v="3"/>
    <n v="3"/>
    <n v="2"/>
    <n v="2"/>
    <n v="1"/>
    <n v="2"/>
    <x v="0"/>
    <n v="0"/>
    <n v="0"/>
    <n v="1"/>
    <m/>
    <m/>
  </r>
  <r>
    <n v="42"/>
    <s v="No"/>
    <s v="Travel_Rarely"/>
    <n v="1265"/>
    <s v="Research &amp; Development"/>
    <n v="3"/>
    <n v="3"/>
    <s v="Life Sciences"/>
    <n v="1"/>
    <n v="894"/>
    <n v="3"/>
    <s v="Female"/>
    <n v="95"/>
    <n v="4"/>
    <n v="2"/>
    <s v="Laboratory Technician"/>
    <n v="4"/>
    <s v="Married"/>
    <n v="5231"/>
    <n v="23726"/>
    <n v="2"/>
    <s v="Y"/>
    <s v="Yes"/>
    <n v="13"/>
    <n v="3"/>
    <n v="2"/>
    <n v="80"/>
    <n v="1"/>
    <n v="17"/>
    <n v="1"/>
    <n v="2"/>
    <n v="5"/>
    <n v="3"/>
    <n v="1"/>
    <n v="3"/>
    <x v="1"/>
    <n v="0"/>
    <n v="0"/>
    <n v="1"/>
    <m/>
    <m/>
  </r>
  <r>
    <n v="31"/>
    <s v="No"/>
    <s v="Travel_Rarely"/>
    <n v="1222"/>
    <s v="Research &amp; Development"/>
    <n v="11"/>
    <n v="4"/>
    <s v="Life Sciences"/>
    <n v="1"/>
    <n v="895"/>
    <n v="4"/>
    <s v="Male"/>
    <n v="48"/>
    <n v="3"/>
    <n v="1"/>
    <s v="Research Scientist"/>
    <n v="4"/>
    <s v="Married"/>
    <n v="2356"/>
    <n v="14871"/>
    <n v="3"/>
    <s v="Y"/>
    <s v="Yes"/>
    <n v="19"/>
    <n v="3"/>
    <n v="2"/>
    <n v="80"/>
    <n v="1"/>
    <n v="8"/>
    <n v="2"/>
    <n v="3"/>
    <n v="6"/>
    <n v="4"/>
    <n v="0"/>
    <n v="2"/>
    <x v="1"/>
    <n v="0"/>
    <n v="0"/>
    <n v="1"/>
    <m/>
    <m/>
  </r>
  <r>
    <n v="29"/>
    <s v="Yes"/>
    <s v="Travel_Rarely"/>
    <n v="341"/>
    <s v="Sales"/>
    <n v="1"/>
    <n v="3"/>
    <s v="Medical"/>
    <n v="1"/>
    <n v="896"/>
    <n v="2"/>
    <s v="Female"/>
    <n v="48"/>
    <n v="2"/>
    <n v="1"/>
    <s v="Sales Representative"/>
    <n v="3"/>
    <s v="Divorced"/>
    <n v="2800"/>
    <n v="23522"/>
    <n v="6"/>
    <s v="Y"/>
    <s v="Yes"/>
    <n v="19"/>
    <n v="3"/>
    <n v="3"/>
    <n v="80"/>
    <n v="3"/>
    <n v="5"/>
    <n v="3"/>
    <n v="3"/>
    <n v="3"/>
    <n v="2"/>
    <n v="0"/>
    <n v="2"/>
    <x v="0"/>
    <n v="1"/>
    <n v="50400"/>
    <n v="1"/>
    <m/>
    <m/>
  </r>
  <r>
    <n v="53"/>
    <s v="No"/>
    <s v="Travel_Rarely"/>
    <n v="868"/>
    <s v="Sales"/>
    <n v="8"/>
    <n v="3"/>
    <s v="Marketing"/>
    <n v="1"/>
    <n v="897"/>
    <n v="1"/>
    <s v="Male"/>
    <n v="73"/>
    <n v="3"/>
    <n v="4"/>
    <s v="Sales Executive"/>
    <n v="4"/>
    <s v="Married"/>
    <n v="11836"/>
    <n v="22789"/>
    <n v="5"/>
    <s v="Y"/>
    <s v="No"/>
    <n v="14"/>
    <n v="3"/>
    <n v="3"/>
    <n v="80"/>
    <n v="1"/>
    <n v="28"/>
    <n v="3"/>
    <n v="3"/>
    <n v="2"/>
    <n v="0"/>
    <n v="2"/>
    <n v="2"/>
    <x v="0"/>
    <n v="0"/>
    <n v="0"/>
    <n v="1"/>
    <m/>
    <m/>
  </r>
  <r>
    <n v="35"/>
    <s v="No"/>
    <s v="Travel_Rarely"/>
    <n v="672"/>
    <s v="Research &amp; Development"/>
    <n v="25"/>
    <n v="3"/>
    <s v="Technical Degree"/>
    <n v="1"/>
    <n v="899"/>
    <n v="4"/>
    <s v="Male"/>
    <n v="78"/>
    <n v="2"/>
    <n v="3"/>
    <s v="Manufacturing Director"/>
    <n v="2"/>
    <s v="Married"/>
    <n v="10903"/>
    <n v="9129"/>
    <n v="3"/>
    <s v="Y"/>
    <s v="No"/>
    <n v="16"/>
    <n v="3"/>
    <n v="1"/>
    <n v="80"/>
    <n v="0"/>
    <n v="16"/>
    <n v="2"/>
    <n v="3"/>
    <n v="13"/>
    <n v="10"/>
    <n v="4"/>
    <n v="8"/>
    <x v="2"/>
    <n v="0"/>
    <n v="0"/>
    <n v="1"/>
    <m/>
    <m/>
  </r>
  <r>
    <n v="37"/>
    <s v="No"/>
    <s v="Travel_Frequently"/>
    <n v="1231"/>
    <s v="Sales"/>
    <n v="21"/>
    <n v="2"/>
    <s v="Medical"/>
    <n v="1"/>
    <n v="900"/>
    <n v="3"/>
    <s v="Female"/>
    <n v="54"/>
    <n v="3"/>
    <n v="1"/>
    <s v="Sales Representative"/>
    <n v="4"/>
    <s v="Married"/>
    <n v="2973"/>
    <n v="21222"/>
    <n v="5"/>
    <s v="Y"/>
    <s v="No"/>
    <n v="15"/>
    <n v="3"/>
    <n v="2"/>
    <n v="80"/>
    <n v="1"/>
    <n v="10"/>
    <n v="3"/>
    <n v="3"/>
    <n v="5"/>
    <n v="4"/>
    <n v="0"/>
    <n v="0"/>
    <x v="0"/>
    <n v="0"/>
    <n v="0"/>
    <n v="1"/>
    <m/>
    <m/>
  </r>
  <r>
    <n v="53"/>
    <s v="No"/>
    <s v="Travel_Rarely"/>
    <n v="102"/>
    <s v="Research &amp; Development"/>
    <n v="23"/>
    <n v="4"/>
    <s v="Life Sciences"/>
    <n v="1"/>
    <n v="901"/>
    <n v="4"/>
    <s v="Female"/>
    <n v="72"/>
    <n v="3"/>
    <n v="4"/>
    <s v="Research Director"/>
    <n v="4"/>
    <s v="Single"/>
    <n v="14275"/>
    <n v="20206"/>
    <n v="6"/>
    <s v="Y"/>
    <s v="No"/>
    <n v="18"/>
    <n v="3"/>
    <n v="3"/>
    <n v="80"/>
    <n v="0"/>
    <n v="33"/>
    <n v="0"/>
    <n v="3"/>
    <n v="12"/>
    <n v="9"/>
    <n v="3"/>
    <n v="8"/>
    <x v="1"/>
    <n v="0"/>
    <n v="0"/>
    <n v="1"/>
    <m/>
    <m/>
  </r>
  <r>
    <n v="43"/>
    <s v="No"/>
    <s v="Travel_Frequently"/>
    <n v="422"/>
    <s v="Research &amp; Development"/>
    <n v="1"/>
    <n v="3"/>
    <s v="Life Sciences"/>
    <n v="1"/>
    <n v="902"/>
    <n v="4"/>
    <s v="Female"/>
    <n v="33"/>
    <n v="3"/>
    <n v="2"/>
    <s v="Healthcare Representative"/>
    <n v="4"/>
    <s v="Married"/>
    <n v="5562"/>
    <n v="21782"/>
    <n v="4"/>
    <s v="Y"/>
    <s v="No"/>
    <n v="13"/>
    <n v="3"/>
    <n v="2"/>
    <n v="80"/>
    <n v="1"/>
    <n v="12"/>
    <n v="2"/>
    <n v="2"/>
    <n v="5"/>
    <n v="2"/>
    <n v="2"/>
    <n v="2"/>
    <x v="3"/>
    <n v="0"/>
    <n v="0"/>
    <n v="1"/>
    <m/>
    <m/>
  </r>
  <r>
    <n v="47"/>
    <s v="No"/>
    <s v="Travel_Rarely"/>
    <n v="249"/>
    <s v="Sales"/>
    <n v="2"/>
    <n v="2"/>
    <s v="Marketing"/>
    <n v="1"/>
    <n v="903"/>
    <n v="3"/>
    <s v="Female"/>
    <n v="35"/>
    <n v="3"/>
    <n v="2"/>
    <s v="Sales Executive"/>
    <n v="4"/>
    <s v="Married"/>
    <n v="4537"/>
    <n v="17783"/>
    <n v="0"/>
    <s v="Y"/>
    <s v="Yes"/>
    <n v="22"/>
    <n v="4"/>
    <n v="1"/>
    <n v="80"/>
    <n v="1"/>
    <n v="8"/>
    <n v="2"/>
    <n v="3"/>
    <n v="7"/>
    <n v="6"/>
    <n v="7"/>
    <n v="7"/>
    <x v="0"/>
    <n v="0"/>
    <n v="0"/>
    <n v="1"/>
    <m/>
    <m/>
  </r>
  <r>
    <n v="37"/>
    <s v="No"/>
    <s v="Non-Travel"/>
    <n v="1252"/>
    <s v="Sales"/>
    <n v="19"/>
    <n v="2"/>
    <s v="Medical"/>
    <n v="1"/>
    <n v="904"/>
    <n v="1"/>
    <s v="Male"/>
    <n v="32"/>
    <n v="3"/>
    <n v="3"/>
    <s v="Sales Executive"/>
    <n v="2"/>
    <s v="Single"/>
    <n v="7642"/>
    <n v="4814"/>
    <n v="1"/>
    <s v="Y"/>
    <s v="Yes"/>
    <n v="13"/>
    <n v="3"/>
    <n v="4"/>
    <n v="80"/>
    <n v="0"/>
    <n v="10"/>
    <n v="2"/>
    <n v="3"/>
    <n v="10"/>
    <n v="0"/>
    <n v="0"/>
    <n v="9"/>
    <x v="0"/>
    <n v="0"/>
    <n v="0"/>
    <n v="1"/>
    <m/>
    <m/>
  </r>
  <r>
    <n v="50"/>
    <s v="No"/>
    <s v="Non-Travel"/>
    <n v="881"/>
    <s v="Research &amp; Development"/>
    <n v="2"/>
    <n v="4"/>
    <s v="Life Sciences"/>
    <n v="1"/>
    <n v="905"/>
    <n v="1"/>
    <s v="Male"/>
    <n v="98"/>
    <n v="3"/>
    <n v="4"/>
    <s v="Manager"/>
    <n v="1"/>
    <s v="Divorced"/>
    <n v="17924"/>
    <n v="4544"/>
    <n v="1"/>
    <s v="Y"/>
    <s v="No"/>
    <n v="11"/>
    <n v="3"/>
    <n v="4"/>
    <n v="80"/>
    <n v="1"/>
    <n v="31"/>
    <n v="3"/>
    <n v="3"/>
    <n v="31"/>
    <n v="6"/>
    <n v="14"/>
    <n v="7"/>
    <x v="4"/>
    <n v="0"/>
    <n v="0"/>
    <n v="1"/>
    <m/>
    <m/>
  </r>
  <r>
    <n v="39"/>
    <s v="No"/>
    <s v="Travel_Rarely"/>
    <n v="1383"/>
    <s v="Human Resources"/>
    <n v="2"/>
    <n v="3"/>
    <s v="Life Sciences"/>
    <n v="1"/>
    <n v="909"/>
    <n v="4"/>
    <s v="Female"/>
    <n v="42"/>
    <n v="2"/>
    <n v="2"/>
    <s v="Human Resources"/>
    <n v="4"/>
    <s v="Married"/>
    <n v="5204"/>
    <n v="7790"/>
    <n v="8"/>
    <s v="Y"/>
    <s v="No"/>
    <n v="11"/>
    <n v="3"/>
    <n v="3"/>
    <n v="80"/>
    <n v="2"/>
    <n v="13"/>
    <n v="2"/>
    <n v="3"/>
    <n v="5"/>
    <n v="4"/>
    <n v="0"/>
    <n v="4"/>
    <x v="5"/>
    <n v="0"/>
    <n v="0"/>
    <n v="1"/>
    <m/>
    <m/>
  </r>
  <r>
    <n v="33"/>
    <s v="No"/>
    <s v="Travel_Rarely"/>
    <n v="1075"/>
    <s v="Human Resources"/>
    <n v="3"/>
    <n v="2"/>
    <s v="Human Resources"/>
    <n v="1"/>
    <n v="910"/>
    <n v="4"/>
    <s v="Male"/>
    <n v="57"/>
    <n v="3"/>
    <n v="1"/>
    <s v="Human Resources"/>
    <n v="2"/>
    <s v="Divorced"/>
    <n v="2277"/>
    <n v="22650"/>
    <n v="3"/>
    <s v="Y"/>
    <s v="Yes"/>
    <n v="11"/>
    <n v="3"/>
    <n v="3"/>
    <n v="80"/>
    <n v="1"/>
    <n v="7"/>
    <n v="4"/>
    <n v="4"/>
    <n v="4"/>
    <n v="3"/>
    <n v="0"/>
    <n v="3"/>
    <x v="5"/>
    <n v="0"/>
    <n v="0"/>
    <n v="1"/>
    <m/>
    <m/>
  </r>
  <r>
    <n v="32"/>
    <s v="Yes"/>
    <s v="Travel_Rarely"/>
    <n v="374"/>
    <s v="Research &amp; Development"/>
    <n v="25"/>
    <n v="4"/>
    <s v="Life Sciences"/>
    <n v="1"/>
    <n v="911"/>
    <n v="1"/>
    <s v="Male"/>
    <n v="87"/>
    <n v="3"/>
    <n v="1"/>
    <s v="Laboratory Technician"/>
    <n v="4"/>
    <s v="Single"/>
    <n v="2795"/>
    <n v="18016"/>
    <n v="1"/>
    <s v="Y"/>
    <s v="Yes"/>
    <n v="24"/>
    <n v="4"/>
    <n v="3"/>
    <n v="80"/>
    <n v="0"/>
    <n v="1"/>
    <n v="2"/>
    <n v="1"/>
    <n v="1"/>
    <n v="0"/>
    <n v="0"/>
    <n v="1"/>
    <x v="1"/>
    <n v="1"/>
    <n v="50310"/>
    <n v="1"/>
    <m/>
    <m/>
  </r>
  <r>
    <n v="29"/>
    <s v="No"/>
    <s v="Travel_Rarely"/>
    <n v="1086"/>
    <s v="Research &amp; Development"/>
    <n v="7"/>
    <n v="1"/>
    <s v="Medical"/>
    <n v="1"/>
    <n v="912"/>
    <n v="1"/>
    <s v="Female"/>
    <n v="62"/>
    <n v="2"/>
    <n v="1"/>
    <s v="Laboratory Technician"/>
    <n v="4"/>
    <s v="Divorced"/>
    <n v="2532"/>
    <n v="6054"/>
    <n v="6"/>
    <s v="Y"/>
    <s v="No"/>
    <n v="14"/>
    <n v="3"/>
    <n v="3"/>
    <n v="80"/>
    <n v="3"/>
    <n v="8"/>
    <n v="5"/>
    <n v="3"/>
    <n v="4"/>
    <n v="3"/>
    <n v="0"/>
    <n v="3"/>
    <x v="1"/>
    <n v="0"/>
    <n v="0"/>
    <n v="1"/>
    <m/>
    <m/>
  </r>
  <r>
    <n v="44"/>
    <s v="No"/>
    <s v="Travel_Rarely"/>
    <n v="661"/>
    <s v="Research &amp; Development"/>
    <n v="9"/>
    <n v="2"/>
    <s v="Life Sciences"/>
    <n v="1"/>
    <n v="913"/>
    <n v="2"/>
    <s v="Male"/>
    <n v="61"/>
    <n v="3"/>
    <n v="1"/>
    <s v="Research Scientist"/>
    <n v="1"/>
    <s v="Married"/>
    <n v="2559"/>
    <n v="7508"/>
    <n v="1"/>
    <s v="Y"/>
    <s v="Yes"/>
    <n v="13"/>
    <n v="3"/>
    <n v="4"/>
    <n v="80"/>
    <n v="0"/>
    <n v="8"/>
    <n v="0"/>
    <n v="3"/>
    <n v="8"/>
    <n v="7"/>
    <n v="7"/>
    <n v="1"/>
    <x v="1"/>
    <n v="0"/>
    <n v="0"/>
    <n v="1"/>
    <m/>
    <m/>
  </r>
  <r>
    <n v="28"/>
    <s v="No"/>
    <s v="Travel_Rarely"/>
    <n v="821"/>
    <s v="Sales"/>
    <n v="5"/>
    <n v="4"/>
    <s v="Medical"/>
    <n v="1"/>
    <n v="916"/>
    <n v="1"/>
    <s v="Male"/>
    <n v="98"/>
    <n v="3"/>
    <n v="2"/>
    <s v="Sales Executive"/>
    <n v="4"/>
    <s v="Single"/>
    <n v="4908"/>
    <n v="24252"/>
    <n v="1"/>
    <s v="Y"/>
    <s v="No"/>
    <n v="14"/>
    <n v="3"/>
    <n v="2"/>
    <n v="80"/>
    <n v="0"/>
    <n v="4"/>
    <n v="3"/>
    <n v="3"/>
    <n v="4"/>
    <n v="2"/>
    <n v="0"/>
    <n v="2"/>
    <x v="0"/>
    <n v="0"/>
    <n v="0"/>
    <n v="1"/>
    <m/>
    <m/>
  </r>
  <r>
    <n v="58"/>
    <s v="Yes"/>
    <s v="Travel_Frequently"/>
    <n v="781"/>
    <s v="Research &amp; Development"/>
    <n v="2"/>
    <n v="1"/>
    <s v="Life Sciences"/>
    <n v="1"/>
    <n v="918"/>
    <n v="4"/>
    <s v="Male"/>
    <n v="57"/>
    <n v="2"/>
    <n v="1"/>
    <s v="Laboratory Technician"/>
    <n v="4"/>
    <s v="Divorced"/>
    <n v="2380"/>
    <n v="13384"/>
    <n v="9"/>
    <s v="Y"/>
    <s v="Yes"/>
    <n v="14"/>
    <n v="3"/>
    <n v="4"/>
    <n v="80"/>
    <n v="1"/>
    <n v="3"/>
    <n v="3"/>
    <n v="2"/>
    <n v="1"/>
    <n v="0"/>
    <n v="0"/>
    <n v="0"/>
    <x v="1"/>
    <n v="1"/>
    <n v="42840"/>
    <n v="1"/>
    <m/>
    <m/>
  </r>
  <r>
    <n v="43"/>
    <s v="No"/>
    <s v="Travel_Rarely"/>
    <n v="177"/>
    <s v="Research &amp; Development"/>
    <n v="8"/>
    <n v="3"/>
    <s v="Life Sciences"/>
    <n v="1"/>
    <n v="920"/>
    <n v="1"/>
    <s v="Female"/>
    <n v="55"/>
    <n v="3"/>
    <n v="2"/>
    <s v="Manufacturing Director"/>
    <n v="2"/>
    <s v="Divorced"/>
    <n v="4765"/>
    <n v="23814"/>
    <n v="4"/>
    <s v="Y"/>
    <s v="No"/>
    <n v="21"/>
    <n v="4"/>
    <n v="3"/>
    <n v="80"/>
    <n v="1"/>
    <n v="4"/>
    <n v="2"/>
    <n v="4"/>
    <n v="1"/>
    <n v="0"/>
    <n v="0"/>
    <n v="0"/>
    <x v="2"/>
    <n v="0"/>
    <n v="0"/>
    <n v="1"/>
    <m/>
    <m/>
  </r>
  <r>
    <n v="20"/>
    <s v="Yes"/>
    <s v="Travel_Rarely"/>
    <n v="500"/>
    <s v="Sales"/>
    <n v="2"/>
    <n v="3"/>
    <s v="Medical"/>
    <n v="1"/>
    <n v="922"/>
    <n v="3"/>
    <s v="Female"/>
    <n v="49"/>
    <n v="2"/>
    <n v="1"/>
    <s v="Sales Representative"/>
    <n v="3"/>
    <s v="Single"/>
    <n v="2044"/>
    <n v="22052"/>
    <n v="1"/>
    <s v="Y"/>
    <s v="No"/>
    <n v="13"/>
    <n v="3"/>
    <n v="4"/>
    <n v="80"/>
    <n v="0"/>
    <n v="2"/>
    <n v="3"/>
    <n v="2"/>
    <n v="2"/>
    <n v="2"/>
    <n v="0"/>
    <n v="2"/>
    <x v="0"/>
    <n v="1"/>
    <n v="36792"/>
    <n v="1"/>
    <m/>
    <m/>
  </r>
  <r>
    <n v="21"/>
    <s v="Yes"/>
    <s v="Travel_Rarely"/>
    <n v="1427"/>
    <s v="Research &amp; Development"/>
    <n v="18"/>
    <n v="1"/>
    <s v="Other"/>
    <n v="1"/>
    <n v="923"/>
    <n v="4"/>
    <s v="Female"/>
    <n v="65"/>
    <n v="3"/>
    <n v="1"/>
    <s v="Research Scientist"/>
    <n v="4"/>
    <s v="Single"/>
    <n v="2693"/>
    <n v="8870"/>
    <n v="1"/>
    <s v="Y"/>
    <s v="No"/>
    <n v="19"/>
    <n v="3"/>
    <n v="1"/>
    <n v="80"/>
    <n v="0"/>
    <n v="1"/>
    <n v="3"/>
    <n v="2"/>
    <n v="1"/>
    <n v="0"/>
    <n v="0"/>
    <n v="0"/>
    <x v="1"/>
    <n v="1"/>
    <n v="48474"/>
    <n v="1"/>
    <m/>
    <m/>
  </r>
  <r>
    <n v="36"/>
    <s v="No"/>
    <s v="Travel_Rarely"/>
    <n v="1425"/>
    <s v="Research &amp; Development"/>
    <n v="14"/>
    <n v="1"/>
    <s v="Life Sciences"/>
    <n v="1"/>
    <n v="924"/>
    <n v="3"/>
    <s v="Male"/>
    <n v="68"/>
    <n v="3"/>
    <n v="2"/>
    <s v="Healthcare Representative"/>
    <n v="4"/>
    <s v="Married"/>
    <n v="6586"/>
    <n v="4821"/>
    <n v="0"/>
    <s v="Y"/>
    <s v="Yes"/>
    <n v="17"/>
    <n v="3"/>
    <n v="1"/>
    <n v="80"/>
    <n v="1"/>
    <n v="17"/>
    <n v="2"/>
    <n v="2"/>
    <n v="16"/>
    <n v="8"/>
    <n v="4"/>
    <n v="11"/>
    <x v="3"/>
    <n v="0"/>
    <n v="0"/>
    <n v="1"/>
    <m/>
    <m/>
  </r>
  <r>
    <n v="47"/>
    <s v="No"/>
    <s v="Travel_Rarely"/>
    <n v="1454"/>
    <s v="Sales"/>
    <n v="2"/>
    <n v="4"/>
    <s v="Life Sciences"/>
    <n v="1"/>
    <n v="925"/>
    <n v="4"/>
    <s v="Female"/>
    <n v="65"/>
    <n v="2"/>
    <n v="1"/>
    <s v="Sales Representative"/>
    <n v="4"/>
    <s v="Single"/>
    <n v="3294"/>
    <n v="13137"/>
    <n v="1"/>
    <s v="Y"/>
    <s v="Yes"/>
    <n v="18"/>
    <n v="3"/>
    <n v="1"/>
    <n v="80"/>
    <n v="0"/>
    <n v="3"/>
    <n v="3"/>
    <n v="2"/>
    <n v="3"/>
    <n v="2"/>
    <n v="1"/>
    <n v="2"/>
    <x v="0"/>
    <n v="0"/>
    <n v="0"/>
    <n v="1"/>
    <m/>
    <m/>
  </r>
  <r>
    <n v="22"/>
    <s v="Yes"/>
    <s v="Travel_Rarely"/>
    <n v="617"/>
    <s v="Research &amp; Development"/>
    <n v="3"/>
    <n v="1"/>
    <s v="Life Sciences"/>
    <n v="1"/>
    <n v="926"/>
    <n v="2"/>
    <s v="Female"/>
    <n v="34"/>
    <n v="3"/>
    <n v="2"/>
    <s v="Manufacturing Director"/>
    <n v="3"/>
    <s v="Married"/>
    <n v="4171"/>
    <n v="10022"/>
    <n v="0"/>
    <s v="Y"/>
    <s v="Yes"/>
    <n v="19"/>
    <n v="3"/>
    <n v="1"/>
    <n v="80"/>
    <n v="1"/>
    <n v="4"/>
    <n v="3"/>
    <n v="4"/>
    <n v="3"/>
    <n v="2"/>
    <n v="0"/>
    <n v="2"/>
    <x v="2"/>
    <n v="1"/>
    <n v="75078"/>
    <n v="1"/>
    <m/>
    <m/>
  </r>
  <r>
    <n v="41"/>
    <s v="Yes"/>
    <s v="Travel_Rarely"/>
    <n v="1085"/>
    <s v="Research &amp; Development"/>
    <n v="2"/>
    <n v="4"/>
    <s v="Life Sciences"/>
    <n v="1"/>
    <n v="927"/>
    <n v="2"/>
    <s v="Female"/>
    <n v="57"/>
    <n v="1"/>
    <n v="1"/>
    <s v="Laboratory Technician"/>
    <n v="4"/>
    <s v="Divorced"/>
    <n v="2778"/>
    <n v="17725"/>
    <n v="4"/>
    <s v="Y"/>
    <s v="Yes"/>
    <n v="13"/>
    <n v="3"/>
    <n v="3"/>
    <n v="80"/>
    <n v="1"/>
    <n v="10"/>
    <n v="1"/>
    <n v="2"/>
    <n v="7"/>
    <n v="7"/>
    <n v="1"/>
    <n v="0"/>
    <x v="1"/>
    <n v="1"/>
    <n v="50004"/>
    <n v="1"/>
    <m/>
    <m/>
  </r>
  <r>
    <n v="28"/>
    <s v="No"/>
    <s v="Travel_Rarely"/>
    <n v="995"/>
    <s v="Research &amp; Development"/>
    <n v="9"/>
    <n v="3"/>
    <s v="Medical"/>
    <n v="1"/>
    <n v="930"/>
    <n v="3"/>
    <s v="Female"/>
    <n v="77"/>
    <n v="3"/>
    <n v="1"/>
    <s v="Research Scientist"/>
    <n v="3"/>
    <s v="Divorced"/>
    <n v="2377"/>
    <n v="9834"/>
    <n v="5"/>
    <s v="Y"/>
    <s v="No"/>
    <n v="18"/>
    <n v="3"/>
    <n v="2"/>
    <n v="80"/>
    <n v="1"/>
    <n v="6"/>
    <n v="2"/>
    <n v="3"/>
    <n v="2"/>
    <n v="2"/>
    <n v="2"/>
    <n v="2"/>
    <x v="1"/>
    <n v="0"/>
    <n v="0"/>
    <n v="1"/>
    <m/>
    <m/>
  </r>
  <r>
    <n v="39"/>
    <s v="Yes"/>
    <s v="Travel_Rarely"/>
    <n v="1122"/>
    <s v="Research &amp; Development"/>
    <n v="6"/>
    <n v="3"/>
    <s v="Medical"/>
    <n v="1"/>
    <n v="932"/>
    <n v="4"/>
    <s v="Male"/>
    <n v="70"/>
    <n v="3"/>
    <n v="1"/>
    <s v="Laboratory Technician"/>
    <n v="1"/>
    <s v="Married"/>
    <n v="2404"/>
    <n v="4303"/>
    <n v="7"/>
    <s v="Y"/>
    <s v="Yes"/>
    <n v="21"/>
    <n v="4"/>
    <n v="4"/>
    <n v="80"/>
    <n v="0"/>
    <n v="8"/>
    <n v="2"/>
    <n v="1"/>
    <n v="2"/>
    <n v="2"/>
    <n v="2"/>
    <n v="2"/>
    <x v="1"/>
    <n v="1"/>
    <n v="43272"/>
    <n v="1"/>
    <m/>
    <m/>
  </r>
  <r>
    <n v="27"/>
    <s v="No"/>
    <s v="Travel_Rarely"/>
    <n v="618"/>
    <s v="Research &amp; Development"/>
    <n v="4"/>
    <n v="3"/>
    <s v="Life Sciences"/>
    <n v="1"/>
    <n v="933"/>
    <n v="2"/>
    <s v="Female"/>
    <n v="76"/>
    <n v="3"/>
    <n v="1"/>
    <s v="Research Scientist"/>
    <n v="3"/>
    <s v="Single"/>
    <n v="2318"/>
    <n v="17808"/>
    <n v="1"/>
    <s v="Y"/>
    <s v="No"/>
    <n v="19"/>
    <n v="3"/>
    <n v="3"/>
    <n v="80"/>
    <n v="0"/>
    <n v="1"/>
    <n v="2"/>
    <n v="3"/>
    <n v="1"/>
    <n v="1"/>
    <n v="0"/>
    <n v="0"/>
    <x v="1"/>
    <n v="0"/>
    <n v="0"/>
    <n v="1"/>
    <m/>
    <m/>
  </r>
  <r>
    <n v="34"/>
    <s v="No"/>
    <s v="Travel_Rarely"/>
    <n v="546"/>
    <s v="Research &amp; Development"/>
    <n v="10"/>
    <n v="3"/>
    <s v="Life Sciences"/>
    <n v="1"/>
    <n v="934"/>
    <n v="2"/>
    <s v="Male"/>
    <n v="83"/>
    <n v="3"/>
    <n v="1"/>
    <s v="Laboratory Technician"/>
    <n v="2"/>
    <s v="Divorced"/>
    <n v="2008"/>
    <n v="6896"/>
    <n v="1"/>
    <s v="Y"/>
    <s v="No"/>
    <n v="14"/>
    <n v="3"/>
    <n v="2"/>
    <n v="80"/>
    <n v="2"/>
    <n v="1"/>
    <n v="3"/>
    <n v="3"/>
    <n v="1"/>
    <n v="0"/>
    <n v="1"/>
    <n v="0"/>
    <x v="1"/>
    <n v="0"/>
    <n v="0"/>
    <n v="1"/>
    <m/>
    <m/>
  </r>
  <r>
    <n v="42"/>
    <s v="No"/>
    <s v="Travel_Rarely"/>
    <n v="462"/>
    <s v="Sales"/>
    <n v="14"/>
    <n v="2"/>
    <s v="Medical"/>
    <n v="1"/>
    <n v="936"/>
    <n v="3"/>
    <s v="Female"/>
    <n v="68"/>
    <n v="2"/>
    <n v="2"/>
    <s v="Sales Executive"/>
    <n v="3"/>
    <s v="Single"/>
    <n v="6244"/>
    <n v="7824"/>
    <n v="7"/>
    <s v="Y"/>
    <s v="No"/>
    <n v="17"/>
    <n v="3"/>
    <n v="1"/>
    <n v="80"/>
    <n v="0"/>
    <n v="10"/>
    <n v="6"/>
    <n v="3"/>
    <n v="5"/>
    <n v="4"/>
    <n v="0"/>
    <n v="3"/>
    <x v="0"/>
    <n v="0"/>
    <n v="0"/>
    <n v="1"/>
    <m/>
    <m/>
  </r>
  <r>
    <n v="33"/>
    <s v="No"/>
    <s v="Travel_Rarely"/>
    <n v="1198"/>
    <s v="Research &amp; Development"/>
    <n v="1"/>
    <n v="4"/>
    <s v="Other"/>
    <n v="1"/>
    <n v="939"/>
    <n v="3"/>
    <s v="Male"/>
    <n v="100"/>
    <n v="2"/>
    <n v="1"/>
    <s v="Research Scientist"/>
    <n v="1"/>
    <s v="Single"/>
    <n v="2799"/>
    <n v="3339"/>
    <n v="3"/>
    <s v="Y"/>
    <s v="Yes"/>
    <n v="11"/>
    <n v="3"/>
    <n v="2"/>
    <n v="80"/>
    <n v="0"/>
    <n v="6"/>
    <n v="1"/>
    <n v="3"/>
    <n v="3"/>
    <n v="2"/>
    <n v="0"/>
    <n v="2"/>
    <x v="1"/>
    <n v="0"/>
    <n v="0"/>
    <n v="1"/>
    <m/>
    <m/>
  </r>
  <r>
    <n v="58"/>
    <s v="No"/>
    <s v="Travel_Rarely"/>
    <n v="1272"/>
    <s v="Research &amp; Development"/>
    <n v="5"/>
    <n v="3"/>
    <s v="Technical Degree"/>
    <n v="1"/>
    <n v="940"/>
    <n v="3"/>
    <s v="Female"/>
    <n v="37"/>
    <n v="2"/>
    <n v="3"/>
    <s v="Healthcare Representative"/>
    <n v="2"/>
    <s v="Divorced"/>
    <n v="10552"/>
    <n v="9255"/>
    <n v="2"/>
    <s v="Y"/>
    <s v="Yes"/>
    <n v="13"/>
    <n v="3"/>
    <n v="4"/>
    <n v="80"/>
    <n v="1"/>
    <n v="24"/>
    <n v="3"/>
    <n v="3"/>
    <n v="6"/>
    <n v="0"/>
    <n v="0"/>
    <n v="4"/>
    <x v="3"/>
    <n v="0"/>
    <n v="0"/>
    <n v="1"/>
    <m/>
    <m/>
  </r>
  <r>
    <n v="31"/>
    <s v="No"/>
    <s v="Travel_Rarely"/>
    <n v="154"/>
    <s v="Sales"/>
    <n v="7"/>
    <n v="4"/>
    <s v="Life Sciences"/>
    <n v="1"/>
    <n v="941"/>
    <n v="2"/>
    <s v="Male"/>
    <n v="41"/>
    <n v="2"/>
    <n v="1"/>
    <s v="Sales Representative"/>
    <n v="3"/>
    <s v="Married"/>
    <n v="2329"/>
    <n v="11737"/>
    <n v="3"/>
    <s v="Y"/>
    <s v="No"/>
    <n v="15"/>
    <n v="3"/>
    <n v="2"/>
    <n v="80"/>
    <n v="0"/>
    <n v="13"/>
    <n v="2"/>
    <n v="4"/>
    <n v="7"/>
    <n v="7"/>
    <n v="5"/>
    <n v="2"/>
    <x v="0"/>
    <n v="0"/>
    <n v="0"/>
    <n v="1"/>
    <m/>
    <m/>
  </r>
  <r>
    <n v="35"/>
    <s v="No"/>
    <s v="Travel_Rarely"/>
    <n v="1137"/>
    <s v="Research &amp; Development"/>
    <n v="21"/>
    <n v="1"/>
    <s v="Life Sciences"/>
    <n v="1"/>
    <n v="942"/>
    <n v="4"/>
    <s v="Female"/>
    <n v="51"/>
    <n v="3"/>
    <n v="2"/>
    <s v="Healthcare Representative"/>
    <n v="4"/>
    <s v="Married"/>
    <n v="4014"/>
    <n v="19170"/>
    <n v="1"/>
    <s v="Y"/>
    <s v="Yes"/>
    <n v="25"/>
    <n v="4"/>
    <n v="4"/>
    <n v="80"/>
    <n v="1"/>
    <n v="10"/>
    <n v="2"/>
    <n v="1"/>
    <n v="10"/>
    <n v="6"/>
    <n v="0"/>
    <n v="7"/>
    <x v="3"/>
    <n v="0"/>
    <n v="0"/>
    <n v="1"/>
    <m/>
    <m/>
  </r>
  <r>
    <n v="49"/>
    <s v="No"/>
    <s v="Travel_Rarely"/>
    <n v="527"/>
    <s v="Research &amp; Development"/>
    <n v="8"/>
    <n v="2"/>
    <s v="Other"/>
    <n v="1"/>
    <n v="944"/>
    <n v="1"/>
    <s v="Female"/>
    <n v="51"/>
    <n v="3"/>
    <n v="3"/>
    <s v="Laboratory Technician"/>
    <n v="2"/>
    <s v="Married"/>
    <n v="7403"/>
    <n v="22477"/>
    <n v="4"/>
    <s v="Y"/>
    <s v="No"/>
    <n v="11"/>
    <n v="3"/>
    <n v="3"/>
    <n v="80"/>
    <n v="1"/>
    <n v="29"/>
    <n v="3"/>
    <n v="2"/>
    <n v="26"/>
    <n v="9"/>
    <n v="1"/>
    <n v="7"/>
    <x v="1"/>
    <n v="0"/>
    <n v="0"/>
    <n v="1"/>
    <m/>
    <m/>
  </r>
  <r>
    <n v="48"/>
    <s v="No"/>
    <s v="Travel_Rarely"/>
    <n v="1469"/>
    <s v="Research &amp; Development"/>
    <n v="20"/>
    <n v="4"/>
    <s v="Medical"/>
    <n v="1"/>
    <n v="945"/>
    <n v="4"/>
    <s v="Male"/>
    <n v="51"/>
    <n v="3"/>
    <n v="1"/>
    <s v="Research Scientist"/>
    <n v="3"/>
    <s v="Married"/>
    <n v="2259"/>
    <n v="5543"/>
    <n v="4"/>
    <s v="Y"/>
    <s v="No"/>
    <n v="17"/>
    <n v="3"/>
    <n v="1"/>
    <n v="80"/>
    <n v="2"/>
    <n v="13"/>
    <n v="2"/>
    <n v="2"/>
    <n v="0"/>
    <n v="0"/>
    <n v="0"/>
    <n v="0"/>
    <x v="1"/>
    <n v="0"/>
    <n v="0"/>
    <n v="1"/>
    <m/>
    <m/>
  </r>
  <r>
    <n v="31"/>
    <s v="No"/>
    <s v="Non-Travel"/>
    <n v="1188"/>
    <s v="Sales"/>
    <n v="20"/>
    <n v="2"/>
    <s v="Marketing"/>
    <n v="1"/>
    <n v="947"/>
    <n v="4"/>
    <s v="Female"/>
    <n v="45"/>
    <n v="3"/>
    <n v="2"/>
    <s v="Sales Executive"/>
    <n v="3"/>
    <s v="Married"/>
    <n v="6932"/>
    <n v="24406"/>
    <n v="1"/>
    <s v="Y"/>
    <s v="No"/>
    <n v="13"/>
    <n v="3"/>
    <n v="4"/>
    <n v="80"/>
    <n v="1"/>
    <n v="9"/>
    <n v="2"/>
    <n v="2"/>
    <n v="9"/>
    <n v="8"/>
    <n v="0"/>
    <n v="0"/>
    <x v="0"/>
    <n v="0"/>
    <n v="0"/>
    <n v="1"/>
    <m/>
    <m/>
  </r>
  <r>
    <n v="36"/>
    <s v="No"/>
    <s v="Travel_Rarely"/>
    <n v="188"/>
    <s v="Research &amp; Development"/>
    <n v="7"/>
    <n v="4"/>
    <s v="Other"/>
    <n v="1"/>
    <n v="949"/>
    <n v="2"/>
    <s v="Male"/>
    <n v="65"/>
    <n v="3"/>
    <n v="1"/>
    <s v="Research Scientist"/>
    <n v="4"/>
    <s v="Single"/>
    <n v="4678"/>
    <n v="23293"/>
    <n v="2"/>
    <s v="Y"/>
    <s v="No"/>
    <n v="18"/>
    <n v="3"/>
    <n v="3"/>
    <n v="80"/>
    <n v="0"/>
    <n v="8"/>
    <n v="6"/>
    <n v="3"/>
    <n v="6"/>
    <n v="2"/>
    <n v="0"/>
    <n v="1"/>
    <x v="1"/>
    <n v="0"/>
    <n v="0"/>
    <n v="1"/>
    <m/>
    <m/>
  </r>
  <r>
    <n v="38"/>
    <s v="No"/>
    <s v="Travel_Rarely"/>
    <n v="1333"/>
    <s v="Research &amp; Development"/>
    <n v="1"/>
    <n v="3"/>
    <s v="Technical Degree"/>
    <n v="1"/>
    <n v="950"/>
    <n v="4"/>
    <s v="Female"/>
    <n v="80"/>
    <n v="3"/>
    <n v="3"/>
    <s v="Research Director"/>
    <n v="1"/>
    <s v="Married"/>
    <n v="13582"/>
    <n v="16292"/>
    <n v="1"/>
    <s v="Y"/>
    <s v="No"/>
    <n v="13"/>
    <n v="3"/>
    <n v="2"/>
    <n v="80"/>
    <n v="1"/>
    <n v="15"/>
    <n v="3"/>
    <n v="3"/>
    <n v="15"/>
    <n v="12"/>
    <n v="5"/>
    <n v="11"/>
    <x v="1"/>
    <n v="0"/>
    <n v="0"/>
    <n v="1"/>
    <m/>
    <m/>
  </r>
  <r>
    <n v="32"/>
    <s v="No"/>
    <s v="Non-Travel"/>
    <n v="1184"/>
    <s v="Research &amp; Development"/>
    <n v="1"/>
    <n v="3"/>
    <s v="Life Sciences"/>
    <n v="1"/>
    <n v="951"/>
    <n v="3"/>
    <s v="Female"/>
    <n v="70"/>
    <n v="2"/>
    <n v="1"/>
    <s v="Laboratory Technician"/>
    <n v="2"/>
    <s v="Married"/>
    <n v="2332"/>
    <n v="3974"/>
    <n v="6"/>
    <s v="Y"/>
    <s v="No"/>
    <n v="20"/>
    <n v="4"/>
    <n v="3"/>
    <n v="80"/>
    <n v="0"/>
    <n v="5"/>
    <n v="3"/>
    <n v="3"/>
    <n v="3"/>
    <n v="0"/>
    <n v="0"/>
    <n v="2"/>
    <x v="1"/>
    <n v="0"/>
    <n v="0"/>
    <n v="1"/>
    <m/>
    <m/>
  </r>
  <r>
    <n v="25"/>
    <s v="Yes"/>
    <s v="Travel_Rarely"/>
    <n v="867"/>
    <s v="Sales"/>
    <n v="19"/>
    <n v="2"/>
    <s v="Marketing"/>
    <n v="1"/>
    <n v="952"/>
    <n v="3"/>
    <s v="Male"/>
    <n v="36"/>
    <n v="2"/>
    <n v="1"/>
    <s v="Sales Representative"/>
    <n v="2"/>
    <s v="Married"/>
    <n v="2413"/>
    <n v="18798"/>
    <n v="1"/>
    <s v="Y"/>
    <s v="Yes"/>
    <n v="18"/>
    <n v="3"/>
    <n v="3"/>
    <n v="80"/>
    <n v="3"/>
    <n v="1"/>
    <n v="2"/>
    <n v="3"/>
    <n v="1"/>
    <n v="0"/>
    <n v="0"/>
    <n v="0"/>
    <x v="0"/>
    <n v="1"/>
    <n v="43434"/>
    <n v="1"/>
    <m/>
    <m/>
  </r>
  <r>
    <n v="40"/>
    <s v="No"/>
    <s v="Travel_Rarely"/>
    <n v="658"/>
    <s v="Sales"/>
    <n v="10"/>
    <n v="4"/>
    <s v="Marketing"/>
    <n v="1"/>
    <n v="954"/>
    <n v="1"/>
    <s v="Male"/>
    <n v="67"/>
    <n v="2"/>
    <n v="3"/>
    <s v="Sales Executive"/>
    <n v="2"/>
    <s v="Divorced"/>
    <n v="9705"/>
    <n v="20652"/>
    <n v="2"/>
    <s v="Y"/>
    <s v="No"/>
    <n v="12"/>
    <n v="3"/>
    <n v="2"/>
    <n v="80"/>
    <n v="1"/>
    <n v="11"/>
    <n v="2"/>
    <n v="2"/>
    <n v="1"/>
    <n v="0"/>
    <n v="0"/>
    <n v="0"/>
    <x v="0"/>
    <n v="0"/>
    <n v="0"/>
    <n v="1"/>
    <m/>
    <m/>
  </r>
  <r>
    <n v="26"/>
    <s v="No"/>
    <s v="Travel_Frequently"/>
    <n v="1283"/>
    <s v="Sales"/>
    <n v="1"/>
    <n v="3"/>
    <s v="Medical"/>
    <n v="1"/>
    <n v="956"/>
    <n v="3"/>
    <s v="Male"/>
    <n v="52"/>
    <n v="2"/>
    <n v="2"/>
    <s v="Sales Executive"/>
    <n v="1"/>
    <s v="Single"/>
    <n v="4294"/>
    <n v="11148"/>
    <n v="1"/>
    <s v="Y"/>
    <s v="No"/>
    <n v="12"/>
    <n v="3"/>
    <n v="2"/>
    <n v="80"/>
    <n v="0"/>
    <n v="7"/>
    <n v="2"/>
    <n v="3"/>
    <n v="7"/>
    <n v="7"/>
    <n v="0"/>
    <n v="7"/>
    <x v="0"/>
    <n v="0"/>
    <n v="0"/>
    <n v="1"/>
    <m/>
    <m/>
  </r>
  <r>
    <n v="41"/>
    <s v="No"/>
    <s v="Travel_Rarely"/>
    <n v="263"/>
    <s v="Research &amp; Development"/>
    <n v="6"/>
    <n v="3"/>
    <s v="Medical"/>
    <n v="1"/>
    <n v="957"/>
    <n v="4"/>
    <s v="Male"/>
    <n v="59"/>
    <n v="3"/>
    <n v="1"/>
    <s v="Laboratory Technician"/>
    <n v="1"/>
    <s v="Single"/>
    <n v="4721"/>
    <n v="3119"/>
    <n v="2"/>
    <s v="Y"/>
    <s v="Yes"/>
    <n v="13"/>
    <n v="3"/>
    <n v="3"/>
    <n v="80"/>
    <n v="0"/>
    <n v="20"/>
    <n v="3"/>
    <n v="3"/>
    <n v="18"/>
    <n v="13"/>
    <n v="2"/>
    <n v="17"/>
    <x v="1"/>
    <n v="0"/>
    <n v="0"/>
    <n v="1"/>
    <m/>
    <m/>
  </r>
  <r>
    <n v="36"/>
    <s v="No"/>
    <s v="Travel_Rarely"/>
    <n v="938"/>
    <s v="Research &amp; Development"/>
    <n v="2"/>
    <n v="4"/>
    <s v="Medical"/>
    <n v="1"/>
    <n v="958"/>
    <n v="3"/>
    <s v="Male"/>
    <n v="79"/>
    <n v="3"/>
    <n v="1"/>
    <s v="Laboratory Technician"/>
    <n v="3"/>
    <s v="Single"/>
    <n v="2519"/>
    <n v="12287"/>
    <n v="4"/>
    <s v="Y"/>
    <s v="No"/>
    <n v="21"/>
    <n v="4"/>
    <n v="3"/>
    <n v="80"/>
    <n v="0"/>
    <n v="16"/>
    <n v="6"/>
    <n v="3"/>
    <n v="11"/>
    <n v="8"/>
    <n v="3"/>
    <n v="9"/>
    <x v="1"/>
    <n v="0"/>
    <n v="0"/>
    <n v="1"/>
    <m/>
    <m/>
  </r>
  <r>
    <n v="19"/>
    <s v="Yes"/>
    <s v="Travel_Rarely"/>
    <n v="419"/>
    <s v="Sales"/>
    <n v="21"/>
    <n v="3"/>
    <s v="Other"/>
    <n v="1"/>
    <n v="959"/>
    <n v="4"/>
    <s v="Male"/>
    <n v="37"/>
    <n v="2"/>
    <n v="1"/>
    <s v="Sales Representative"/>
    <n v="2"/>
    <s v="Single"/>
    <n v="2121"/>
    <n v="9947"/>
    <n v="1"/>
    <s v="Y"/>
    <s v="Yes"/>
    <n v="13"/>
    <n v="3"/>
    <n v="2"/>
    <n v="80"/>
    <n v="0"/>
    <n v="1"/>
    <n v="3"/>
    <n v="4"/>
    <n v="1"/>
    <n v="0"/>
    <n v="0"/>
    <n v="0"/>
    <x v="0"/>
    <n v="1"/>
    <n v="38178"/>
    <n v="1"/>
    <m/>
    <m/>
  </r>
  <r>
    <n v="20"/>
    <s v="Yes"/>
    <s v="Travel_Rarely"/>
    <n v="129"/>
    <s v="Research &amp; Development"/>
    <n v="4"/>
    <n v="3"/>
    <s v="Technical Degree"/>
    <n v="1"/>
    <n v="960"/>
    <n v="1"/>
    <s v="Male"/>
    <n v="84"/>
    <n v="3"/>
    <n v="1"/>
    <s v="Laboratory Technician"/>
    <n v="1"/>
    <s v="Single"/>
    <n v="2973"/>
    <n v="13008"/>
    <n v="1"/>
    <s v="Y"/>
    <s v="No"/>
    <n v="19"/>
    <n v="3"/>
    <n v="2"/>
    <n v="80"/>
    <n v="0"/>
    <n v="1"/>
    <n v="2"/>
    <n v="3"/>
    <n v="1"/>
    <n v="0"/>
    <n v="0"/>
    <n v="0"/>
    <x v="1"/>
    <n v="1"/>
    <n v="53514"/>
    <n v="1"/>
    <m/>
    <m/>
  </r>
  <r>
    <n v="31"/>
    <s v="No"/>
    <s v="Travel_Rarely"/>
    <n v="616"/>
    <s v="Research &amp; Development"/>
    <n v="12"/>
    <n v="3"/>
    <s v="Medical"/>
    <n v="1"/>
    <n v="961"/>
    <n v="4"/>
    <s v="Female"/>
    <n v="41"/>
    <n v="3"/>
    <n v="2"/>
    <s v="Healthcare Representative"/>
    <n v="4"/>
    <s v="Married"/>
    <n v="5855"/>
    <n v="17369"/>
    <n v="0"/>
    <s v="Y"/>
    <s v="Yes"/>
    <n v="11"/>
    <n v="3"/>
    <n v="3"/>
    <n v="80"/>
    <n v="2"/>
    <n v="10"/>
    <n v="2"/>
    <n v="1"/>
    <n v="9"/>
    <n v="7"/>
    <n v="8"/>
    <n v="5"/>
    <x v="3"/>
    <n v="0"/>
    <n v="0"/>
    <n v="1"/>
    <m/>
    <m/>
  </r>
  <r>
    <n v="40"/>
    <s v="No"/>
    <s v="Travel_Frequently"/>
    <n v="1469"/>
    <s v="Research &amp; Development"/>
    <n v="9"/>
    <n v="4"/>
    <s v="Medical"/>
    <n v="1"/>
    <n v="964"/>
    <n v="4"/>
    <s v="Male"/>
    <n v="35"/>
    <n v="3"/>
    <n v="1"/>
    <s v="Research Scientist"/>
    <n v="2"/>
    <s v="Divorced"/>
    <n v="3617"/>
    <n v="25063"/>
    <n v="8"/>
    <s v="Y"/>
    <s v="Yes"/>
    <n v="14"/>
    <n v="3"/>
    <n v="4"/>
    <n v="80"/>
    <n v="1"/>
    <n v="3"/>
    <n v="2"/>
    <n v="3"/>
    <n v="1"/>
    <n v="1"/>
    <n v="0"/>
    <n v="0"/>
    <x v="1"/>
    <n v="0"/>
    <n v="0"/>
    <n v="1"/>
    <m/>
    <m/>
  </r>
  <r>
    <n v="32"/>
    <s v="No"/>
    <s v="Travel_Rarely"/>
    <n v="498"/>
    <s v="Research &amp; Development"/>
    <n v="3"/>
    <n v="4"/>
    <s v="Medical"/>
    <n v="1"/>
    <n v="966"/>
    <n v="3"/>
    <s v="Female"/>
    <n v="93"/>
    <n v="3"/>
    <n v="2"/>
    <s v="Manufacturing Director"/>
    <n v="1"/>
    <s v="Married"/>
    <n v="6725"/>
    <n v="13554"/>
    <n v="1"/>
    <s v="Y"/>
    <s v="No"/>
    <n v="12"/>
    <n v="3"/>
    <n v="3"/>
    <n v="80"/>
    <n v="1"/>
    <n v="8"/>
    <n v="2"/>
    <n v="4"/>
    <n v="8"/>
    <n v="7"/>
    <n v="6"/>
    <n v="3"/>
    <x v="2"/>
    <n v="0"/>
    <n v="0"/>
    <n v="1"/>
    <m/>
    <m/>
  </r>
  <r>
    <n v="36"/>
    <s v="Yes"/>
    <s v="Travel_Rarely"/>
    <n v="530"/>
    <s v="Sales"/>
    <n v="3"/>
    <n v="1"/>
    <s v="Life Sciences"/>
    <n v="1"/>
    <n v="967"/>
    <n v="3"/>
    <s v="Male"/>
    <n v="51"/>
    <n v="2"/>
    <n v="3"/>
    <s v="Sales Executive"/>
    <n v="4"/>
    <s v="Married"/>
    <n v="10325"/>
    <n v="5518"/>
    <n v="1"/>
    <s v="Y"/>
    <s v="Yes"/>
    <n v="11"/>
    <n v="3"/>
    <n v="1"/>
    <n v="80"/>
    <n v="1"/>
    <n v="16"/>
    <n v="6"/>
    <n v="3"/>
    <n v="16"/>
    <n v="7"/>
    <n v="3"/>
    <n v="7"/>
    <x v="0"/>
    <n v="1"/>
    <n v="185850"/>
    <n v="1"/>
    <m/>
    <m/>
  </r>
  <r>
    <n v="33"/>
    <s v="No"/>
    <s v="Travel_Rarely"/>
    <n v="1069"/>
    <s v="Research &amp; Development"/>
    <n v="1"/>
    <n v="3"/>
    <s v="Life Sciences"/>
    <n v="1"/>
    <n v="969"/>
    <n v="2"/>
    <s v="Female"/>
    <n v="42"/>
    <n v="2"/>
    <n v="2"/>
    <s v="Healthcare Representative"/>
    <n v="4"/>
    <s v="Single"/>
    <n v="6949"/>
    <n v="12291"/>
    <n v="0"/>
    <s v="Y"/>
    <s v="No"/>
    <n v="14"/>
    <n v="3"/>
    <n v="1"/>
    <n v="80"/>
    <n v="0"/>
    <n v="6"/>
    <n v="3"/>
    <n v="3"/>
    <n v="5"/>
    <n v="0"/>
    <n v="1"/>
    <n v="4"/>
    <x v="3"/>
    <n v="0"/>
    <n v="0"/>
    <n v="1"/>
    <m/>
    <m/>
  </r>
  <r>
    <n v="37"/>
    <s v="Yes"/>
    <s v="Travel_Rarely"/>
    <n v="625"/>
    <s v="Sales"/>
    <n v="1"/>
    <n v="4"/>
    <s v="Life Sciences"/>
    <n v="1"/>
    <n v="970"/>
    <n v="1"/>
    <s v="Male"/>
    <n v="46"/>
    <n v="2"/>
    <n v="3"/>
    <s v="Sales Executive"/>
    <n v="3"/>
    <s v="Married"/>
    <n v="10609"/>
    <n v="14922"/>
    <n v="5"/>
    <s v="Y"/>
    <s v="No"/>
    <n v="11"/>
    <n v="3"/>
    <n v="3"/>
    <n v="80"/>
    <n v="0"/>
    <n v="17"/>
    <n v="2"/>
    <n v="1"/>
    <n v="14"/>
    <n v="1"/>
    <n v="11"/>
    <n v="7"/>
    <x v="0"/>
    <n v="1"/>
    <n v="190962"/>
    <n v="1"/>
    <m/>
    <m/>
  </r>
  <r>
    <n v="45"/>
    <s v="No"/>
    <s v="Non-Travel"/>
    <n v="805"/>
    <s v="Research &amp; Development"/>
    <n v="4"/>
    <n v="2"/>
    <s v="Life Sciences"/>
    <n v="1"/>
    <n v="972"/>
    <n v="3"/>
    <s v="Male"/>
    <n v="57"/>
    <n v="3"/>
    <n v="2"/>
    <s v="Laboratory Technician"/>
    <n v="2"/>
    <s v="Married"/>
    <n v="4447"/>
    <n v="23163"/>
    <n v="1"/>
    <s v="Y"/>
    <s v="No"/>
    <n v="12"/>
    <n v="3"/>
    <n v="2"/>
    <n v="80"/>
    <n v="0"/>
    <n v="9"/>
    <n v="5"/>
    <n v="2"/>
    <n v="9"/>
    <n v="7"/>
    <n v="0"/>
    <n v="8"/>
    <x v="1"/>
    <n v="0"/>
    <n v="0"/>
    <n v="1"/>
    <m/>
    <m/>
  </r>
  <r>
    <n v="29"/>
    <s v="No"/>
    <s v="Travel_Frequently"/>
    <n v="1404"/>
    <s v="Sales"/>
    <n v="20"/>
    <n v="3"/>
    <s v="Technical Degree"/>
    <n v="1"/>
    <n v="974"/>
    <n v="3"/>
    <s v="Female"/>
    <n v="84"/>
    <n v="3"/>
    <n v="1"/>
    <s v="Sales Representative"/>
    <n v="4"/>
    <s v="Married"/>
    <n v="2157"/>
    <n v="18203"/>
    <n v="1"/>
    <s v="Y"/>
    <s v="No"/>
    <n v="15"/>
    <n v="3"/>
    <n v="2"/>
    <n v="80"/>
    <n v="1"/>
    <n v="3"/>
    <n v="5"/>
    <n v="3"/>
    <n v="3"/>
    <n v="1"/>
    <n v="0"/>
    <n v="2"/>
    <x v="0"/>
    <n v="0"/>
    <n v="0"/>
    <n v="1"/>
    <m/>
    <m/>
  </r>
  <r>
    <n v="35"/>
    <s v="No"/>
    <s v="Travel_Rarely"/>
    <n v="1219"/>
    <s v="Sales"/>
    <n v="18"/>
    <n v="3"/>
    <s v="Medical"/>
    <n v="1"/>
    <n v="975"/>
    <n v="3"/>
    <s v="Female"/>
    <n v="86"/>
    <n v="3"/>
    <n v="2"/>
    <s v="Sales Executive"/>
    <n v="3"/>
    <s v="Married"/>
    <n v="4601"/>
    <n v="6179"/>
    <n v="1"/>
    <s v="Y"/>
    <s v="No"/>
    <n v="16"/>
    <n v="3"/>
    <n v="2"/>
    <n v="80"/>
    <n v="0"/>
    <n v="5"/>
    <n v="3"/>
    <n v="3"/>
    <n v="5"/>
    <n v="2"/>
    <n v="1"/>
    <n v="0"/>
    <x v="0"/>
    <n v="0"/>
    <n v="0"/>
    <n v="1"/>
    <m/>
    <m/>
  </r>
  <r>
    <n v="52"/>
    <s v="No"/>
    <s v="Travel_Rarely"/>
    <n v="1053"/>
    <s v="Research &amp; Development"/>
    <n v="1"/>
    <n v="2"/>
    <s v="Life Sciences"/>
    <n v="1"/>
    <n v="976"/>
    <n v="4"/>
    <s v="Male"/>
    <n v="70"/>
    <n v="3"/>
    <n v="4"/>
    <s v="Manager"/>
    <n v="4"/>
    <s v="Married"/>
    <n v="17099"/>
    <n v="13829"/>
    <n v="2"/>
    <s v="Y"/>
    <s v="No"/>
    <n v="15"/>
    <n v="3"/>
    <n v="2"/>
    <n v="80"/>
    <n v="1"/>
    <n v="26"/>
    <n v="2"/>
    <n v="2"/>
    <n v="9"/>
    <n v="8"/>
    <n v="7"/>
    <n v="8"/>
    <x v="4"/>
    <n v="0"/>
    <n v="0"/>
    <n v="1"/>
    <m/>
    <m/>
  </r>
  <r>
    <n v="58"/>
    <s v="Yes"/>
    <s v="Travel_Rarely"/>
    <n v="289"/>
    <s v="Research &amp; Development"/>
    <n v="2"/>
    <n v="3"/>
    <s v="Technical Degree"/>
    <n v="1"/>
    <n v="977"/>
    <n v="4"/>
    <s v="Male"/>
    <n v="51"/>
    <n v="3"/>
    <n v="1"/>
    <s v="Research Scientist"/>
    <n v="3"/>
    <s v="Single"/>
    <n v="2479"/>
    <n v="26227"/>
    <n v="4"/>
    <s v="Y"/>
    <s v="No"/>
    <n v="24"/>
    <n v="4"/>
    <n v="1"/>
    <n v="80"/>
    <n v="0"/>
    <n v="7"/>
    <n v="4"/>
    <n v="3"/>
    <n v="1"/>
    <n v="0"/>
    <n v="0"/>
    <n v="0"/>
    <x v="1"/>
    <n v="1"/>
    <n v="44622"/>
    <n v="1"/>
    <m/>
    <m/>
  </r>
  <r>
    <n v="53"/>
    <s v="No"/>
    <s v="Travel_Rarely"/>
    <n v="1376"/>
    <s v="Sales"/>
    <n v="2"/>
    <n v="2"/>
    <s v="Medical"/>
    <n v="1"/>
    <n v="981"/>
    <n v="3"/>
    <s v="Male"/>
    <n v="45"/>
    <n v="3"/>
    <n v="4"/>
    <s v="Manager"/>
    <n v="3"/>
    <s v="Divorced"/>
    <n v="14852"/>
    <n v="13938"/>
    <n v="6"/>
    <s v="Y"/>
    <s v="No"/>
    <n v="13"/>
    <n v="3"/>
    <n v="3"/>
    <n v="80"/>
    <n v="1"/>
    <n v="22"/>
    <n v="3"/>
    <n v="4"/>
    <n v="17"/>
    <n v="13"/>
    <n v="15"/>
    <n v="2"/>
    <x v="4"/>
    <n v="0"/>
    <n v="0"/>
    <n v="1"/>
    <m/>
    <m/>
  </r>
  <r>
    <n v="30"/>
    <s v="No"/>
    <s v="Travel_Rarely"/>
    <n v="231"/>
    <s v="Sales"/>
    <n v="8"/>
    <n v="2"/>
    <s v="Other"/>
    <n v="1"/>
    <n v="982"/>
    <n v="3"/>
    <s v="Male"/>
    <n v="62"/>
    <n v="3"/>
    <n v="3"/>
    <s v="Sales Executive"/>
    <n v="3"/>
    <s v="Divorced"/>
    <n v="7264"/>
    <n v="9977"/>
    <n v="5"/>
    <s v="Y"/>
    <s v="No"/>
    <n v="11"/>
    <n v="3"/>
    <n v="1"/>
    <n v="80"/>
    <n v="1"/>
    <n v="10"/>
    <n v="2"/>
    <n v="4"/>
    <n v="8"/>
    <n v="4"/>
    <n v="7"/>
    <n v="7"/>
    <x v="0"/>
    <n v="0"/>
    <n v="0"/>
    <n v="1"/>
    <m/>
    <m/>
  </r>
  <r>
    <n v="38"/>
    <s v="No"/>
    <s v="Non-Travel"/>
    <n v="152"/>
    <s v="Sales"/>
    <n v="10"/>
    <n v="3"/>
    <s v="Technical Degree"/>
    <n v="1"/>
    <n v="983"/>
    <n v="3"/>
    <s v="Female"/>
    <n v="85"/>
    <n v="3"/>
    <n v="2"/>
    <s v="Sales Executive"/>
    <n v="4"/>
    <s v="Single"/>
    <n v="5666"/>
    <n v="19899"/>
    <n v="1"/>
    <s v="Y"/>
    <s v="Yes"/>
    <n v="13"/>
    <n v="3"/>
    <n v="2"/>
    <n v="80"/>
    <n v="0"/>
    <n v="6"/>
    <n v="1"/>
    <n v="3"/>
    <n v="5"/>
    <n v="3"/>
    <n v="1"/>
    <n v="3"/>
    <x v="0"/>
    <n v="0"/>
    <n v="0"/>
    <n v="1"/>
    <m/>
    <m/>
  </r>
  <r>
    <n v="35"/>
    <s v="No"/>
    <s v="Travel_Rarely"/>
    <n v="882"/>
    <s v="Sales"/>
    <n v="3"/>
    <n v="4"/>
    <s v="Life Sciences"/>
    <n v="1"/>
    <n v="984"/>
    <n v="4"/>
    <s v="Male"/>
    <n v="92"/>
    <n v="3"/>
    <n v="3"/>
    <s v="Sales Executive"/>
    <n v="4"/>
    <s v="Divorced"/>
    <n v="7823"/>
    <n v="6812"/>
    <n v="6"/>
    <s v="Y"/>
    <s v="No"/>
    <n v="13"/>
    <n v="3"/>
    <n v="2"/>
    <n v="80"/>
    <n v="1"/>
    <n v="12"/>
    <n v="2"/>
    <n v="3"/>
    <n v="10"/>
    <n v="9"/>
    <n v="0"/>
    <n v="8"/>
    <x v="0"/>
    <n v="0"/>
    <n v="0"/>
    <n v="1"/>
    <m/>
    <m/>
  </r>
  <r>
    <n v="39"/>
    <s v="No"/>
    <s v="Travel_Rarely"/>
    <n v="903"/>
    <s v="Sales"/>
    <n v="2"/>
    <n v="5"/>
    <s v="Life Sciences"/>
    <n v="1"/>
    <n v="985"/>
    <n v="1"/>
    <s v="Male"/>
    <n v="41"/>
    <n v="4"/>
    <n v="3"/>
    <s v="Sales Executive"/>
    <n v="3"/>
    <s v="Single"/>
    <n v="7880"/>
    <n v="2560"/>
    <n v="0"/>
    <s v="Y"/>
    <s v="No"/>
    <n v="18"/>
    <n v="3"/>
    <n v="4"/>
    <n v="80"/>
    <n v="0"/>
    <n v="9"/>
    <n v="3"/>
    <n v="3"/>
    <n v="8"/>
    <n v="7"/>
    <n v="0"/>
    <n v="7"/>
    <x v="0"/>
    <n v="0"/>
    <n v="0"/>
    <n v="1"/>
    <m/>
    <m/>
  </r>
  <r>
    <n v="40"/>
    <s v="Yes"/>
    <s v="Non-Travel"/>
    <n v="1479"/>
    <s v="Sales"/>
    <n v="24"/>
    <n v="3"/>
    <s v="Life Sciences"/>
    <n v="1"/>
    <n v="986"/>
    <n v="2"/>
    <s v="Female"/>
    <n v="100"/>
    <n v="4"/>
    <n v="4"/>
    <s v="Sales Executive"/>
    <n v="2"/>
    <s v="Single"/>
    <n v="13194"/>
    <n v="17071"/>
    <n v="4"/>
    <s v="Y"/>
    <s v="Yes"/>
    <n v="16"/>
    <n v="3"/>
    <n v="4"/>
    <n v="80"/>
    <n v="0"/>
    <n v="22"/>
    <n v="2"/>
    <n v="2"/>
    <n v="1"/>
    <n v="0"/>
    <n v="0"/>
    <n v="0"/>
    <x v="0"/>
    <n v="1"/>
    <n v="237492"/>
    <n v="1"/>
    <m/>
    <m/>
  </r>
  <r>
    <n v="47"/>
    <s v="No"/>
    <s v="Travel_Frequently"/>
    <n v="1379"/>
    <s v="Research &amp; Development"/>
    <n v="16"/>
    <n v="4"/>
    <s v="Medical"/>
    <n v="1"/>
    <n v="987"/>
    <n v="3"/>
    <s v="Male"/>
    <n v="64"/>
    <n v="4"/>
    <n v="2"/>
    <s v="Manufacturing Director"/>
    <n v="3"/>
    <s v="Divorced"/>
    <n v="5067"/>
    <n v="6759"/>
    <n v="1"/>
    <s v="Y"/>
    <s v="Yes"/>
    <n v="19"/>
    <n v="3"/>
    <n v="3"/>
    <n v="80"/>
    <n v="0"/>
    <n v="20"/>
    <n v="3"/>
    <n v="4"/>
    <n v="19"/>
    <n v="10"/>
    <n v="2"/>
    <n v="7"/>
    <x v="2"/>
    <n v="0"/>
    <n v="0"/>
    <n v="1"/>
    <m/>
    <m/>
  </r>
  <r>
    <n v="36"/>
    <s v="No"/>
    <s v="Non-Travel"/>
    <n v="1229"/>
    <s v="Sales"/>
    <n v="8"/>
    <n v="4"/>
    <s v="Technical Degree"/>
    <n v="1"/>
    <n v="990"/>
    <n v="1"/>
    <s v="Male"/>
    <n v="84"/>
    <n v="3"/>
    <n v="2"/>
    <s v="Sales Executive"/>
    <n v="4"/>
    <s v="Divorced"/>
    <n v="5079"/>
    <n v="25952"/>
    <n v="4"/>
    <s v="Y"/>
    <s v="No"/>
    <n v="13"/>
    <n v="3"/>
    <n v="4"/>
    <n v="80"/>
    <n v="2"/>
    <n v="12"/>
    <n v="3"/>
    <n v="3"/>
    <n v="7"/>
    <n v="7"/>
    <n v="0"/>
    <n v="7"/>
    <x v="0"/>
    <n v="0"/>
    <n v="0"/>
    <n v="1"/>
    <m/>
    <m/>
  </r>
  <r>
    <n v="31"/>
    <s v="Yes"/>
    <s v="Non-Travel"/>
    <n v="335"/>
    <s v="Research &amp; Development"/>
    <n v="9"/>
    <n v="2"/>
    <s v="Medical"/>
    <n v="1"/>
    <n v="991"/>
    <n v="3"/>
    <s v="Male"/>
    <n v="46"/>
    <n v="2"/>
    <n v="1"/>
    <s v="Research Scientist"/>
    <n v="1"/>
    <s v="Single"/>
    <n v="2321"/>
    <n v="10322"/>
    <n v="0"/>
    <s v="Y"/>
    <s v="Yes"/>
    <n v="22"/>
    <n v="4"/>
    <n v="1"/>
    <n v="80"/>
    <n v="0"/>
    <n v="4"/>
    <n v="0"/>
    <n v="3"/>
    <n v="3"/>
    <n v="2"/>
    <n v="1"/>
    <n v="2"/>
    <x v="1"/>
    <n v="1"/>
    <n v="41778"/>
    <n v="1"/>
    <m/>
    <m/>
  </r>
  <r>
    <n v="33"/>
    <s v="No"/>
    <s v="Non-Travel"/>
    <n v="722"/>
    <s v="Sales"/>
    <n v="17"/>
    <n v="3"/>
    <s v="Life Sciences"/>
    <n v="1"/>
    <n v="992"/>
    <n v="4"/>
    <s v="Male"/>
    <n v="38"/>
    <n v="3"/>
    <n v="4"/>
    <s v="Manager"/>
    <n v="3"/>
    <s v="Single"/>
    <n v="17444"/>
    <n v="20489"/>
    <n v="1"/>
    <s v="Y"/>
    <s v="No"/>
    <n v="11"/>
    <n v="3"/>
    <n v="4"/>
    <n v="80"/>
    <n v="0"/>
    <n v="10"/>
    <n v="2"/>
    <n v="3"/>
    <n v="10"/>
    <n v="8"/>
    <n v="6"/>
    <n v="0"/>
    <x v="4"/>
    <n v="0"/>
    <n v="0"/>
    <n v="1"/>
    <m/>
    <m/>
  </r>
  <r>
    <n v="29"/>
    <s v="Yes"/>
    <s v="Travel_Rarely"/>
    <n v="906"/>
    <s v="Research &amp; Development"/>
    <n v="10"/>
    <n v="3"/>
    <s v="Life Sciences"/>
    <n v="1"/>
    <n v="994"/>
    <n v="4"/>
    <s v="Female"/>
    <n v="92"/>
    <n v="2"/>
    <n v="1"/>
    <s v="Research Scientist"/>
    <n v="1"/>
    <s v="Single"/>
    <n v="2404"/>
    <n v="11479"/>
    <n v="6"/>
    <s v="Y"/>
    <s v="Yes"/>
    <n v="20"/>
    <n v="4"/>
    <n v="3"/>
    <n v="80"/>
    <n v="0"/>
    <n v="3"/>
    <n v="5"/>
    <n v="3"/>
    <n v="0"/>
    <n v="0"/>
    <n v="0"/>
    <n v="0"/>
    <x v="1"/>
    <n v="1"/>
    <n v="43272"/>
    <n v="1"/>
    <m/>
    <m/>
  </r>
  <r>
    <n v="33"/>
    <s v="No"/>
    <s v="Travel_Rarely"/>
    <n v="461"/>
    <s v="Research &amp; Development"/>
    <n v="13"/>
    <n v="1"/>
    <s v="Life Sciences"/>
    <n v="1"/>
    <n v="995"/>
    <n v="2"/>
    <s v="Female"/>
    <n v="53"/>
    <n v="3"/>
    <n v="1"/>
    <s v="Research Scientist"/>
    <n v="4"/>
    <s v="Single"/>
    <n v="3452"/>
    <n v="17241"/>
    <n v="3"/>
    <s v="Y"/>
    <s v="No"/>
    <n v="18"/>
    <n v="3"/>
    <n v="1"/>
    <n v="80"/>
    <n v="0"/>
    <n v="5"/>
    <n v="4"/>
    <n v="3"/>
    <n v="3"/>
    <n v="2"/>
    <n v="0"/>
    <n v="2"/>
    <x v="1"/>
    <n v="0"/>
    <n v="0"/>
    <n v="1"/>
    <m/>
    <m/>
  </r>
  <r>
    <n v="45"/>
    <s v="No"/>
    <s v="Travel_Rarely"/>
    <n v="974"/>
    <s v="Research &amp; Development"/>
    <n v="1"/>
    <n v="4"/>
    <s v="Medical"/>
    <n v="1"/>
    <n v="996"/>
    <n v="4"/>
    <s v="Female"/>
    <n v="91"/>
    <n v="3"/>
    <n v="1"/>
    <s v="Laboratory Technician"/>
    <n v="4"/>
    <s v="Divorced"/>
    <n v="2270"/>
    <n v="11005"/>
    <n v="3"/>
    <s v="Y"/>
    <s v="No"/>
    <n v="14"/>
    <n v="3"/>
    <n v="4"/>
    <n v="80"/>
    <n v="2"/>
    <n v="8"/>
    <n v="2"/>
    <n v="3"/>
    <n v="5"/>
    <n v="3"/>
    <n v="0"/>
    <n v="2"/>
    <x v="1"/>
    <n v="0"/>
    <n v="0"/>
    <n v="1"/>
    <m/>
    <m/>
  </r>
  <r>
    <n v="50"/>
    <s v="No"/>
    <s v="Travel_Rarely"/>
    <n v="1126"/>
    <s v="Research &amp; Development"/>
    <n v="1"/>
    <n v="2"/>
    <s v="Medical"/>
    <n v="1"/>
    <n v="997"/>
    <n v="4"/>
    <s v="Male"/>
    <n v="66"/>
    <n v="3"/>
    <n v="4"/>
    <s v="Research Director"/>
    <n v="4"/>
    <s v="Divorced"/>
    <n v="17399"/>
    <n v="6615"/>
    <n v="9"/>
    <s v="Y"/>
    <s v="No"/>
    <n v="22"/>
    <n v="4"/>
    <n v="3"/>
    <n v="80"/>
    <n v="1"/>
    <n v="32"/>
    <n v="1"/>
    <n v="2"/>
    <n v="5"/>
    <n v="4"/>
    <n v="1"/>
    <n v="3"/>
    <x v="1"/>
    <n v="0"/>
    <n v="0"/>
    <n v="1"/>
    <m/>
    <m/>
  </r>
  <r>
    <n v="33"/>
    <s v="No"/>
    <s v="Travel_Frequently"/>
    <n v="827"/>
    <s v="Research &amp; Development"/>
    <n v="1"/>
    <n v="4"/>
    <s v="Other"/>
    <n v="1"/>
    <n v="998"/>
    <n v="3"/>
    <s v="Female"/>
    <n v="84"/>
    <n v="4"/>
    <n v="2"/>
    <s v="Healthcare Representative"/>
    <n v="2"/>
    <s v="Married"/>
    <n v="5488"/>
    <n v="20161"/>
    <n v="1"/>
    <s v="Y"/>
    <s v="Yes"/>
    <n v="13"/>
    <n v="3"/>
    <n v="1"/>
    <n v="80"/>
    <n v="1"/>
    <n v="6"/>
    <n v="2"/>
    <n v="3"/>
    <n v="6"/>
    <n v="5"/>
    <n v="1"/>
    <n v="2"/>
    <x v="3"/>
    <n v="0"/>
    <n v="0"/>
    <n v="1"/>
    <m/>
    <m/>
  </r>
  <r>
    <n v="41"/>
    <s v="No"/>
    <s v="Travel_Frequently"/>
    <n v="840"/>
    <s v="Research &amp; Development"/>
    <n v="9"/>
    <n v="3"/>
    <s v="Medical"/>
    <n v="1"/>
    <n v="999"/>
    <n v="1"/>
    <s v="Male"/>
    <n v="64"/>
    <n v="3"/>
    <n v="5"/>
    <s v="Research Director"/>
    <n v="3"/>
    <s v="Divorced"/>
    <n v="19419"/>
    <n v="3735"/>
    <n v="2"/>
    <s v="Y"/>
    <s v="No"/>
    <n v="17"/>
    <n v="3"/>
    <n v="2"/>
    <n v="80"/>
    <n v="1"/>
    <n v="21"/>
    <n v="2"/>
    <n v="4"/>
    <n v="18"/>
    <n v="16"/>
    <n v="0"/>
    <n v="11"/>
    <x v="1"/>
    <n v="0"/>
    <n v="0"/>
    <n v="1"/>
    <m/>
    <m/>
  </r>
  <r>
    <n v="27"/>
    <s v="No"/>
    <s v="Travel_Rarely"/>
    <n v="1134"/>
    <s v="Research &amp; Development"/>
    <n v="16"/>
    <n v="4"/>
    <s v="Technical Degree"/>
    <n v="1"/>
    <n v="1001"/>
    <n v="3"/>
    <s v="Female"/>
    <n v="37"/>
    <n v="3"/>
    <n v="1"/>
    <s v="Laboratory Technician"/>
    <n v="2"/>
    <s v="Married"/>
    <n v="2811"/>
    <n v="12086"/>
    <n v="9"/>
    <s v="Y"/>
    <s v="No"/>
    <n v="14"/>
    <n v="3"/>
    <n v="2"/>
    <n v="80"/>
    <n v="1"/>
    <n v="4"/>
    <n v="2"/>
    <n v="3"/>
    <n v="2"/>
    <n v="2"/>
    <n v="2"/>
    <n v="2"/>
    <x v="1"/>
    <n v="0"/>
    <n v="0"/>
    <n v="1"/>
    <m/>
    <m/>
  </r>
  <r>
    <n v="45"/>
    <s v="No"/>
    <s v="Non-Travel"/>
    <n v="248"/>
    <s v="Research &amp; Development"/>
    <n v="23"/>
    <n v="2"/>
    <s v="Life Sciences"/>
    <n v="1"/>
    <n v="1002"/>
    <n v="4"/>
    <s v="Male"/>
    <n v="42"/>
    <n v="3"/>
    <n v="2"/>
    <s v="Laboratory Technician"/>
    <n v="1"/>
    <s v="Married"/>
    <n v="3633"/>
    <n v="14039"/>
    <n v="1"/>
    <s v="Y"/>
    <s v="Yes"/>
    <n v="15"/>
    <n v="3"/>
    <n v="3"/>
    <n v="80"/>
    <n v="1"/>
    <n v="9"/>
    <n v="2"/>
    <n v="3"/>
    <n v="9"/>
    <n v="8"/>
    <n v="0"/>
    <n v="8"/>
    <x v="1"/>
    <n v="0"/>
    <n v="0"/>
    <n v="1"/>
    <m/>
    <m/>
  </r>
  <r>
    <n v="47"/>
    <s v="No"/>
    <s v="Travel_Rarely"/>
    <n v="955"/>
    <s v="Sales"/>
    <n v="4"/>
    <n v="2"/>
    <s v="Life Sciences"/>
    <n v="1"/>
    <n v="1003"/>
    <n v="4"/>
    <s v="Female"/>
    <n v="83"/>
    <n v="3"/>
    <n v="2"/>
    <s v="Sales Executive"/>
    <n v="4"/>
    <s v="Single"/>
    <n v="4163"/>
    <n v="8571"/>
    <n v="1"/>
    <s v="Y"/>
    <s v="Yes"/>
    <n v="17"/>
    <n v="3"/>
    <n v="3"/>
    <n v="80"/>
    <n v="0"/>
    <n v="9"/>
    <n v="0"/>
    <n v="3"/>
    <n v="9"/>
    <n v="0"/>
    <n v="0"/>
    <n v="7"/>
    <x v="0"/>
    <n v="0"/>
    <n v="0"/>
    <n v="1"/>
    <m/>
    <m/>
  </r>
  <r>
    <n v="30"/>
    <s v="Yes"/>
    <s v="Travel_Rarely"/>
    <n v="138"/>
    <s v="Research &amp; Development"/>
    <n v="22"/>
    <n v="3"/>
    <s v="Life Sciences"/>
    <n v="1"/>
    <n v="1004"/>
    <n v="1"/>
    <s v="Female"/>
    <n v="48"/>
    <n v="3"/>
    <n v="1"/>
    <s v="Research Scientist"/>
    <n v="3"/>
    <s v="Married"/>
    <n v="2132"/>
    <n v="11539"/>
    <n v="4"/>
    <s v="Y"/>
    <s v="Yes"/>
    <n v="11"/>
    <n v="3"/>
    <n v="2"/>
    <n v="80"/>
    <n v="0"/>
    <n v="7"/>
    <n v="2"/>
    <n v="3"/>
    <n v="5"/>
    <n v="2"/>
    <n v="0"/>
    <n v="1"/>
    <x v="1"/>
    <n v="1"/>
    <n v="38376"/>
    <n v="1"/>
    <m/>
    <m/>
  </r>
  <r>
    <n v="50"/>
    <s v="No"/>
    <s v="Travel_Rarely"/>
    <n v="939"/>
    <s v="Research &amp; Development"/>
    <n v="24"/>
    <n v="3"/>
    <s v="Life Sciences"/>
    <n v="1"/>
    <n v="1005"/>
    <n v="4"/>
    <s v="Male"/>
    <n v="95"/>
    <n v="3"/>
    <n v="4"/>
    <s v="Manufacturing Director"/>
    <n v="3"/>
    <s v="Married"/>
    <n v="13973"/>
    <n v="4161"/>
    <n v="3"/>
    <s v="Y"/>
    <s v="Yes"/>
    <n v="18"/>
    <n v="3"/>
    <n v="4"/>
    <n v="80"/>
    <n v="1"/>
    <n v="22"/>
    <n v="2"/>
    <n v="3"/>
    <n v="12"/>
    <n v="11"/>
    <n v="1"/>
    <n v="5"/>
    <x v="2"/>
    <n v="0"/>
    <n v="0"/>
    <n v="1"/>
    <m/>
    <m/>
  </r>
  <r>
    <n v="38"/>
    <s v="No"/>
    <s v="Travel_Frequently"/>
    <n v="1391"/>
    <s v="Research &amp; Development"/>
    <n v="10"/>
    <n v="1"/>
    <s v="Medical"/>
    <n v="1"/>
    <n v="1006"/>
    <n v="3"/>
    <s v="Male"/>
    <n v="66"/>
    <n v="3"/>
    <n v="1"/>
    <s v="Research Scientist"/>
    <n v="3"/>
    <s v="Married"/>
    <n v="2684"/>
    <n v="12127"/>
    <n v="0"/>
    <s v="Y"/>
    <s v="No"/>
    <n v="17"/>
    <n v="3"/>
    <n v="2"/>
    <n v="80"/>
    <n v="1"/>
    <n v="3"/>
    <n v="0"/>
    <n v="2"/>
    <n v="2"/>
    <n v="1"/>
    <n v="0"/>
    <n v="2"/>
    <x v="1"/>
    <n v="0"/>
    <n v="0"/>
    <n v="1"/>
    <m/>
    <m/>
  </r>
  <r>
    <n v="46"/>
    <s v="No"/>
    <s v="Travel_Rarely"/>
    <n v="566"/>
    <s v="Research &amp; Development"/>
    <n v="7"/>
    <n v="2"/>
    <s v="Medical"/>
    <n v="1"/>
    <n v="1007"/>
    <n v="4"/>
    <s v="Male"/>
    <n v="75"/>
    <n v="3"/>
    <n v="3"/>
    <s v="Manufacturing Director"/>
    <n v="3"/>
    <s v="Divorced"/>
    <n v="10845"/>
    <n v="24208"/>
    <n v="6"/>
    <s v="Y"/>
    <s v="No"/>
    <n v="13"/>
    <n v="3"/>
    <n v="2"/>
    <n v="80"/>
    <n v="1"/>
    <n v="13"/>
    <n v="3"/>
    <n v="3"/>
    <n v="8"/>
    <n v="7"/>
    <n v="0"/>
    <n v="7"/>
    <x v="2"/>
    <n v="0"/>
    <n v="0"/>
    <n v="1"/>
    <m/>
    <m/>
  </r>
  <r>
    <n v="24"/>
    <s v="No"/>
    <s v="Travel_Rarely"/>
    <n v="1206"/>
    <s v="Research &amp; Development"/>
    <n v="17"/>
    <n v="1"/>
    <s v="Medical"/>
    <n v="1"/>
    <n v="1009"/>
    <n v="4"/>
    <s v="Female"/>
    <n v="41"/>
    <n v="2"/>
    <n v="2"/>
    <s v="Manufacturing Director"/>
    <n v="3"/>
    <s v="Divorced"/>
    <n v="4377"/>
    <n v="24117"/>
    <n v="1"/>
    <s v="Y"/>
    <s v="No"/>
    <n v="15"/>
    <n v="3"/>
    <n v="2"/>
    <n v="80"/>
    <n v="2"/>
    <n v="5"/>
    <n v="6"/>
    <n v="3"/>
    <n v="4"/>
    <n v="2"/>
    <n v="3"/>
    <n v="2"/>
    <x v="2"/>
    <n v="0"/>
    <n v="0"/>
    <n v="1"/>
    <m/>
    <m/>
  </r>
  <r>
    <n v="35"/>
    <s v="Yes"/>
    <s v="Travel_Rarely"/>
    <n v="622"/>
    <s v="Research &amp; Development"/>
    <n v="14"/>
    <n v="4"/>
    <s v="Other"/>
    <n v="1"/>
    <n v="1010"/>
    <n v="3"/>
    <s v="Male"/>
    <n v="39"/>
    <n v="2"/>
    <n v="1"/>
    <s v="Laboratory Technician"/>
    <n v="2"/>
    <s v="Divorced"/>
    <n v="3743"/>
    <n v="10074"/>
    <n v="1"/>
    <s v="Y"/>
    <s v="Yes"/>
    <n v="24"/>
    <n v="4"/>
    <n v="4"/>
    <n v="80"/>
    <n v="1"/>
    <n v="5"/>
    <n v="2"/>
    <n v="1"/>
    <n v="4"/>
    <n v="2"/>
    <n v="0"/>
    <n v="2"/>
    <x v="1"/>
    <n v="1"/>
    <n v="67374"/>
    <n v="1"/>
    <m/>
    <m/>
  </r>
  <r>
    <n v="31"/>
    <s v="No"/>
    <s v="Travel_Frequently"/>
    <n v="853"/>
    <s v="Research &amp; Development"/>
    <n v="1"/>
    <n v="1"/>
    <s v="Life Sciences"/>
    <n v="1"/>
    <n v="1011"/>
    <n v="3"/>
    <s v="Female"/>
    <n v="96"/>
    <n v="3"/>
    <n v="2"/>
    <s v="Manufacturing Director"/>
    <n v="1"/>
    <s v="Married"/>
    <n v="4148"/>
    <n v="11275"/>
    <n v="1"/>
    <s v="Y"/>
    <s v="No"/>
    <n v="12"/>
    <n v="3"/>
    <n v="3"/>
    <n v="80"/>
    <n v="1"/>
    <n v="4"/>
    <n v="1"/>
    <n v="3"/>
    <n v="4"/>
    <n v="3"/>
    <n v="0"/>
    <n v="3"/>
    <x v="2"/>
    <n v="0"/>
    <n v="0"/>
    <n v="1"/>
    <m/>
    <m/>
  </r>
  <r>
    <n v="18"/>
    <s v="No"/>
    <s v="Non-Travel"/>
    <n v="287"/>
    <s v="Research &amp; Development"/>
    <n v="5"/>
    <n v="2"/>
    <s v="Life Sciences"/>
    <n v="1"/>
    <n v="1012"/>
    <n v="2"/>
    <s v="Male"/>
    <n v="73"/>
    <n v="3"/>
    <n v="1"/>
    <s v="Research Scientist"/>
    <n v="4"/>
    <s v="Single"/>
    <n v="1051"/>
    <n v="13493"/>
    <n v="1"/>
    <s v="Y"/>
    <s v="No"/>
    <n v="15"/>
    <n v="3"/>
    <n v="4"/>
    <n v="80"/>
    <n v="0"/>
    <n v="0"/>
    <n v="2"/>
    <n v="3"/>
    <n v="0"/>
    <n v="0"/>
    <n v="0"/>
    <n v="0"/>
    <x v="1"/>
    <n v="0"/>
    <n v="0"/>
    <n v="1"/>
    <m/>
    <m/>
  </r>
  <r>
    <n v="54"/>
    <s v="No"/>
    <s v="Travel_Rarely"/>
    <n v="1441"/>
    <s v="Research &amp; Development"/>
    <n v="17"/>
    <n v="3"/>
    <s v="Technical Degree"/>
    <n v="1"/>
    <n v="1013"/>
    <n v="3"/>
    <s v="Female"/>
    <n v="56"/>
    <n v="3"/>
    <n v="3"/>
    <s v="Manufacturing Director"/>
    <n v="3"/>
    <s v="Married"/>
    <n v="10739"/>
    <n v="13943"/>
    <n v="8"/>
    <s v="Y"/>
    <s v="No"/>
    <n v="11"/>
    <n v="3"/>
    <n v="3"/>
    <n v="80"/>
    <n v="1"/>
    <n v="22"/>
    <n v="2"/>
    <n v="3"/>
    <n v="10"/>
    <n v="7"/>
    <n v="0"/>
    <n v="8"/>
    <x v="2"/>
    <n v="0"/>
    <n v="0"/>
    <n v="1"/>
    <m/>
    <m/>
  </r>
  <r>
    <n v="35"/>
    <s v="No"/>
    <s v="Travel_Rarely"/>
    <n v="583"/>
    <s v="Research &amp; Development"/>
    <n v="25"/>
    <n v="4"/>
    <s v="Medical"/>
    <n v="1"/>
    <n v="1014"/>
    <n v="3"/>
    <s v="Female"/>
    <n v="57"/>
    <n v="3"/>
    <n v="3"/>
    <s v="Healthcare Representative"/>
    <n v="3"/>
    <s v="Divorced"/>
    <n v="10388"/>
    <n v="6975"/>
    <n v="1"/>
    <s v="Y"/>
    <s v="Yes"/>
    <n v="11"/>
    <n v="3"/>
    <n v="3"/>
    <n v="80"/>
    <n v="1"/>
    <n v="16"/>
    <n v="3"/>
    <n v="2"/>
    <n v="16"/>
    <n v="10"/>
    <n v="10"/>
    <n v="1"/>
    <x v="3"/>
    <n v="0"/>
    <n v="0"/>
    <n v="1"/>
    <m/>
    <m/>
  </r>
  <r>
    <n v="30"/>
    <s v="No"/>
    <s v="Travel_Rarely"/>
    <n v="153"/>
    <s v="Research &amp; Development"/>
    <n v="8"/>
    <n v="2"/>
    <s v="Life Sciences"/>
    <n v="1"/>
    <n v="1015"/>
    <n v="2"/>
    <s v="Female"/>
    <n v="73"/>
    <n v="4"/>
    <n v="3"/>
    <s v="Research Director"/>
    <n v="1"/>
    <s v="Married"/>
    <n v="11416"/>
    <n v="17802"/>
    <n v="0"/>
    <s v="Y"/>
    <s v="Yes"/>
    <n v="12"/>
    <n v="3"/>
    <n v="3"/>
    <n v="80"/>
    <n v="3"/>
    <n v="9"/>
    <n v="4"/>
    <n v="2"/>
    <n v="8"/>
    <n v="7"/>
    <n v="1"/>
    <n v="7"/>
    <x v="1"/>
    <n v="0"/>
    <n v="0"/>
    <n v="1"/>
    <m/>
    <m/>
  </r>
  <r>
    <n v="20"/>
    <s v="Yes"/>
    <s v="Travel_Rarely"/>
    <n v="1097"/>
    <s v="Research &amp; Development"/>
    <n v="11"/>
    <n v="3"/>
    <s v="Medical"/>
    <n v="1"/>
    <n v="1016"/>
    <n v="4"/>
    <s v="Female"/>
    <n v="98"/>
    <n v="2"/>
    <n v="1"/>
    <s v="Research Scientist"/>
    <n v="1"/>
    <s v="Single"/>
    <n v="2600"/>
    <n v="18275"/>
    <n v="1"/>
    <s v="Y"/>
    <s v="Yes"/>
    <n v="15"/>
    <n v="3"/>
    <n v="1"/>
    <n v="80"/>
    <n v="0"/>
    <n v="1"/>
    <n v="2"/>
    <n v="3"/>
    <n v="1"/>
    <n v="0"/>
    <n v="0"/>
    <n v="0"/>
    <x v="1"/>
    <n v="1"/>
    <n v="46800"/>
    <n v="1"/>
    <m/>
    <m/>
  </r>
  <r>
    <n v="30"/>
    <s v="Yes"/>
    <s v="Travel_Frequently"/>
    <n v="109"/>
    <s v="Research &amp; Development"/>
    <n v="5"/>
    <n v="3"/>
    <s v="Medical"/>
    <n v="1"/>
    <n v="1017"/>
    <n v="2"/>
    <s v="Female"/>
    <n v="60"/>
    <n v="3"/>
    <n v="1"/>
    <s v="Laboratory Technician"/>
    <n v="2"/>
    <s v="Single"/>
    <n v="2422"/>
    <n v="25725"/>
    <n v="0"/>
    <s v="Y"/>
    <s v="No"/>
    <n v="17"/>
    <n v="3"/>
    <n v="1"/>
    <n v="80"/>
    <n v="0"/>
    <n v="4"/>
    <n v="3"/>
    <n v="3"/>
    <n v="3"/>
    <n v="2"/>
    <n v="1"/>
    <n v="2"/>
    <x v="1"/>
    <n v="1"/>
    <n v="43596"/>
    <n v="1"/>
    <m/>
    <m/>
  </r>
  <r>
    <n v="26"/>
    <s v="No"/>
    <s v="Travel_Rarely"/>
    <n v="1066"/>
    <s v="Research &amp; Development"/>
    <n v="2"/>
    <n v="2"/>
    <s v="Medical"/>
    <n v="1"/>
    <n v="1018"/>
    <n v="4"/>
    <s v="Male"/>
    <n v="32"/>
    <n v="4"/>
    <n v="2"/>
    <s v="Manufacturing Director"/>
    <n v="4"/>
    <s v="Married"/>
    <n v="5472"/>
    <n v="3334"/>
    <n v="1"/>
    <s v="Y"/>
    <s v="No"/>
    <n v="12"/>
    <n v="3"/>
    <n v="2"/>
    <n v="80"/>
    <n v="0"/>
    <n v="8"/>
    <n v="2"/>
    <n v="3"/>
    <n v="8"/>
    <n v="7"/>
    <n v="1"/>
    <n v="3"/>
    <x v="2"/>
    <n v="0"/>
    <n v="0"/>
    <n v="1"/>
    <m/>
    <m/>
  </r>
  <r>
    <n v="22"/>
    <s v="No"/>
    <s v="Travel_Rarely"/>
    <n v="217"/>
    <s v="Research &amp; Development"/>
    <n v="8"/>
    <n v="1"/>
    <s v="Life Sciences"/>
    <n v="1"/>
    <n v="1019"/>
    <n v="2"/>
    <s v="Male"/>
    <n v="94"/>
    <n v="1"/>
    <n v="1"/>
    <s v="Laboratory Technician"/>
    <n v="1"/>
    <s v="Married"/>
    <n v="2451"/>
    <n v="6881"/>
    <n v="1"/>
    <s v="Y"/>
    <s v="No"/>
    <n v="15"/>
    <n v="3"/>
    <n v="1"/>
    <n v="80"/>
    <n v="1"/>
    <n v="4"/>
    <n v="3"/>
    <n v="2"/>
    <n v="4"/>
    <n v="3"/>
    <n v="1"/>
    <n v="1"/>
    <x v="1"/>
    <n v="0"/>
    <n v="0"/>
    <n v="1"/>
    <m/>
    <m/>
  </r>
  <r>
    <n v="48"/>
    <s v="No"/>
    <s v="Travel_Rarely"/>
    <n v="277"/>
    <s v="Research &amp; Development"/>
    <n v="6"/>
    <n v="3"/>
    <s v="Life Sciences"/>
    <n v="1"/>
    <n v="1022"/>
    <n v="1"/>
    <s v="Male"/>
    <n v="97"/>
    <n v="2"/>
    <n v="2"/>
    <s v="Healthcare Representative"/>
    <n v="3"/>
    <s v="Single"/>
    <n v="4240"/>
    <n v="13119"/>
    <n v="2"/>
    <s v="Y"/>
    <s v="No"/>
    <n v="13"/>
    <n v="3"/>
    <n v="4"/>
    <n v="80"/>
    <n v="0"/>
    <n v="19"/>
    <n v="0"/>
    <n v="3"/>
    <n v="2"/>
    <n v="2"/>
    <n v="2"/>
    <n v="2"/>
    <x v="3"/>
    <n v="0"/>
    <n v="0"/>
    <n v="1"/>
    <m/>
    <m/>
  </r>
  <r>
    <n v="48"/>
    <s v="No"/>
    <s v="Travel_Rarely"/>
    <n v="1355"/>
    <s v="Research &amp; Development"/>
    <n v="4"/>
    <n v="4"/>
    <s v="Life Sciences"/>
    <n v="1"/>
    <n v="1024"/>
    <n v="3"/>
    <s v="Male"/>
    <n v="78"/>
    <n v="2"/>
    <n v="3"/>
    <s v="Healthcare Representative"/>
    <n v="3"/>
    <s v="Single"/>
    <n v="10999"/>
    <n v="22245"/>
    <n v="7"/>
    <s v="Y"/>
    <s v="No"/>
    <n v="14"/>
    <n v="3"/>
    <n v="2"/>
    <n v="80"/>
    <n v="0"/>
    <n v="27"/>
    <n v="3"/>
    <n v="3"/>
    <n v="15"/>
    <n v="11"/>
    <n v="4"/>
    <n v="8"/>
    <x v="3"/>
    <n v="0"/>
    <n v="0"/>
    <n v="1"/>
    <m/>
    <m/>
  </r>
  <r>
    <n v="41"/>
    <s v="No"/>
    <s v="Travel_Rarely"/>
    <n v="549"/>
    <s v="Research &amp; Development"/>
    <n v="7"/>
    <n v="2"/>
    <s v="Medical"/>
    <n v="1"/>
    <n v="1025"/>
    <n v="4"/>
    <s v="Female"/>
    <n v="42"/>
    <n v="3"/>
    <n v="2"/>
    <s v="Manufacturing Director"/>
    <n v="3"/>
    <s v="Single"/>
    <n v="5003"/>
    <n v="23371"/>
    <n v="6"/>
    <s v="Y"/>
    <s v="No"/>
    <n v="14"/>
    <n v="3"/>
    <n v="2"/>
    <n v="80"/>
    <n v="0"/>
    <n v="8"/>
    <n v="6"/>
    <n v="3"/>
    <n v="2"/>
    <n v="2"/>
    <n v="2"/>
    <n v="1"/>
    <x v="2"/>
    <n v="0"/>
    <n v="0"/>
    <n v="1"/>
    <m/>
    <m/>
  </r>
  <r>
    <n v="39"/>
    <s v="No"/>
    <s v="Travel_Rarely"/>
    <n v="466"/>
    <s v="Research &amp; Development"/>
    <n v="1"/>
    <n v="1"/>
    <s v="Life Sciences"/>
    <n v="1"/>
    <n v="1026"/>
    <n v="4"/>
    <s v="Female"/>
    <n v="65"/>
    <n v="2"/>
    <n v="4"/>
    <s v="Manufacturing Director"/>
    <n v="4"/>
    <s v="Married"/>
    <n v="12742"/>
    <n v="7060"/>
    <n v="1"/>
    <s v="Y"/>
    <s v="No"/>
    <n v="16"/>
    <n v="3"/>
    <n v="3"/>
    <n v="80"/>
    <n v="1"/>
    <n v="21"/>
    <n v="3"/>
    <n v="3"/>
    <n v="21"/>
    <n v="6"/>
    <n v="11"/>
    <n v="8"/>
    <x v="2"/>
    <n v="0"/>
    <n v="0"/>
    <n v="1"/>
    <m/>
    <m/>
  </r>
  <r>
    <n v="27"/>
    <s v="No"/>
    <s v="Travel_Rarely"/>
    <n v="1055"/>
    <s v="Research &amp; Development"/>
    <n v="2"/>
    <n v="4"/>
    <s v="Life Sciences"/>
    <n v="1"/>
    <n v="1027"/>
    <n v="1"/>
    <s v="Female"/>
    <n v="47"/>
    <n v="3"/>
    <n v="2"/>
    <s v="Manufacturing Director"/>
    <n v="4"/>
    <s v="Married"/>
    <n v="4227"/>
    <n v="4658"/>
    <n v="0"/>
    <s v="Y"/>
    <s v="No"/>
    <n v="18"/>
    <n v="3"/>
    <n v="2"/>
    <n v="80"/>
    <n v="1"/>
    <n v="4"/>
    <n v="2"/>
    <n v="3"/>
    <n v="3"/>
    <n v="2"/>
    <n v="2"/>
    <n v="2"/>
    <x v="2"/>
    <n v="0"/>
    <n v="0"/>
    <n v="1"/>
    <m/>
    <m/>
  </r>
  <r>
    <n v="35"/>
    <s v="No"/>
    <s v="Travel_Rarely"/>
    <n v="802"/>
    <s v="Research &amp; Development"/>
    <n v="10"/>
    <n v="3"/>
    <s v="Other"/>
    <n v="1"/>
    <n v="1028"/>
    <n v="2"/>
    <s v="Male"/>
    <n v="45"/>
    <n v="3"/>
    <n v="1"/>
    <s v="Laboratory Technician"/>
    <n v="4"/>
    <s v="Divorced"/>
    <n v="3917"/>
    <n v="9541"/>
    <n v="1"/>
    <s v="Y"/>
    <s v="No"/>
    <n v="20"/>
    <n v="4"/>
    <n v="1"/>
    <n v="80"/>
    <n v="1"/>
    <n v="3"/>
    <n v="4"/>
    <n v="2"/>
    <n v="3"/>
    <n v="2"/>
    <n v="1"/>
    <n v="2"/>
    <x v="1"/>
    <n v="0"/>
    <n v="0"/>
    <n v="1"/>
    <m/>
    <m/>
  </r>
  <r>
    <n v="42"/>
    <s v="No"/>
    <s v="Travel_Rarely"/>
    <n v="265"/>
    <s v="Sales"/>
    <n v="5"/>
    <n v="2"/>
    <s v="Marketing"/>
    <n v="1"/>
    <n v="1029"/>
    <n v="4"/>
    <s v="Male"/>
    <n v="90"/>
    <n v="3"/>
    <n v="5"/>
    <s v="Manager"/>
    <n v="3"/>
    <s v="Married"/>
    <n v="18303"/>
    <n v="7770"/>
    <n v="6"/>
    <s v="Y"/>
    <s v="No"/>
    <n v="13"/>
    <n v="3"/>
    <n v="2"/>
    <n v="80"/>
    <n v="0"/>
    <n v="21"/>
    <n v="3"/>
    <n v="4"/>
    <n v="1"/>
    <n v="0"/>
    <n v="0"/>
    <n v="0"/>
    <x v="4"/>
    <n v="0"/>
    <n v="0"/>
    <n v="1"/>
    <m/>
    <m/>
  </r>
  <r>
    <n v="50"/>
    <s v="No"/>
    <s v="Travel_Rarely"/>
    <n v="804"/>
    <s v="Research &amp; Development"/>
    <n v="9"/>
    <n v="3"/>
    <s v="Life Sciences"/>
    <n v="1"/>
    <n v="1030"/>
    <n v="1"/>
    <s v="Male"/>
    <n v="64"/>
    <n v="3"/>
    <n v="1"/>
    <s v="Laboratory Technician"/>
    <n v="4"/>
    <s v="Married"/>
    <n v="2380"/>
    <n v="20165"/>
    <n v="4"/>
    <s v="Y"/>
    <s v="No"/>
    <n v="18"/>
    <n v="3"/>
    <n v="2"/>
    <n v="80"/>
    <n v="0"/>
    <n v="8"/>
    <n v="5"/>
    <n v="3"/>
    <n v="1"/>
    <n v="0"/>
    <n v="0"/>
    <n v="0"/>
    <x v="1"/>
    <n v="0"/>
    <n v="0"/>
    <n v="1"/>
    <m/>
    <m/>
  </r>
  <r>
    <n v="59"/>
    <s v="No"/>
    <s v="Travel_Rarely"/>
    <n v="715"/>
    <s v="Research &amp; Development"/>
    <n v="2"/>
    <n v="3"/>
    <s v="Life Sciences"/>
    <n v="1"/>
    <n v="1032"/>
    <n v="3"/>
    <s v="Female"/>
    <n v="69"/>
    <n v="2"/>
    <n v="4"/>
    <s v="Manufacturing Director"/>
    <n v="4"/>
    <s v="Single"/>
    <n v="13726"/>
    <n v="21829"/>
    <n v="3"/>
    <s v="Y"/>
    <s v="Yes"/>
    <n v="13"/>
    <n v="3"/>
    <n v="1"/>
    <n v="80"/>
    <n v="0"/>
    <n v="30"/>
    <n v="4"/>
    <n v="3"/>
    <n v="5"/>
    <n v="3"/>
    <n v="4"/>
    <n v="3"/>
    <x v="2"/>
    <n v="0"/>
    <n v="0"/>
    <n v="1"/>
    <m/>
    <m/>
  </r>
  <r>
    <n v="37"/>
    <s v="Yes"/>
    <s v="Travel_Rarely"/>
    <n v="1141"/>
    <s v="Research &amp; Development"/>
    <n v="11"/>
    <n v="2"/>
    <s v="Medical"/>
    <n v="1"/>
    <n v="1033"/>
    <n v="1"/>
    <s v="Female"/>
    <n v="61"/>
    <n v="1"/>
    <n v="2"/>
    <s v="Healthcare Representative"/>
    <n v="2"/>
    <s v="Married"/>
    <n v="4777"/>
    <n v="14382"/>
    <n v="5"/>
    <s v="Y"/>
    <s v="No"/>
    <n v="15"/>
    <n v="3"/>
    <n v="1"/>
    <n v="80"/>
    <n v="0"/>
    <n v="15"/>
    <n v="2"/>
    <n v="1"/>
    <n v="1"/>
    <n v="0"/>
    <n v="0"/>
    <n v="0"/>
    <x v="3"/>
    <n v="1"/>
    <n v="85986"/>
    <n v="1"/>
    <m/>
    <m/>
  </r>
  <r>
    <n v="55"/>
    <s v="No"/>
    <s v="Travel_Frequently"/>
    <n v="135"/>
    <s v="Research &amp; Development"/>
    <n v="18"/>
    <n v="4"/>
    <s v="Medical"/>
    <n v="1"/>
    <n v="1034"/>
    <n v="3"/>
    <s v="Male"/>
    <n v="62"/>
    <n v="3"/>
    <n v="2"/>
    <s v="Healthcare Representative"/>
    <n v="2"/>
    <s v="Married"/>
    <n v="6385"/>
    <n v="12992"/>
    <n v="3"/>
    <s v="Y"/>
    <s v="Yes"/>
    <n v="14"/>
    <n v="3"/>
    <n v="4"/>
    <n v="80"/>
    <n v="2"/>
    <n v="17"/>
    <n v="3"/>
    <n v="3"/>
    <n v="8"/>
    <n v="7"/>
    <n v="6"/>
    <n v="7"/>
    <x v="3"/>
    <n v="0"/>
    <n v="0"/>
    <n v="1"/>
    <m/>
    <m/>
  </r>
  <r>
    <n v="41"/>
    <s v="No"/>
    <s v="Non-Travel"/>
    <n v="247"/>
    <s v="Research &amp; Development"/>
    <n v="7"/>
    <n v="1"/>
    <s v="Life Sciences"/>
    <n v="1"/>
    <n v="1035"/>
    <n v="2"/>
    <s v="Female"/>
    <n v="55"/>
    <n v="1"/>
    <n v="5"/>
    <s v="Research Director"/>
    <n v="3"/>
    <s v="Divorced"/>
    <n v="19973"/>
    <n v="20284"/>
    <n v="1"/>
    <s v="Y"/>
    <s v="No"/>
    <n v="22"/>
    <n v="4"/>
    <n v="2"/>
    <n v="80"/>
    <n v="2"/>
    <n v="21"/>
    <n v="3"/>
    <n v="3"/>
    <n v="21"/>
    <n v="16"/>
    <n v="5"/>
    <n v="10"/>
    <x v="1"/>
    <n v="0"/>
    <n v="0"/>
    <n v="1"/>
    <m/>
    <m/>
  </r>
  <r>
    <n v="38"/>
    <s v="No"/>
    <s v="Travel_Rarely"/>
    <n v="1035"/>
    <s v="Sales"/>
    <n v="3"/>
    <n v="4"/>
    <s v="Life Sciences"/>
    <n v="1"/>
    <n v="1036"/>
    <n v="2"/>
    <s v="Male"/>
    <n v="42"/>
    <n v="3"/>
    <n v="2"/>
    <s v="Sales Executive"/>
    <n v="4"/>
    <s v="Single"/>
    <n v="6861"/>
    <n v="4981"/>
    <n v="8"/>
    <s v="Y"/>
    <s v="Yes"/>
    <n v="12"/>
    <n v="3"/>
    <n v="3"/>
    <n v="80"/>
    <n v="0"/>
    <n v="19"/>
    <n v="1"/>
    <n v="3"/>
    <n v="1"/>
    <n v="0"/>
    <n v="0"/>
    <n v="0"/>
    <x v="0"/>
    <n v="0"/>
    <n v="0"/>
    <n v="1"/>
    <m/>
    <m/>
  </r>
  <r>
    <n v="26"/>
    <s v="Yes"/>
    <s v="Non-Travel"/>
    <n v="265"/>
    <s v="Sales"/>
    <n v="29"/>
    <n v="2"/>
    <s v="Medical"/>
    <n v="1"/>
    <n v="1037"/>
    <n v="2"/>
    <s v="Male"/>
    <n v="79"/>
    <n v="1"/>
    <n v="2"/>
    <s v="Sales Executive"/>
    <n v="1"/>
    <s v="Single"/>
    <n v="4969"/>
    <n v="21813"/>
    <n v="8"/>
    <s v="Y"/>
    <s v="No"/>
    <n v="18"/>
    <n v="3"/>
    <n v="4"/>
    <n v="80"/>
    <n v="0"/>
    <n v="7"/>
    <n v="6"/>
    <n v="3"/>
    <n v="2"/>
    <n v="2"/>
    <n v="2"/>
    <n v="2"/>
    <x v="0"/>
    <n v="1"/>
    <n v="89442"/>
    <n v="1"/>
    <m/>
    <m/>
  </r>
  <r>
    <n v="52"/>
    <s v="Yes"/>
    <s v="Travel_Rarely"/>
    <n v="266"/>
    <s v="Sales"/>
    <n v="2"/>
    <n v="1"/>
    <s v="Marketing"/>
    <n v="1"/>
    <n v="1038"/>
    <n v="1"/>
    <s v="Female"/>
    <n v="57"/>
    <n v="1"/>
    <n v="5"/>
    <s v="Manager"/>
    <n v="4"/>
    <s v="Married"/>
    <n v="19845"/>
    <n v="25846"/>
    <n v="1"/>
    <s v="Y"/>
    <s v="No"/>
    <n v="15"/>
    <n v="3"/>
    <n v="4"/>
    <n v="80"/>
    <n v="1"/>
    <n v="33"/>
    <n v="3"/>
    <n v="3"/>
    <n v="32"/>
    <n v="14"/>
    <n v="6"/>
    <n v="9"/>
    <x v="4"/>
    <n v="1"/>
    <n v="357210"/>
    <n v="1"/>
    <m/>
    <m/>
  </r>
  <r>
    <n v="44"/>
    <s v="No"/>
    <s v="Travel_Rarely"/>
    <n v="1448"/>
    <s v="Sales"/>
    <n v="28"/>
    <n v="3"/>
    <s v="Medical"/>
    <n v="1"/>
    <n v="1039"/>
    <n v="4"/>
    <s v="Female"/>
    <n v="53"/>
    <n v="4"/>
    <n v="4"/>
    <s v="Sales Executive"/>
    <n v="4"/>
    <s v="Married"/>
    <n v="13320"/>
    <n v="11737"/>
    <n v="3"/>
    <s v="Y"/>
    <s v="Yes"/>
    <n v="18"/>
    <n v="3"/>
    <n v="3"/>
    <n v="80"/>
    <n v="1"/>
    <n v="23"/>
    <n v="2"/>
    <n v="3"/>
    <n v="12"/>
    <n v="11"/>
    <n v="11"/>
    <n v="11"/>
    <x v="0"/>
    <n v="0"/>
    <n v="0"/>
    <n v="1"/>
    <m/>
    <m/>
  </r>
  <r>
    <n v="50"/>
    <s v="No"/>
    <s v="Non-Travel"/>
    <n v="145"/>
    <s v="Sales"/>
    <n v="1"/>
    <n v="3"/>
    <s v="Life Sciences"/>
    <n v="1"/>
    <n v="1040"/>
    <n v="4"/>
    <s v="Female"/>
    <n v="95"/>
    <n v="3"/>
    <n v="2"/>
    <s v="Sales Executive"/>
    <n v="3"/>
    <s v="Married"/>
    <n v="6347"/>
    <n v="24920"/>
    <n v="0"/>
    <s v="Y"/>
    <s v="No"/>
    <n v="12"/>
    <n v="3"/>
    <n v="1"/>
    <n v="80"/>
    <n v="1"/>
    <n v="19"/>
    <n v="3"/>
    <n v="3"/>
    <n v="18"/>
    <n v="7"/>
    <n v="0"/>
    <n v="13"/>
    <x v="0"/>
    <n v="0"/>
    <n v="0"/>
    <n v="1"/>
    <m/>
    <m/>
  </r>
  <r>
    <n v="36"/>
    <s v="Yes"/>
    <s v="Travel_Rarely"/>
    <n v="885"/>
    <s v="Research &amp; Development"/>
    <n v="16"/>
    <n v="4"/>
    <s v="Life Sciences"/>
    <n v="1"/>
    <n v="1042"/>
    <n v="3"/>
    <s v="Female"/>
    <n v="43"/>
    <n v="4"/>
    <n v="1"/>
    <s v="Laboratory Technician"/>
    <n v="1"/>
    <s v="Single"/>
    <n v="2743"/>
    <n v="8269"/>
    <n v="1"/>
    <s v="Y"/>
    <s v="No"/>
    <n v="16"/>
    <n v="3"/>
    <n v="3"/>
    <n v="80"/>
    <n v="0"/>
    <n v="18"/>
    <n v="1"/>
    <n v="3"/>
    <n v="17"/>
    <n v="13"/>
    <n v="15"/>
    <n v="14"/>
    <x v="1"/>
    <n v="1"/>
    <n v="49374"/>
    <n v="1"/>
    <m/>
    <m/>
  </r>
  <r>
    <n v="39"/>
    <s v="No"/>
    <s v="Travel_Frequently"/>
    <n v="945"/>
    <s v="Research &amp; Development"/>
    <n v="22"/>
    <n v="3"/>
    <s v="Medical"/>
    <n v="1"/>
    <n v="1043"/>
    <n v="4"/>
    <s v="Female"/>
    <n v="82"/>
    <n v="3"/>
    <n v="3"/>
    <s v="Manufacturing Director"/>
    <n v="1"/>
    <s v="Single"/>
    <n v="10880"/>
    <n v="5083"/>
    <n v="1"/>
    <s v="Y"/>
    <s v="Yes"/>
    <n v="13"/>
    <n v="3"/>
    <n v="3"/>
    <n v="80"/>
    <n v="0"/>
    <n v="21"/>
    <n v="2"/>
    <n v="3"/>
    <n v="21"/>
    <n v="6"/>
    <n v="2"/>
    <n v="8"/>
    <x v="2"/>
    <n v="0"/>
    <n v="0"/>
    <n v="1"/>
    <m/>
    <m/>
  </r>
  <r>
    <n v="33"/>
    <s v="No"/>
    <s v="Non-Travel"/>
    <n v="1038"/>
    <s v="Sales"/>
    <n v="8"/>
    <n v="1"/>
    <s v="Life Sciences"/>
    <n v="1"/>
    <n v="1044"/>
    <n v="2"/>
    <s v="Female"/>
    <n v="88"/>
    <n v="2"/>
    <n v="1"/>
    <s v="Sales Representative"/>
    <n v="4"/>
    <s v="Single"/>
    <n v="2342"/>
    <n v="21437"/>
    <n v="0"/>
    <s v="Y"/>
    <s v="No"/>
    <n v="19"/>
    <n v="3"/>
    <n v="4"/>
    <n v="80"/>
    <n v="0"/>
    <n v="3"/>
    <n v="2"/>
    <n v="2"/>
    <n v="2"/>
    <n v="2"/>
    <n v="2"/>
    <n v="2"/>
    <x v="0"/>
    <n v="0"/>
    <n v="0"/>
    <n v="1"/>
    <m/>
    <m/>
  </r>
  <r>
    <n v="45"/>
    <s v="No"/>
    <s v="Travel_Rarely"/>
    <n v="1234"/>
    <s v="Sales"/>
    <n v="11"/>
    <n v="2"/>
    <s v="Life Sciences"/>
    <n v="1"/>
    <n v="1045"/>
    <n v="4"/>
    <s v="Female"/>
    <n v="90"/>
    <n v="3"/>
    <n v="4"/>
    <s v="Manager"/>
    <n v="4"/>
    <s v="Married"/>
    <n v="17650"/>
    <n v="5404"/>
    <n v="3"/>
    <s v="Y"/>
    <s v="No"/>
    <n v="13"/>
    <n v="3"/>
    <n v="2"/>
    <n v="80"/>
    <n v="1"/>
    <n v="26"/>
    <n v="4"/>
    <n v="4"/>
    <n v="9"/>
    <n v="3"/>
    <n v="1"/>
    <n v="1"/>
    <x v="4"/>
    <n v="0"/>
    <n v="0"/>
    <n v="1"/>
    <m/>
    <m/>
  </r>
  <r>
    <n v="32"/>
    <s v="No"/>
    <s v="Non-Travel"/>
    <n v="1109"/>
    <s v="Research &amp; Development"/>
    <n v="29"/>
    <n v="4"/>
    <s v="Medical"/>
    <n v="1"/>
    <n v="1046"/>
    <n v="4"/>
    <s v="Female"/>
    <n v="69"/>
    <n v="3"/>
    <n v="1"/>
    <s v="Laboratory Technician"/>
    <n v="3"/>
    <s v="Single"/>
    <n v="4025"/>
    <n v="11135"/>
    <n v="9"/>
    <s v="Y"/>
    <s v="No"/>
    <n v="12"/>
    <n v="3"/>
    <n v="2"/>
    <n v="80"/>
    <n v="0"/>
    <n v="10"/>
    <n v="2"/>
    <n v="3"/>
    <n v="8"/>
    <n v="7"/>
    <n v="7"/>
    <n v="7"/>
    <x v="1"/>
    <n v="0"/>
    <n v="0"/>
    <n v="1"/>
    <m/>
    <m/>
  </r>
  <r>
    <n v="34"/>
    <s v="No"/>
    <s v="Travel_Rarely"/>
    <n v="216"/>
    <s v="Sales"/>
    <n v="1"/>
    <n v="4"/>
    <s v="Marketing"/>
    <n v="1"/>
    <n v="1047"/>
    <n v="2"/>
    <s v="Male"/>
    <n v="75"/>
    <n v="4"/>
    <n v="2"/>
    <s v="Sales Executive"/>
    <n v="4"/>
    <s v="Divorced"/>
    <n v="9725"/>
    <n v="12278"/>
    <n v="0"/>
    <s v="Y"/>
    <s v="No"/>
    <n v="11"/>
    <n v="3"/>
    <n v="4"/>
    <n v="80"/>
    <n v="1"/>
    <n v="16"/>
    <n v="2"/>
    <n v="2"/>
    <n v="15"/>
    <n v="1"/>
    <n v="0"/>
    <n v="9"/>
    <x v="0"/>
    <n v="0"/>
    <n v="0"/>
    <n v="1"/>
    <m/>
    <m/>
  </r>
  <r>
    <n v="59"/>
    <s v="No"/>
    <s v="Travel_Rarely"/>
    <n v="1089"/>
    <s v="Sales"/>
    <n v="1"/>
    <n v="2"/>
    <s v="Technical Degree"/>
    <n v="1"/>
    <n v="1048"/>
    <n v="2"/>
    <s v="Male"/>
    <n v="66"/>
    <n v="3"/>
    <n v="3"/>
    <s v="Manager"/>
    <n v="4"/>
    <s v="Married"/>
    <n v="11904"/>
    <n v="11038"/>
    <n v="3"/>
    <s v="Y"/>
    <s v="Yes"/>
    <n v="14"/>
    <n v="3"/>
    <n v="3"/>
    <n v="80"/>
    <n v="1"/>
    <n v="14"/>
    <n v="1"/>
    <n v="1"/>
    <n v="6"/>
    <n v="4"/>
    <n v="0"/>
    <n v="4"/>
    <x v="4"/>
    <n v="0"/>
    <n v="0"/>
    <n v="1"/>
    <m/>
    <m/>
  </r>
  <r>
    <n v="45"/>
    <s v="No"/>
    <s v="Travel_Rarely"/>
    <n v="788"/>
    <s v="Human Resources"/>
    <n v="24"/>
    <n v="4"/>
    <s v="Medical"/>
    <n v="1"/>
    <n v="1049"/>
    <n v="2"/>
    <s v="Male"/>
    <n v="36"/>
    <n v="3"/>
    <n v="1"/>
    <s v="Human Resources"/>
    <n v="2"/>
    <s v="Single"/>
    <n v="2177"/>
    <n v="8318"/>
    <n v="1"/>
    <s v="Y"/>
    <s v="No"/>
    <n v="16"/>
    <n v="3"/>
    <n v="1"/>
    <n v="80"/>
    <n v="0"/>
    <n v="6"/>
    <n v="3"/>
    <n v="3"/>
    <n v="6"/>
    <n v="3"/>
    <n v="0"/>
    <n v="4"/>
    <x v="5"/>
    <n v="0"/>
    <n v="0"/>
    <n v="1"/>
    <m/>
    <m/>
  </r>
  <r>
    <n v="53"/>
    <s v="No"/>
    <s v="Travel_Frequently"/>
    <n v="124"/>
    <s v="Sales"/>
    <n v="2"/>
    <n v="3"/>
    <s v="Marketing"/>
    <n v="1"/>
    <n v="1050"/>
    <n v="3"/>
    <s v="Female"/>
    <n v="38"/>
    <n v="2"/>
    <n v="3"/>
    <s v="Sales Executive"/>
    <n v="2"/>
    <s v="Married"/>
    <n v="7525"/>
    <n v="23537"/>
    <n v="2"/>
    <s v="Y"/>
    <s v="No"/>
    <n v="12"/>
    <n v="3"/>
    <n v="1"/>
    <n v="80"/>
    <n v="1"/>
    <n v="30"/>
    <n v="2"/>
    <n v="3"/>
    <n v="15"/>
    <n v="7"/>
    <n v="6"/>
    <n v="12"/>
    <x v="0"/>
    <n v="0"/>
    <n v="0"/>
    <n v="1"/>
    <m/>
    <m/>
  </r>
  <r>
    <n v="36"/>
    <s v="Yes"/>
    <s v="Travel_Rarely"/>
    <n v="660"/>
    <s v="Research &amp; Development"/>
    <n v="15"/>
    <n v="3"/>
    <s v="Other"/>
    <n v="1"/>
    <n v="1052"/>
    <n v="1"/>
    <s v="Male"/>
    <n v="81"/>
    <n v="3"/>
    <n v="2"/>
    <s v="Laboratory Technician"/>
    <n v="3"/>
    <s v="Divorced"/>
    <n v="4834"/>
    <n v="7858"/>
    <n v="7"/>
    <s v="Y"/>
    <s v="No"/>
    <n v="14"/>
    <n v="3"/>
    <n v="2"/>
    <n v="80"/>
    <n v="1"/>
    <n v="9"/>
    <n v="3"/>
    <n v="2"/>
    <n v="1"/>
    <n v="0"/>
    <n v="0"/>
    <n v="0"/>
    <x v="1"/>
    <n v="1"/>
    <n v="87012"/>
    <n v="1"/>
    <m/>
    <m/>
  </r>
  <r>
    <n v="26"/>
    <s v="Yes"/>
    <s v="Travel_Frequently"/>
    <n v="342"/>
    <s v="Research &amp; Development"/>
    <n v="2"/>
    <n v="3"/>
    <s v="Life Sciences"/>
    <n v="1"/>
    <n v="1053"/>
    <n v="1"/>
    <s v="Male"/>
    <n v="57"/>
    <n v="3"/>
    <n v="1"/>
    <s v="Research Scientist"/>
    <n v="1"/>
    <s v="Married"/>
    <n v="2042"/>
    <n v="15346"/>
    <n v="6"/>
    <s v="Y"/>
    <s v="Yes"/>
    <n v="14"/>
    <n v="3"/>
    <n v="2"/>
    <n v="80"/>
    <n v="1"/>
    <n v="6"/>
    <n v="2"/>
    <n v="3"/>
    <n v="3"/>
    <n v="2"/>
    <n v="1"/>
    <n v="2"/>
    <x v="1"/>
    <n v="1"/>
    <n v="36756"/>
    <n v="1"/>
    <m/>
    <m/>
  </r>
  <r>
    <n v="34"/>
    <s v="No"/>
    <s v="Travel_Rarely"/>
    <n v="1333"/>
    <s v="Sales"/>
    <n v="10"/>
    <n v="4"/>
    <s v="Life Sciences"/>
    <n v="1"/>
    <n v="1055"/>
    <n v="3"/>
    <s v="Female"/>
    <n v="87"/>
    <n v="3"/>
    <n v="1"/>
    <s v="Sales Representative"/>
    <n v="3"/>
    <s v="Married"/>
    <n v="2220"/>
    <n v="18410"/>
    <n v="1"/>
    <s v="Y"/>
    <s v="Yes"/>
    <n v="19"/>
    <n v="3"/>
    <n v="4"/>
    <n v="80"/>
    <n v="1"/>
    <n v="1"/>
    <n v="2"/>
    <n v="3"/>
    <n v="1"/>
    <n v="1"/>
    <n v="0"/>
    <n v="0"/>
    <x v="0"/>
    <n v="0"/>
    <n v="0"/>
    <n v="1"/>
    <m/>
    <m/>
  </r>
  <r>
    <n v="28"/>
    <s v="No"/>
    <s v="Travel_Rarely"/>
    <n v="1144"/>
    <s v="Sales"/>
    <n v="10"/>
    <n v="1"/>
    <s v="Medical"/>
    <n v="1"/>
    <n v="1056"/>
    <n v="4"/>
    <s v="Male"/>
    <n v="74"/>
    <n v="3"/>
    <n v="1"/>
    <s v="Sales Representative"/>
    <n v="2"/>
    <s v="Married"/>
    <n v="1052"/>
    <n v="23384"/>
    <n v="1"/>
    <s v="Y"/>
    <s v="No"/>
    <n v="22"/>
    <n v="4"/>
    <n v="2"/>
    <n v="80"/>
    <n v="0"/>
    <n v="1"/>
    <n v="5"/>
    <n v="3"/>
    <n v="1"/>
    <n v="0"/>
    <n v="0"/>
    <n v="0"/>
    <x v="0"/>
    <n v="0"/>
    <n v="0"/>
    <n v="1"/>
    <m/>
    <m/>
  </r>
  <r>
    <n v="38"/>
    <s v="No"/>
    <s v="Travel_Frequently"/>
    <n v="1186"/>
    <s v="Research &amp; Development"/>
    <n v="3"/>
    <n v="4"/>
    <s v="Other"/>
    <n v="1"/>
    <n v="1060"/>
    <n v="3"/>
    <s v="Male"/>
    <n v="44"/>
    <n v="3"/>
    <n v="1"/>
    <s v="Research Scientist"/>
    <n v="3"/>
    <s v="Married"/>
    <n v="2821"/>
    <n v="2997"/>
    <n v="3"/>
    <s v="Y"/>
    <s v="No"/>
    <n v="16"/>
    <n v="3"/>
    <n v="1"/>
    <n v="80"/>
    <n v="1"/>
    <n v="8"/>
    <n v="2"/>
    <n v="3"/>
    <n v="2"/>
    <n v="2"/>
    <n v="2"/>
    <n v="2"/>
    <x v="1"/>
    <n v="0"/>
    <n v="0"/>
    <n v="1"/>
    <m/>
    <m/>
  </r>
  <r>
    <n v="50"/>
    <s v="No"/>
    <s v="Travel_Rarely"/>
    <n v="1464"/>
    <s v="Research &amp; Development"/>
    <n v="2"/>
    <n v="4"/>
    <s v="Medical"/>
    <n v="1"/>
    <n v="1061"/>
    <n v="2"/>
    <s v="Male"/>
    <n v="62"/>
    <n v="3"/>
    <n v="5"/>
    <s v="Research Director"/>
    <n v="3"/>
    <s v="Married"/>
    <n v="19237"/>
    <n v="12853"/>
    <n v="2"/>
    <s v="Y"/>
    <s v="Yes"/>
    <n v="11"/>
    <n v="3"/>
    <n v="4"/>
    <n v="80"/>
    <n v="1"/>
    <n v="29"/>
    <n v="2"/>
    <n v="2"/>
    <n v="8"/>
    <n v="1"/>
    <n v="7"/>
    <n v="7"/>
    <x v="1"/>
    <n v="0"/>
    <n v="0"/>
    <n v="1"/>
    <m/>
    <m/>
  </r>
  <r>
    <n v="37"/>
    <s v="No"/>
    <s v="Travel_Rarely"/>
    <n v="124"/>
    <s v="Research &amp; Development"/>
    <n v="3"/>
    <n v="3"/>
    <s v="Other"/>
    <n v="1"/>
    <n v="1062"/>
    <n v="4"/>
    <s v="Female"/>
    <n v="35"/>
    <n v="3"/>
    <n v="2"/>
    <s v="Healthcare Representative"/>
    <n v="2"/>
    <s v="Single"/>
    <n v="4107"/>
    <n v="13848"/>
    <n v="3"/>
    <s v="Y"/>
    <s v="No"/>
    <n v="15"/>
    <n v="3"/>
    <n v="1"/>
    <n v="80"/>
    <n v="0"/>
    <n v="8"/>
    <n v="3"/>
    <n v="2"/>
    <n v="4"/>
    <n v="3"/>
    <n v="0"/>
    <n v="1"/>
    <x v="3"/>
    <n v="0"/>
    <n v="0"/>
    <n v="1"/>
    <m/>
    <m/>
  </r>
  <r>
    <n v="40"/>
    <s v="No"/>
    <s v="Travel_Rarely"/>
    <n v="300"/>
    <s v="Sales"/>
    <n v="26"/>
    <n v="3"/>
    <s v="Marketing"/>
    <n v="1"/>
    <n v="1066"/>
    <n v="3"/>
    <s v="Male"/>
    <n v="74"/>
    <n v="3"/>
    <n v="2"/>
    <s v="Sales Executive"/>
    <n v="1"/>
    <s v="Married"/>
    <n v="8396"/>
    <n v="22217"/>
    <n v="1"/>
    <s v="Y"/>
    <s v="No"/>
    <n v="14"/>
    <n v="3"/>
    <n v="2"/>
    <n v="80"/>
    <n v="1"/>
    <n v="8"/>
    <n v="3"/>
    <n v="2"/>
    <n v="7"/>
    <n v="7"/>
    <n v="7"/>
    <n v="5"/>
    <x v="0"/>
    <n v="0"/>
    <n v="0"/>
    <n v="1"/>
    <m/>
    <m/>
  </r>
  <r>
    <n v="26"/>
    <s v="No"/>
    <s v="Travel_Frequently"/>
    <n v="921"/>
    <s v="Research &amp; Development"/>
    <n v="1"/>
    <n v="1"/>
    <s v="Medical"/>
    <n v="1"/>
    <n v="1068"/>
    <n v="1"/>
    <s v="Female"/>
    <n v="66"/>
    <n v="2"/>
    <n v="1"/>
    <s v="Research Scientist"/>
    <n v="3"/>
    <s v="Divorced"/>
    <n v="2007"/>
    <n v="25265"/>
    <n v="1"/>
    <s v="Y"/>
    <s v="No"/>
    <n v="13"/>
    <n v="3"/>
    <n v="3"/>
    <n v="80"/>
    <n v="2"/>
    <n v="5"/>
    <n v="5"/>
    <n v="3"/>
    <n v="5"/>
    <n v="3"/>
    <n v="1"/>
    <n v="3"/>
    <x v="1"/>
    <n v="0"/>
    <n v="0"/>
    <n v="1"/>
    <m/>
    <m/>
  </r>
  <r>
    <n v="46"/>
    <s v="No"/>
    <s v="Travel_Rarely"/>
    <n v="430"/>
    <s v="Research &amp; Development"/>
    <n v="1"/>
    <n v="4"/>
    <s v="Medical"/>
    <n v="1"/>
    <n v="1069"/>
    <n v="4"/>
    <s v="Male"/>
    <n v="40"/>
    <n v="3"/>
    <n v="5"/>
    <s v="Research Director"/>
    <n v="4"/>
    <s v="Divorced"/>
    <n v="19627"/>
    <n v="21445"/>
    <n v="9"/>
    <s v="Y"/>
    <s v="No"/>
    <n v="17"/>
    <n v="3"/>
    <n v="4"/>
    <n v="80"/>
    <n v="2"/>
    <n v="23"/>
    <n v="0"/>
    <n v="3"/>
    <n v="2"/>
    <n v="2"/>
    <n v="2"/>
    <n v="2"/>
    <x v="1"/>
    <n v="0"/>
    <n v="0"/>
    <n v="1"/>
    <m/>
    <m/>
  </r>
  <r>
    <n v="54"/>
    <s v="No"/>
    <s v="Travel_Rarely"/>
    <n v="1082"/>
    <s v="Sales"/>
    <n v="2"/>
    <n v="4"/>
    <s v="Life Sciences"/>
    <n v="1"/>
    <n v="1070"/>
    <n v="3"/>
    <s v="Female"/>
    <n v="41"/>
    <n v="2"/>
    <n v="3"/>
    <s v="Sales Executive"/>
    <n v="3"/>
    <s v="Married"/>
    <n v="10686"/>
    <n v="8392"/>
    <n v="6"/>
    <s v="Y"/>
    <s v="No"/>
    <n v="11"/>
    <n v="3"/>
    <n v="2"/>
    <n v="80"/>
    <n v="1"/>
    <n v="13"/>
    <n v="4"/>
    <n v="3"/>
    <n v="9"/>
    <n v="4"/>
    <n v="7"/>
    <n v="0"/>
    <x v="0"/>
    <n v="0"/>
    <n v="0"/>
    <n v="1"/>
    <m/>
    <m/>
  </r>
  <r>
    <n v="56"/>
    <s v="No"/>
    <s v="Travel_Frequently"/>
    <n v="1240"/>
    <s v="Research &amp; Development"/>
    <n v="9"/>
    <n v="3"/>
    <s v="Medical"/>
    <n v="1"/>
    <n v="1071"/>
    <n v="1"/>
    <s v="Female"/>
    <n v="63"/>
    <n v="3"/>
    <n v="1"/>
    <s v="Research Scientist"/>
    <n v="3"/>
    <s v="Married"/>
    <n v="2942"/>
    <n v="12154"/>
    <n v="2"/>
    <s v="Y"/>
    <s v="No"/>
    <n v="19"/>
    <n v="3"/>
    <n v="2"/>
    <n v="80"/>
    <n v="1"/>
    <n v="18"/>
    <n v="4"/>
    <n v="3"/>
    <n v="5"/>
    <n v="4"/>
    <n v="0"/>
    <n v="3"/>
    <x v="1"/>
    <n v="0"/>
    <n v="0"/>
    <n v="1"/>
    <m/>
    <m/>
  </r>
  <r>
    <n v="36"/>
    <s v="No"/>
    <s v="Travel_Rarely"/>
    <n v="796"/>
    <s v="Research &amp; Development"/>
    <n v="12"/>
    <n v="5"/>
    <s v="Medical"/>
    <n v="1"/>
    <n v="1073"/>
    <n v="4"/>
    <s v="Female"/>
    <n v="51"/>
    <n v="2"/>
    <n v="3"/>
    <s v="Manufacturing Director"/>
    <n v="4"/>
    <s v="Single"/>
    <n v="8858"/>
    <n v="15669"/>
    <n v="0"/>
    <s v="Y"/>
    <s v="No"/>
    <n v="11"/>
    <n v="3"/>
    <n v="2"/>
    <n v="80"/>
    <n v="0"/>
    <n v="15"/>
    <n v="2"/>
    <n v="2"/>
    <n v="14"/>
    <n v="8"/>
    <n v="7"/>
    <n v="8"/>
    <x v="2"/>
    <n v="0"/>
    <n v="0"/>
    <n v="1"/>
    <m/>
    <m/>
  </r>
  <r>
    <n v="55"/>
    <s v="No"/>
    <s v="Non-Travel"/>
    <n v="444"/>
    <s v="Research &amp; Development"/>
    <n v="2"/>
    <n v="1"/>
    <s v="Medical"/>
    <n v="1"/>
    <n v="1074"/>
    <n v="3"/>
    <s v="Male"/>
    <n v="40"/>
    <n v="2"/>
    <n v="4"/>
    <s v="Manager"/>
    <n v="1"/>
    <s v="Single"/>
    <n v="16756"/>
    <n v="17323"/>
    <n v="7"/>
    <s v="Y"/>
    <s v="No"/>
    <n v="15"/>
    <n v="3"/>
    <n v="2"/>
    <n v="80"/>
    <n v="0"/>
    <n v="31"/>
    <n v="3"/>
    <n v="4"/>
    <n v="9"/>
    <n v="7"/>
    <n v="6"/>
    <n v="2"/>
    <x v="4"/>
    <n v="0"/>
    <n v="0"/>
    <n v="1"/>
    <m/>
    <m/>
  </r>
  <r>
    <n v="43"/>
    <s v="No"/>
    <s v="Travel_Rarely"/>
    <n v="415"/>
    <s v="Sales"/>
    <n v="25"/>
    <n v="3"/>
    <s v="Medical"/>
    <n v="1"/>
    <n v="1076"/>
    <n v="3"/>
    <s v="Male"/>
    <n v="79"/>
    <n v="2"/>
    <n v="3"/>
    <s v="Sales Executive"/>
    <n v="4"/>
    <s v="Divorced"/>
    <n v="10798"/>
    <n v="5268"/>
    <n v="5"/>
    <s v="Y"/>
    <s v="No"/>
    <n v="13"/>
    <n v="3"/>
    <n v="3"/>
    <n v="80"/>
    <n v="1"/>
    <n v="18"/>
    <n v="5"/>
    <n v="3"/>
    <n v="1"/>
    <n v="0"/>
    <n v="0"/>
    <n v="0"/>
    <x v="0"/>
    <n v="0"/>
    <n v="0"/>
    <n v="1"/>
    <m/>
    <m/>
  </r>
  <r>
    <n v="20"/>
    <s v="Yes"/>
    <s v="Travel_Frequently"/>
    <n v="769"/>
    <s v="Sales"/>
    <n v="9"/>
    <n v="3"/>
    <s v="Marketing"/>
    <n v="1"/>
    <n v="1077"/>
    <n v="4"/>
    <s v="Female"/>
    <n v="54"/>
    <n v="3"/>
    <n v="1"/>
    <s v="Sales Representative"/>
    <n v="4"/>
    <s v="Single"/>
    <n v="2323"/>
    <n v="17205"/>
    <n v="1"/>
    <s v="Y"/>
    <s v="Yes"/>
    <n v="14"/>
    <n v="3"/>
    <n v="2"/>
    <n v="80"/>
    <n v="0"/>
    <n v="2"/>
    <n v="3"/>
    <n v="3"/>
    <n v="2"/>
    <n v="2"/>
    <n v="0"/>
    <n v="2"/>
    <x v="0"/>
    <n v="1"/>
    <n v="41814"/>
    <n v="1"/>
    <m/>
    <m/>
  </r>
  <r>
    <n v="21"/>
    <s v="Yes"/>
    <s v="Travel_Rarely"/>
    <n v="1334"/>
    <s v="Research &amp; Development"/>
    <n v="10"/>
    <n v="3"/>
    <s v="Life Sciences"/>
    <n v="1"/>
    <n v="1079"/>
    <n v="3"/>
    <s v="Female"/>
    <n v="36"/>
    <n v="2"/>
    <n v="1"/>
    <s v="Laboratory Technician"/>
    <n v="1"/>
    <s v="Single"/>
    <n v="1416"/>
    <n v="17258"/>
    <n v="1"/>
    <s v="Y"/>
    <s v="No"/>
    <n v="13"/>
    <n v="3"/>
    <n v="1"/>
    <n v="80"/>
    <n v="0"/>
    <n v="1"/>
    <n v="6"/>
    <n v="2"/>
    <n v="1"/>
    <n v="0"/>
    <n v="1"/>
    <n v="0"/>
    <x v="1"/>
    <n v="1"/>
    <n v="25488"/>
    <n v="1"/>
    <m/>
    <m/>
  </r>
  <r>
    <n v="46"/>
    <s v="No"/>
    <s v="Travel_Rarely"/>
    <n v="1003"/>
    <s v="Research &amp; Development"/>
    <n v="8"/>
    <n v="4"/>
    <s v="Life Sciences"/>
    <n v="1"/>
    <n v="1080"/>
    <n v="4"/>
    <s v="Female"/>
    <n v="74"/>
    <n v="2"/>
    <n v="2"/>
    <s v="Research Scientist"/>
    <n v="1"/>
    <s v="Divorced"/>
    <n v="4615"/>
    <n v="21029"/>
    <n v="8"/>
    <s v="Y"/>
    <s v="Yes"/>
    <n v="23"/>
    <n v="4"/>
    <n v="1"/>
    <n v="80"/>
    <n v="3"/>
    <n v="19"/>
    <n v="2"/>
    <n v="3"/>
    <n v="16"/>
    <n v="13"/>
    <n v="1"/>
    <n v="7"/>
    <x v="1"/>
    <n v="0"/>
    <n v="0"/>
    <n v="1"/>
    <m/>
    <m/>
  </r>
  <r>
    <n v="51"/>
    <s v="Yes"/>
    <s v="Travel_Rarely"/>
    <n v="1323"/>
    <s v="Research &amp; Development"/>
    <n v="4"/>
    <n v="4"/>
    <s v="Life Sciences"/>
    <n v="1"/>
    <n v="1081"/>
    <n v="1"/>
    <s v="Male"/>
    <n v="34"/>
    <n v="3"/>
    <n v="1"/>
    <s v="Research Scientist"/>
    <n v="3"/>
    <s v="Married"/>
    <n v="2461"/>
    <n v="10332"/>
    <n v="9"/>
    <s v="Y"/>
    <s v="Yes"/>
    <n v="12"/>
    <n v="3"/>
    <n v="3"/>
    <n v="80"/>
    <n v="3"/>
    <n v="18"/>
    <n v="2"/>
    <n v="4"/>
    <n v="10"/>
    <n v="0"/>
    <n v="2"/>
    <n v="7"/>
    <x v="1"/>
    <n v="1"/>
    <n v="44298"/>
    <n v="1"/>
    <m/>
    <m/>
  </r>
  <r>
    <n v="28"/>
    <s v="Yes"/>
    <s v="Non-Travel"/>
    <n v="1366"/>
    <s v="Research &amp; Development"/>
    <n v="24"/>
    <n v="2"/>
    <s v="Technical Degree"/>
    <n v="1"/>
    <n v="1082"/>
    <n v="2"/>
    <s v="Male"/>
    <n v="72"/>
    <n v="2"/>
    <n v="3"/>
    <s v="Healthcare Representative"/>
    <n v="1"/>
    <s v="Single"/>
    <n v="8722"/>
    <n v="12355"/>
    <n v="1"/>
    <s v="Y"/>
    <s v="No"/>
    <n v="12"/>
    <n v="3"/>
    <n v="1"/>
    <n v="80"/>
    <n v="0"/>
    <n v="10"/>
    <n v="2"/>
    <n v="2"/>
    <n v="10"/>
    <n v="7"/>
    <n v="1"/>
    <n v="9"/>
    <x v="3"/>
    <n v="1"/>
    <n v="156996"/>
    <n v="1"/>
    <m/>
    <m/>
  </r>
  <r>
    <n v="26"/>
    <s v="No"/>
    <s v="Travel_Rarely"/>
    <n v="192"/>
    <s v="Research &amp; Development"/>
    <n v="1"/>
    <n v="2"/>
    <s v="Medical"/>
    <n v="1"/>
    <n v="1083"/>
    <n v="1"/>
    <s v="Male"/>
    <n v="59"/>
    <n v="2"/>
    <n v="1"/>
    <s v="Laboratory Technician"/>
    <n v="1"/>
    <s v="Married"/>
    <n v="3955"/>
    <n v="11141"/>
    <n v="1"/>
    <s v="Y"/>
    <s v="No"/>
    <n v="16"/>
    <n v="3"/>
    <n v="1"/>
    <n v="80"/>
    <n v="2"/>
    <n v="6"/>
    <n v="2"/>
    <n v="3"/>
    <n v="5"/>
    <n v="3"/>
    <n v="1"/>
    <n v="3"/>
    <x v="1"/>
    <n v="0"/>
    <n v="0"/>
    <n v="1"/>
    <m/>
    <m/>
  </r>
  <r>
    <n v="30"/>
    <s v="No"/>
    <s v="Travel_Rarely"/>
    <n v="1176"/>
    <s v="Research &amp; Development"/>
    <n v="20"/>
    <n v="3"/>
    <s v="Other"/>
    <n v="1"/>
    <n v="1084"/>
    <n v="3"/>
    <s v="Male"/>
    <n v="85"/>
    <n v="3"/>
    <n v="2"/>
    <s v="Manufacturing Director"/>
    <n v="1"/>
    <s v="Married"/>
    <n v="9957"/>
    <n v="9096"/>
    <n v="0"/>
    <s v="Y"/>
    <s v="No"/>
    <n v="15"/>
    <n v="3"/>
    <n v="3"/>
    <n v="80"/>
    <n v="1"/>
    <n v="7"/>
    <n v="1"/>
    <n v="2"/>
    <n v="6"/>
    <n v="2"/>
    <n v="0"/>
    <n v="2"/>
    <x v="2"/>
    <n v="0"/>
    <n v="0"/>
    <n v="1"/>
    <m/>
    <m/>
  </r>
  <r>
    <n v="41"/>
    <s v="No"/>
    <s v="Travel_Rarely"/>
    <n v="509"/>
    <s v="Research &amp; Development"/>
    <n v="7"/>
    <n v="2"/>
    <s v="Technical Degree"/>
    <n v="1"/>
    <n v="1085"/>
    <n v="2"/>
    <s v="Female"/>
    <n v="43"/>
    <n v="4"/>
    <n v="1"/>
    <s v="Research Scientist"/>
    <n v="3"/>
    <s v="Married"/>
    <n v="3376"/>
    <n v="18863"/>
    <n v="1"/>
    <s v="Y"/>
    <s v="No"/>
    <n v="13"/>
    <n v="3"/>
    <n v="3"/>
    <n v="80"/>
    <n v="0"/>
    <n v="10"/>
    <n v="3"/>
    <n v="3"/>
    <n v="10"/>
    <n v="6"/>
    <n v="0"/>
    <n v="8"/>
    <x v="1"/>
    <n v="0"/>
    <n v="0"/>
    <n v="1"/>
    <m/>
    <m/>
  </r>
  <r>
    <n v="38"/>
    <s v="No"/>
    <s v="Travel_Rarely"/>
    <n v="330"/>
    <s v="Research &amp; Development"/>
    <n v="17"/>
    <n v="1"/>
    <s v="Life Sciences"/>
    <n v="1"/>
    <n v="1088"/>
    <n v="3"/>
    <s v="Female"/>
    <n v="65"/>
    <n v="2"/>
    <n v="3"/>
    <s v="Healthcare Representative"/>
    <n v="3"/>
    <s v="Married"/>
    <n v="8823"/>
    <n v="24608"/>
    <n v="0"/>
    <s v="Y"/>
    <s v="No"/>
    <n v="18"/>
    <n v="3"/>
    <n v="1"/>
    <n v="80"/>
    <n v="1"/>
    <n v="20"/>
    <n v="4"/>
    <n v="2"/>
    <n v="19"/>
    <n v="9"/>
    <n v="1"/>
    <n v="9"/>
    <x v="3"/>
    <n v="0"/>
    <n v="0"/>
    <n v="1"/>
    <m/>
    <m/>
  </r>
  <r>
    <n v="40"/>
    <s v="No"/>
    <s v="Travel_Rarely"/>
    <n v="1492"/>
    <s v="Research &amp; Development"/>
    <n v="20"/>
    <n v="4"/>
    <s v="Technical Degree"/>
    <n v="1"/>
    <n v="1092"/>
    <n v="1"/>
    <s v="Male"/>
    <n v="61"/>
    <n v="3"/>
    <n v="3"/>
    <s v="Healthcare Representative"/>
    <n v="4"/>
    <s v="Married"/>
    <n v="10322"/>
    <n v="26542"/>
    <n v="4"/>
    <s v="Y"/>
    <s v="No"/>
    <n v="20"/>
    <n v="4"/>
    <n v="4"/>
    <n v="80"/>
    <n v="1"/>
    <n v="14"/>
    <n v="6"/>
    <n v="3"/>
    <n v="11"/>
    <n v="10"/>
    <n v="11"/>
    <n v="1"/>
    <x v="3"/>
    <n v="0"/>
    <n v="0"/>
    <n v="1"/>
    <m/>
    <m/>
  </r>
  <r>
    <n v="27"/>
    <s v="No"/>
    <s v="Non-Travel"/>
    <n v="1277"/>
    <s v="Research &amp; Development"/>
    <n v="8"/>
    <n v="5"/>
    <s v="Life Sciences"/>
    <n v="1"/>
    <n v="1094"/>
    <n v="1"/>
    <s v="Male"/>
    <n v="87"/>
    <n v="1"/>
    <n v="1"/>
    <s v="Laboratory Technician"/>
    <n v="3"/>
    <s v="Married"/>
    <n v="4621"/>
    <n v="5869"/>
    <n v="1"/>
    <s v="Y"/>
    <s v="No"/>
    <n v="19"/>
    <n v="3"/>
    <n v="4"/>
    <n v="80"/>
    <n v="3"/>
    <n v="3"/>
    <n v="4"/>
    <n v="3"/>
    <n v="3"/>
    <n v="2"/>
    <n v="1"/>
    <n v="2"/>
    <x v="1"/>
    <n v="0"/>
    <n v="0"/>
    <n v="1"/>
    <m/>
    <m/>
  </r>
  <r>
    <n v="55"/>
    <s v="No"/>
    <s v="Travel_Frequently"/>
    <n v="1091"/>
    <s v="Research &amp; Development"/>
    <n v="2"/>
    <n v="1"/>
    <s v="Life Sciences"/>
    <n v="1"/>
    <n v="1096"/>
    <n v="4"/>
    <s v="Male"/>
    <n v="65"/>
    <n v="3"/>
    <n v="3"/>
    <s v="Manufacturing Director"/>
    <n v="2"/>
    <s v="Married"/>
    <n v="10976"/>
    <n v="15813"/>
    <n v="3"/>
    <s v="Y"/>
    <s v="No"/>
    <n v="18"/>
    <n v="3"/>
    <n v="2"/>
    <n v="80"/>
    <n v="1"/>
    <n v="23"/>
    <n v="4"/>
    <n v="3"/>
    <n v="3"/>
    <n v="2"/>
    <n v="1"/>
    <n v="2"/>
    <x v="2"/>
    <n v="0"/>
    <n v="0"/>
    <n v="1"/>
    <m/>
    <m/>
  </r>
  <r>
    <n v="28"/>
    <s v="No"/>
    <s v="Travel_Rarely"/>
    <n v="857"/>
    <s v="Research &amp; Development"/>
    <n v="10"/>
    <n v="3"/>
    <s v="Other"/>
    <n v="1"/>
    <n v="1097"/>
    <n v="3"/>
    <s v="Female"/>
    <n v="59"/>
    <n v="3"/>
    <n v="2"/>
    <s v="Research Scientist"/>
    <n v="3"/>
    <s v="Single"/>
    <n v="3660"/>
    <n v="7909"/>
    <n v="3"/>
    <s v="Y"/>
    <s v="No"/>
    <n v="13"/>
    <n v="3"/>
    <n v="4"/>
    <n v="80"/>
    <n v="0"/>
    <n v="10"/>
    <n v="4"/>
    <n v="4"/>
    <n v="8"/>
    <n v="7"/>
    <n v="1"/>
    <n v="7"/>
    <x v="1"/>
    <n v="0"/>
    <n v="0"/>
    <n v="1"/>
    <m/>
    <m/>
  </r>
  <r>
    <n v="44"/>
    <s v="Yes"/>
    <s v="Travel_Rarely"/>
    <n v="1376"/>
    <s v="Human Resources"/>
    <n v="1"/>
    <n v="2"/>
    <s v="Medical"/>
    <n v="1"/>
    <n v="1098"/>
    <n v="2"/>
    <s v="Male"/>
    <n v="91"/>
    <n v="2"/>
    <n v="3"/>
    <s v="Human Resources"/>
    <n v="1"/>
    <s v="Married"/>
    <n v="10482"/>
    <n v="2326"/>
    <n v="9"/>
    <s v="Y"/>
    <s v="No"/>
    <n v="14"/>
    <n v="3"/>
    <n v="4"/>
    <n v="80"/>
    <n v="1"/>
    <n v="24"/>
    <n v="1"/>
    <n v="3"/>
    <n v="20"/>
    <n v="6"/>
    <n v="3"/>
    <n v="6"/>
    <x v="5"/>
    <n v="1"/>
    <n v="188676"/>
    <n v="1"/>
    <m/>
    <m/>
  </r>
  <r>
    <n v="33"/>
    <s v="No"/>
    <s v="Travel_Rarely"/>
    <n v="654"/>
    <s v="Research &amp; Development"/>
    <n v="5"/>
    <n v="3"/>
    <s v="Life Sciences"/>
    <n v="1"/>
    <n v="1099"/>
    <n v="4"/>
    <s v="Male"/>
    <n v="34"/>
    <n v="2"/>
    <n v="3"/>
    <s v="Healthcare Representative"/>
    <n v="4"/>
    <s v="Divorced"/>
    <n v="7119"/>
    <n v="21214"/>
    <n v="4"/>
    <s v="Y"/>
    <s v="No"/>
    <n v="15"/>
    <n v="3"/>
    <n v="3"/>
    <n v="80"/>
    <n v="1"/>
    <n v="9"/>
    <n v="2"/>
    <n v="3"/>
    <n v="3"/>
    <n v="2"/>
    <n v="1"/>
    <n v="2"/>
    <x v="3"/>
    <n v="0"/>
    <n v="0"/>
    <n v="1"/>
    <m/>
    <m/>
  </r>
  <r>
    <n v="35"/>
    <s v="Yes"/>
    <s v="Travel_Rarely"/>
    <n v="1204"/>
    <s v="Sales"/>
    <n v="4"/>
    <n v="3"/>
    <s v="Technical Degree"/>
    <n v="1"/>
    <n v="1100"/>
    <n v="4"/>
    <s v="Male"/>
    <n v="86"/>
    <n v="3"/>
    <n v="3"/>
    <s v="Sales Executive"/>
    <n v="1"/>
    <s v="Single"/>
    <n v="9582"/>
    <n v="10333"/>
    <n v="0"/>
    <s v="Y"/>
    <s v="Yes"/>
    <n v="22"/>
    <n v="4"/>
    <n v="1"/>
    <n v="80"/>
    <n v="0"/>
    <n v="9"/>
    <n v="2"/>
    <n v="3"/>
    <n v="8"/>
    <n v="7"/>
    <n v="4"/>
    <n v="7"/>
    <x v="0"/>
    <n v="1"/>
    <n v="172476"/>
    <n v="1"/>
    <m/>
    <m/>
  </r>
  <r>
    <n v="33"/>
    <s v="Yes"/>
    <s v="Travel_Frequently"/>
    <n v="827"/>
    <s v="Research &amp; Development"/>
    <n v="29"/>
    <n v="4"/>
    <s v="Medical"/>
    <n v="1"/>
    <n v="1101"/>
    <n v="1"/>
    <s v="Female"/>
    <n v="54"/>
    <n v="2"/>
    <n v="2"/>
    <s v="Research Scientist"/>
    <n v="3"/>
    <s v="Single"/>
    <n v="4508"/>
    <n v="3129"/>
    <n v="1"/>
    <s v="Y"/>
    <s v="No"/>
    <n v="22"/>
    <n v="4"/>
    <n v="2"/>
    <n v="80"/>
    <n v="0"/>
    <n v="14"/>
    <n v="4"/>
    <n v="3"/>
    <n v="13"/>
    <n v="7"/>
    <n v="3"/>
    <n v="8"/>
    <x v="1"/>
    <n v="1"/>
    <n v="81144"/>
    <n v="1"/>
    <m/>
    <m/>
  </r>
  <r>
    <n v="28"/>
    <s v="No"/>
    <s v="Travel_Rarely"/>
    <n v="895"/>
    <s v="Research &amp; Development"/>
    <n v="15"/>
    <n v="2"/>
    <s v="Life Sciences"/>
    <n v="1"/>
    <n v="1102"/>
    <n v="1"/>
    <s v="Male"/>
    <n v="50"/>
    <n v="3"/>
    <n v="1"/>
    <s v="Laboratory Technician"/>
    <n v="3"/>
    <s v="Divorced"/>
    <n v="2207"/>
    <n v="22482"/>
    <n v="1"/>
    <s v="Y"/>
    <s v="No"/>
    <n v="16"/>
    <n v="3"/>
    <n v="4"/>
    <n v="80"/>
    <n v="1"/>
    <n v="4"/>
    <n v="5"/>
    <n v="2"/>
    <n v="4"/>
    <n v="2"/>
    <n v="2"/>
    <n v="2"/>
    <x v="1"/>
    <n v="0"/>
    <n v="0"/>
    <n v="1"/>
    <m/>
    <m/>
  </r>
  <r>
    <n v="34"/>
    <s v="No"/>
    <s v="Travel_Frequently"/>
    <n v="618"/>
    <s v="Research &amp; Development"/>
    <n v="3"/>
    <n v="1"/>
    <s v="Life Sciences"/>
    <n v="1"/>
    <n v="1103"/>
    <n v="1"/>
    <s v="Male"/>
    <n v="45"/>
    <n v="3"/>
    <n v="2"/>
    <s v="Healthcare Representative"/>
    <n v="4"/>
    <s v="Single"/>
    <n v="7756"/>
    <n v="22266"/>
    <n v="0"/>
    <s v="Y"/>
    <s v="No"/>
    <n v="17"/>
    <n v="3"/>
    <n v="3"/>
    <n v="80"/>
    <n v="0"/>
    <n v="7"/>
    <n v="1"/>
    <n v="2"/>
    <n v="6"/>
    <n v="2"/>
    <n v="0"/>
    <n v="4"/>
    <x v="3"/>
    <n v="0"/>
    <n v="0"/>
    <n v="1"/>
    <m/>
    <m/>
  </r>
  <r>
    <n v="37"/>
    <s v="No"/>
    <s v="Travel_Rarely"/>
    <n v="309"/>
    <s v="Sales"/>
    <n v="10"/>
    <n v="4"/>
    <s v="Life Sciences"/>
    <n v="1"/>
    <n v="1105"/>
    <n v="4"/>
    <s v="Female"/>
    <n v="88"/>
    <n v="2"/>
    <n v="2"/>
    <s v="Sales Executive"/>
    <n v="4"/>
    <s v="Divorced"/>
    <n v="6694"/>
    <n v="24223"/>
    <n v="2"/>
    <s v="Y"/>
    <s v="Yes"/>
    <n v="14"/>
    <n v="3"/>
    <n v="3"/>
    <n v="80"/>
    <n v="3"/>
    <n v="8"/>
    <n v="5"/>
    <n v="3"/>
    <n v="1"/>
    <n v="0"/>
    <n v="0"/>
    <n v="0"/>
    <x v="0"/>
    <n v="0"/>
    <n v="0"/>
    <n v="1"/>
    <m/>
    <m/>
  </r>
  <r>
    <n v="25"/>
    <s v="Yes"/>
    <s v="Travel_Rarely"/>
    <n v="1219"/>
    <s v="Research &amp; Development"/>
    <n v="4"/>
    <n v="1"/>
    <s v="Technical Degree"/>
    <n v="1"/>
    <n v="1106"/>
    <n v="4"/>
    <s v="Male"/>
    <n v="32"/>
    <n v="3"/>
    <n v="1"/>
    <s v="Laboratory Technician"/>
    <n v="4"/>
    <s v="Married"/>
    <n v="3691"/>
    <n v="4605"/>
    <n v="1"/>
    <s v="Y"/>
    <s v="Yes"/>
    <n v="15"/>
    <n v="3"/>
    <n v="2"/>
    <n v="80"/>
    <n v="1"/>
    <n v="7"/>
    <n v="3"/>
    <n v="4"/>
    <n v="7"/>
    <n v="7"/>
    <n v="5"/>
    <n v="6"/>
    <x v="1"/>
    <n v="1"/>
    <n v="66438"/>
    <n v="1"/>
    <m/>
    <m/>
  </r>
  <r>
    <n v="26"/>
    <s v="Yes"/>
    <s v="Travel_Rarely"/>
    <n v="1330"/>
    <s v="Research &amp; Development"/>
    <n v="21"/>
    <n v="3"/>
    <s v="Medical"/>
    <n v="1"/>
    <n v="1107"/>
    <n v="1"/>
    <s v="Male"/>
    <n v="37"/>
    <n v="3"/>
    <n v="1"/>
    <s v="Laboratory Technician"/>
    <n v="3"/>
    <s v="Divorced"/>
    <n v="2377"/>
    <n v="19373"/>
    <n v="1"/>
    <s v="Y"/>
    <s v="No"/>
    <n v="20"/>
    <n v="4"/>
    <n v="3"/>
    <n v="80"/>
    <n v="1"/>
    <n v="1"/>
    <n v="0"/>
    <n v="2"/>
    <n v="1"/>
    <n v="1"/>
    <n v="0"/>
    <n v="0"/>
    <x v="1"/>
    <n v="1"/>
    <n v="42786"/>
    <n v="1"/>
    <m/>
    <m/>
  </r>
  <r>
    <n v="33"/>
    <s v="Yes"/>
    <s v="Travel_Rarely"/>
    <n v="1017"/>
    <s v="Research &amp; Development"/>
    <n v="25"/>
    <n v="3"/>
    <s v="Medical"/>
    <n v="1"/>
    <n v="1108"/>
    <n v="1"/>
    <s v="Male"/>
    <n v="55"/>
    <n v="2"/>
    <n v="1"/>
    <s v="Research Scientist"/>
    <n v="2"/>
    <s v="Single"/>
    <n v="2313"/>
    <n v="2993"/>
    <n v="4"/>
    <s v="Y"/>
    <s v="Yes"/>
    <n v="20"/>
    <n v="4"/>
    <n v="2"/>
    <n v="80"/>
    <n v="0"/>
    <n v="5"/>
    <n v="0"/>
    <n v="3"/>
    <n v="2"/>
    <n v="2"/>
    <n v="2"/>
    <n v="2"/>
    <x v="1"/>
    <n v="1"/>
    <n v="41634"/>
    <n v="1"/>
    <m/>
    <m/>
  </r>
  <r>
    <n v="42"/>
    <s v="No"/>
    <s v="Travel_Rarely"/>
    <n v="469"/>
    <s v="Research &amp; Development"/>
    <n v="2"/>
    <n v="2"/>
    <s v="Medical"/>
    <n v="1"/>
    <n v="1109"/>
    <n v="4"/>
    <s v="Male"/>
    <n v="35"/>
    <n v="3"/>
    <n v="4"/>
    <s v="Manager"/>
    <n v="1"/>
    <s v="Married"/>
    <n v="17665"/>
    <n v="14399"/>
    <n v="0"/>
    <s v="Y"/>
    <s v="No"/>
    <n v="17"/>
    <n v="3"/>
    <n v="4"/>
    <n v="80"/>
    <n v="1"/>
    <n v="23"/>
    <n v="3"/>
    <n v="3"/>
    <n v="22"/>
    <n v="6"/>
    <n v="13"/>
    <n v="7"/>
    <x v="4"/>
    <n v="0"/>
    <n v="0"/>
    <n v="1"/>
    <m/>
    <m/>
  </r>
  <r>
    <n v="28"/>
    <s v="Yes"/>
    <s v="Travel_Frequently"/>
    <n v="1009"/>
    <s v="Research &amp; Development"/>
    <n v="1"/>
    <n v="3"/>
    <s v="Medical"/>
    <n v="1"/>
    <n v="1111"/>
    <n v="1"/>
    <s v="Male"/>
    <n v="45"/>
    <n v="2"/>
    <n v="1"/>
    <s v="Laboratory Technician"/>
    <n v="2"/>
    <s v="Divorced"/>
    <n v="2596"/>
    <n v="7160"/>
    <n v="1"/>
    <s v="Y"/>
    <s v="No"/>
    <n v="15"/>
    <n v="3"/>
    <n v="1"/>
    <n v="80"/>
    <n v="2"/>
    <n v="1"/>
    <n v="2"/>
    <n v="3"/>
    <n v="1"/>
    <n v="0"/>
    <n v="0"/>
    <n v="0"/>
    <x v="1"/>
    <n v="1"/>
    <n v="46728"/>
    <n v="1"/>
    <m/>
    <m/>
  </r>
  <r>
    <n v="50"/>
    <s v="Yes"/>
    <s v="Travel_Frequently"/>
    <n v="959"/>
    <s v="Sales"/>
    <n v="1"/>
    <n v="4"/>
    <s v="Other"/>
    <n v="1"/>
    <n v="1113"/>
    <n v="4"/>
    <s v="Male"/>
    <n v="81"/>
    <n v="3"/>
    <n v="2"/>
    <s v="Sales Executive"/>
    <n v="3"/>
    <s v="Single"/>
    <n v="4728"/>
    <n v="17251"/>
    <n v="3"/>
    <s v="Y"/>
    <s v="Yes"/>
    <n v="14"/>
    <n v="3"/>
    <n v="4"/>
    <n v="80"/>
    <n v="0"/>
    <n v="5"/>
    <n v="4"/>
    <n v="3"/>
    <n v="0"/>
    <n v="0"/>
    <n v="0"/>
    <n v="0"/>
    <x v="0"/>
    <n v="1"/>
    <n v="85104"/>
    <n v="1"/>
    <m/>
    <m/>
  </r>
  <r>
    <n v="33"/>
    <s v="No"/>
    <s v="Travel_Frequently"/>
    <n v="970"/>
    <s v="Sales"/>
    <n v="7"/>
    <n v="3"/>
    <s v="Life Sciences"/>
    <n v="1"/>
    <n v="1114"/>
    <n v="4"/>
    <s v="Female"/>
    <n v="30"/>
    <n v="3"/>
    <n v="2"/>
    <s v="Sales Executive"/>
    <n v="2"/>
    <s v="Married"/>
    <n v="4302"/>
    <n v="13401"/>
    <n v="0"/>
    <s v="Y"/>
    <s v="No"/>
    <n v="17"/>
    <n v="3"/>
    <n v="3"/>
    <n v="80"/>
    <n v="1"/>
    <n v="4"/>
    <n v="3"/>
    <n v="3"/>
    <n v="3"/>
    <n v="2"/>
    <n v="0"/>
    <n v="2"/>
    <x v="0"/>
    <n v="0"/>
    <n v="0"/>
    <n v="1"/>
    <m/>
    <m/>
  </r>
  <r>
    <n v="34"/>
    <s v="No"/>
    <s v="Non-Travel"/>
    <n v="697"/>
    <s v="Research &amp; Development"/>
    <n v="3"/>
    <n v="4"/>
    <s v="Life Sciences"/>
    <n v="1"/>
    <n v="1115"/>
    <n v="3"/>
    <s v="Male"/>
    <n v="40"/>
    <n v="2"/>
    <n v="1"/>
    <s v="Research Scientist"/>
    <n v="4"/>
    <s v="Married"/>
    <n v="2979"/>
    <n v="22478"/>
    <n v="3"/>
    <s v="Y"/>
    <s v="No"/>
    <n v="17"/>
    <n v="3"/>
    <n v="4"/>
    <n v="80"/>
    <n v="3"/>
    <n v="6"/>
    <n v="2"/>
    <n v="3"/>
    <n v="0"/>
    <n v="0"/>
    <n v="0"/>
    <n v="0"/>
    <x v="1"/>
    <n v="0"/>
    <n v="0"/>
    <n v="1"/>
    <m/>
    <m/>
  </r>
  <r>
    <n v="48"/>
    <s v="No"/>
    <s v="Non-Travel"/>
    <n v="1262"/>
    <s v="Research &amp; Development"/>
    <n v="1"/>
    <n v="4"/>
    <s v="Medical"/>
    <n v="1"/>
    <n v="1116"/>
    <n v="1"/>
    <s v="Male"/>
    <n v="35"/>
    <n v="4"/>
    <n v="4"/>
    <s v="Manager"/>
    <n v="4"/>
    <s v="Single"/>
    <n v="16885"/>
    <n v="16154"/>
    <n v="2"/>
    <s v="Y"/>
    <s v="No"/>
    <n v="22"/>
    <n v="4"/>
    <n v="3"/>
    <n v="80"/>
    <n v="0"/>
    <n v="27"/>
    <n v="3"/>
    <n v="2"/>
    <n v="5"/>
    <n v="4"/>
    <n v="2"/>
    <n v="1"/>
    <x v="4"/>
    <n v="0"/>
    <n v="0"/>
    <n v="1"/>
    <m/>
    <m/>
  </r>
  <r>
    <n v="45"/>
    <s v="No"/>
    <s v="Non-Travel"/>
    <n v="1050"/>
    <s v="Sales"/>
    <n v="9"/>
    <n v="4"/>
    <s v="Life Sciences"/>
    <n v="1"/>
    <n v="1117"/>
    <n v="2"/>
    <s v="Female"/>
    <n v="65"/>
    <n v="2"/>
    <n v="2"/>
    <s v="Sales Executive"/>
    <n v="3"/>
    <s v="Married"/>
    <n v="5593"/>
    <n v="17970"/>
    <n v="1"/>
    <s v="Y"/>
    <s v="No"/>
    <n v="13"/>
    <n v="3"/>
    <n v="4"/>
    <n v="80"/>
    <n v="1"/>
    <n v="15"/>
    <n v="2"/>
    <n v="3"/>
    <n v="15"/>
    <n v="10"/>
    <n v="4"/>
    <n v="12"/>
    <x v="0"/>
    <n v="0"/>
    <n v="0"/>
    <n v="1"/>
    <m/>
    <m/>
  </r>
  <r>
    <n v="52"/>
    <s v="No"/>
    <s v="Travel_Rarely"/>
    <n v="994"/>
    <s v="Research &amp; Development"/>
    <n v="7"/>
    <n v="4"/>
    <s v="Life Sciences"/>
    <n v="1"/>
    <n v="1118"/>
    <n v="2"/>
    <s v="Male"/>
    <n v="87"/>
    <n v="3"/>
    <n v="3"/>
    <s v="Healthcare Representative"/>
    <n v="2"/>
    <s v="Single"/>
    <n v="10445"/>
    <n v="15322"/>
    <n v="7"/>
    <s v="Y"/>
    <s v="No"/>
    <n v="19"/>
    <n v="3"/>
    <n v="4"/>
    <n v="80"/>
    <n v="0"/>
    <n v="18"/>
    <n v="4"/>
    <n v="3"/>
    <n v="8"/>
    <n v="6"/>
    <n v="4"/>
    <n v="0"/>
    <x v="3"/>
    <n v="0"/>
    <n v="0"/>
    <n v="1"/>
    <m/>
    <m/>
  </r>
  <r>
    <n v="38"/>
    <s v="No"/>
    <s v="Travel_Rarely"/>
    <n v="770"/>
    <s v="Sales"/>
    <n v="10"/>
    <n v="4"/>
    <s v="Marketing"/>
    <n v="1"/>
    <n v="1119"/>
    <n v="3"/>
    <s v="Male"/>
    <n v="73"/>
    <n v="2"/>
    <n v="3"/>
    <s v="Sales Executive"/>
    <n v="3"/>
    <s v="Divorced"/>
    <n v="8740"/>
    <n v="5569"/>
    <n v="0"/>
    <s v="Y"/>
    <s v="Yes"/>
    <n v="14"/>
    <n v="3"/>
    <n v="2"/>
    <n v="80"/>
    <n v="2"/>
    <n v="9"/>
    <n v="2"/>
    <n v="3"/>
    <n v="8"/>
    <n v="7"/>
    <n v="2"/>
    <n v="7"/>
    <x v="0"/>
    <n v="0"/>
    <n v="0"/>
    <n v="1"/>
    <m/>
    <m/>
  </r>
  <r>
    <n v="29"/>
    <s v="No"/>
    <s v="Travel_Rarely"/>
    <n v="1107"/>
    <s v="Research &amp; Development"/>
    <n v="28"/>
    <n v="4"/>
    <s v="Life Sciences"/>
    <n v="1"/>
    <n v="1120"/>
    <n v="3"/>
    <s v="Female"/>
    <n v="93"/>
    <n v="3"/>
    <n v="1"/>
    <s v="Research Scientist"/>
    <n v="4"/>
    <s v="Divorced"/>
    <n v="2514"/>
    <n v="26968"/>
    <n v="4"/>
    <s v="Y"/>
    <s v="No"/>
    <n v="22"/>
    <n v="4"/>
    <n v="1"/>
    <n v="80"/>
    <n v="1"/>
    <n v="11"/>
    <n v="1"/>
    <n v="3"/>
    <n v="7"/>
    <n v="5"/>
    <n v="1"/>
    <n v="7"/>
    <x v="1"/>
    <n v="0"/>
    <n v="0"/>
    <n v="1"/>
    <m/>
    <m/>
  </r>
  <r>
    <n v="28"/>
    <s v="No"/>
    <s v="Travel_Rarely"/>
    <n v="950"/>
    <s v="Research &amp; Development"/>
    <n v="3"/>
    <n v="3"/>
    <s v="Medical"/>
    <n v="1"/>
    <n v="1121"/>
    <n v="4"/>
    <s v="Female"/>
    <n v="93"/>
    <n v="3"/>
    <n v="3"/>
    <s v="Manufacturing Director"/>
    <n v="2"/>
    <s v="Divorced"/>
    <n v="7655"/>
    <n v="8039"/>
    <n v="0"/>
    <s v="Y"/>
    <s v="No"/>
    <n v="17"/>
    <n v="3"/>
    <n v="2"/>
    <n v="80"/>
    <n v="3"/>
    <n v="10"/>
    <n v="3"/>
    <n v="2"/>
    <n v="9"/>
    <n v="7"/>
    <n v="1"/>
    <n v="7"/>
    <x v="2"/>
    <n v="0"/>
    <n v="0"/>
    <n v="1"/>
    <m/>
    <m/>
  </r>
  <r>
    <n v="46"/>
    <s v="No"/>
    <s v="Travel_Rarely"/>
    <n v="406"/>
    <s v="Sales"/>
    <n v="3"/>
    <n v="1"/>
    <s v="Marketing"/>
    <n v="1"/>
    <n v="1124"/>
    <n v="1"/>
    <s v="Male"/>
    <n v="52"/>
    <n v="3"/>
    <n v="4"/>
    <s v="Manager"/>
    <n v="3"/>
    <s v="Married"/>
    <n v="17465"/>
    <n v="15596"/>
    <n v="3"/>
    <s v="Y"/>
    <s v="No"/>
    <n v="12"/>
    <n v="3"/>
    <n v="4"/>
    <n v="80"/>
    <n v="1"/>
    <n v="23"/>
    <n v="3"/>
    <n v="3"/>
    <n v="12"/>
    <n v="9"/>
    <n v="4"/>
    <n v="9"/>
    <x v="4"/>
    <n v="0"/>
    <n v="0"/>
    <n v="1"/>
    <m/>
    <m/>
  </r>
  <r>
    <n v="38"/>
    <s v="No"/>
    <s v="Travel_Rarely"/>
    <n v="130"/>
    <s v="Sales"/>
    <n v="2"/>
    <n v="2"/>
    <s v="Marketing"/>
    <n v="1"/>
    <n v="1125"/>
    <n v="4"/>
    <s v="Male"/>
    <n v="32"/>
    <n v="3"/>
    <n v="3"/>
    <s v="Sales Executive"/>
    <n v="2"/>
    <s v="Single"/>
    <n v="7351"/>
    <n v="20619"/>
    <n v="7"/>
    <s v="Y"/>
    <s v="No"/>
    <n v="16"/>
    <n v="3"/>
    <n v="3"/>
    <n v="80"/>
    <n v="0"/>
    <n v="10"/>
    <n v="2"/>
    <n v="3"/>
    <n v="1"/>
    <n v="0"/>
    <n v="0"/>
    <n v="0"/>
    <x v="0"/>
    <n v="0"/>
    <n v="0"/>
    <n v="1"/>
    <m/>
    <m/>
  </r>
  <r>
    <n v="43"/>
    <s v="No"/>
    <s v="Travel_Frequently"/>
    <n v="1082"/>
    <s v="Research &amp; Development"/>
    <n v="27"/>
    <n v="3"/>
    <s v="Life Sciences"/>
    <n v="1"/>
    <n v="1126"/>
    <n v="3"/>
    <s v="Female"/>
    <n v="83"/>
    <n v="3"/>
    <n v="3"/>
    <s v="Manufacturing Director"/>
    <n v="1"/>
    <s v="Married"/>
    <n v="10820"/>
    <n v="11535"/>
    <n v="8"/>
    <s v="Y"/>
    <s v="No"/>
    <n v="11"/>
    <n v="3"/>
    <n v="3"/>
    <n v="80"/>
    <n v="1"/>
    <n v="18"/>
    <n v="1"/>
    <n v="3"/>
    <n v="8"/>
    <n v="7"/>
    <n v="0"/>
    <n v="1"/>
    <x v="2"/>
    <n v="0"/>
    <n v="0"/>
    <n v="1"/>
    <m/>
    <m/>
  </r>
  <r>
    <n v="39"/>
    <s v="Yes"/>
    <s v="Travel_Frequently"/>
    <n v="203"/>
    <s v="Research &amp; Development"/>
    <n v="2"/>
    <n v="3"/>
    <s v="Life Sciences"/>
    <n v="1"/>
    <n v="1127"/>
    <n v="1"/>
    <s v="Male"/>
    <n v="84"/>
    <n v="3"/>
    <n v="4"/>
    <s v="Healthcare Representative"/>
    <n v="4"/>
    <s v="Divorced"/>
    <n v="12169"/>
    <n v="13547"/>
    <n v="7"/>
    <s v="Y"/>
    <s v="No"/>
    <n v="11"/>
    <n v="3"/>
    <n v="4"/>
    <n v="80"/>
    <n v="3"/>
    <n v="21"/>
    <n v="4"/>
    <n v="3"/>
    <n v="18"/>
    <n v="7"/>
    <n v="11"/>
    <n v="5"/>
    <x v="3"/>
    <n v="1"/>
    <n v="219042"/>
    <n v="1"/>
    <m/>
    <m/>
  </r>
  <r>
    <n v="40"/>
    <s v="No"/>
    <s v="Travel_Rarely"/>
    <n v="1308"/>
    <s v="Research &amp; Development"/>
    <n v="14"/>
    <n v="3"/>
    <s v="Medical"/>
    <n v="1"/>
    <n v="1128"/>
    <n v="3"/>
    <s v="Male"/>
    <n v="44"/>
    <n v="2"/>
    <n v="5"/>
    <s v="Research Director"/>
    <n v="3"/>
    <s v="Single"/>
    <n v="19626"/>
    <n v="17544"/>
    <n v="1"/>
    <s v="Y"/>
    <s v="No"/>
    <n v="14"/>
    <n v="3"/>
    <n v="1"/>
    <n v="80"/>
    <n v="0"/>
    <n v="21"/>
    <n v="2"/>
    <n v="4"/>
    <n v="20"/>
    <n v="7"/>
    <n v="4"/>
    <n v="9"/>
    <x v="1"/>
    <n v="0"/>
    <n v="0"/>
    <n v="1"/>
    <m/>
    <m/>
  </r>
  <r>
    <n v="21"/>
    <s v="No"/>
    <s v="Travel_Rarely"/>
    <n v="984"/>
    <s v="Research &amp; Development"/>
    <n v="1"/>
    <n v="1"/>
    <s v="Technical Degree"/>
    <n v="1"/>
    <n v="1131"/>
    <n v="4"/>
    <s v="Female"/>
    <n v="70"/>
    <n v="2"/>
    <n v="1"/>
    <s v="Research Scientist"/>
    <n v="2"/>
    <s v="Single"/>
    <n v="2070"/>
    <n v="25326"/>
    <n v="1"/>
    <s v="Y"/>
    <s v="Yes"/>
    <n v="11"/>
    <n v="3"/>
    <n v="3"/>
    <n v="80"/>
    <n v="0"/>
    <n v="2"/>
    <n v="6"/>
    <n v="4"/>
    <n v="2"/>
    <n v="2"/>
    <n v="2"/>
    <n v="2"/>
    <x v="1"/>
    <n v="0"/>
    <n v="0"/>
    <n v="1"/>
    <m/>
    <m/>
  </r>
  <r>
    <n v="39"/>
    <s v="No"/>
    <s v="Non-Travel"/>
    <n v="439"/>
    <s v="Research &amp; Development"/>
    <n v="9"/>
    <n v="3"/>
    <s v="Life Sciences"/>
    <n v="1"/>
    <n v="1132"/>
    <n v="3"/>
    <s v="Male"/>
    <n v="70"/>
    <n v="3"/>
    <n v="2"/>
    <s v="Laboratory Technician"/>
    <n v="2"/>
    <s v="Single"/>
    <n v="6782"/>
    <n v="8770"/>
    <n v="9"/>
    <s v="Y"/>
    <s v="No"/>
    <n v="15"/>
    <n v="3"/>
    <n v="3"/>
    <n v="80"/>
    <n v="0"/>
    <n v="9"/>
    <n v="2"/>
    <n v="2"/>
    <n v="5"/>
    <n v="4"/>
    <n v="0"/>
    <n v="3"/>
    <x v="1"/>
    <n v="0"/>
    <n v="0"/>
    <n v="1"/>
    <m/>
    <m/>
  </r>
  <r>
    <n v="36"/>
    <s v="No"/>
    <s v="Non-Travel"/>
    <n v="217"/>
    <s v="Research &amp; Development"/>
    <n v="18"/>
    <n v="4"/>
    <s v="Life Sciences"/>
    <n v="1"/>
    <n v="1133"/>
    <n v="1"/>
    <s v="Male"/>
    <n v="78"/>
    <n v="3"/>
    <n v="2"/>
    <s v="Manufacturing Director"/>
    <n v="4"/>
    <s v="Single"/>
    <n v="7779"/>
    <n v="23238"/>
    <n v="2"/>
    <s v="Y"/>
    <s v="No"/>
    <n v="20"/>
    <n v="4"/>
    <n v="1"/>
    <n v="80"/>
    <n v="0"/>
    <n v="18"/>
    <n v="0"/>
    <n v="3"/>
    <n v="11"/>
    <n v="9"/>
    <n v="0"/>
    <n v="9"/>
    <x v="2"/>
    <n v="0"/>
    <n v="0"/>
    <n v="1"/>
    <m/>
    <m/>
  </r>
  <r>
    <n v="31"/>
    <s v="No"/>
    <s v="Travel_Frequently"/>
    <n v="793"/>
    <s v="Sales"/>
    <n v="20"/>
    <n v="3"/>
    <s v="Life Sciences"/>
    <n v="1"/>
    <n v="1135"/>
    <n v="3"/>
    <s v="Male"/>
    <n v="67"/>
    <n v="4"/>
    <n v="1"/>
    <s v="Sales Representative"/>
    <n v="4"/>
    <s v="Married"/>
    <n v="2791"/>
    <n v="21981"/>
    <n v="0"/>
    <s v="Y"/>
    <s v="No"/>
    <n v="12"/>
    <n v="3"/>
    <n v="1"/>
    <n v="80"/>
    <n v="1"/>
    <n v="3"/>
    <n v="4"/>
    <n v="3"/>
    <n v="2"/>
    <n v="2"/>
    <n v="2"/>
    <n v="2"/>
    <x v="0"/>
    <n v="0"/>
    <n v="0"/>
    <n v="1"/>
    <m/>
    <m/>
  </r>
  <r>
    <n v="28"/>
    <s v="No"/>
    <s v="Travel_Rarely"/>
    <n v="1451"/>
    <s v="Research &amp; Development"/>
    <n v="2"/>
    <n v="1"/>
    <s v="Life Sciences"/>
    <n v="1"/>
    <n v="1136"/>
    <n v="1"/>
    <s v="Male"/>
    <n v="67"/>
    <n v="2"/>
    <n v="1"/>
    <s v="Research Scientist"/>
    <n v="2"/>
    <s v="Married"/>
    <n v="3201"/>
    <n v="19911"/>
    <n v="0"/>
    <s v="Y"/>
    <s v="No"/>
    <n v="17"/>
    <n v="3"/>
    <n v="1"/>
    <n v="80"/>
    <n v="0"/>
    <n v="6"/>
    <n v="2"/>
    <n v="1"/>
    <n v="5"/>
    <n v="3"/>
    <n v="0"/>
    <n v="4"/>
    <x v="1"/>
    <n v="0"/>
    <n v="0"/>
    <n v="1"/>
    <m/>
    <m/>
  </r>
  <r>
    <n v="35"/>
    <s v="No"/>
    <s v="Travel_Frequently"/>
    <n v="1182"/>
    <s v="Sales"/>
    <n v="11"/>
    <n v="2"/>
    <s v="Marketing"/>
    <n v="1"/>
    <n v="1137"/>
    <n v="4"/>
    <s v="Male"/>
    <n v="54"/>
    <n v="3"/>
    <n v="2"/>
    <s v="Sales Executive"/>
    <n v="4"/>
    <s v="Divorced"/>
    <n v="4968"/>
    <n v="18500"/>
    <n v="1"/>
    <s v="Y"/>
    <s v="No"/>
    <n v="11"/>
    <n v="3"/>
    <n v="4"/>
    <n v="80"/>
    <n v="1"/>
    <n v="5"/>
    <n v="3"/>
    <n v="3"/>
    <n v="5"/>
    <n v="2"/>
    <n v="0"/>
    <n v="2"/>
    <x v="0"/>
    <n v="0"/>
    <n v="0"/>
    <n v="1"/>
    <m/>
    <m/>
  </r>
  <r>
    <n v="49"/>
    <s v="No"/>
    <s v="Travel_Rarely"/>
    <n v="174"/>
    <s v="Sales"/>
    <n v="8"/>
    <n v="4"/>
    <s v="Technical Degree"/>
    <n v="1"/>
    <n v="1138"/>
    <n v="4"/>
    <s v="Male"/>
    <n v="56"/>
    <n v="2"/>
    <n v="4"/>
    <s v="Sales Executive"/>
    <n v="2"/>
    <s v="Married"/>
    <n v="13120"/>
    <n v="11879"/>
    <n v="6"/>
    <s v="Y"/>
    <s v="No"/>
    <n v="17"/>
    <n v="3"/>
    <n v="2"/>
    <n v="80"/>
    <n v="1"/>
    <n v="22"/>
    <n v="3"/>
    <n v="3"/>
    <n v="9"/>
    <n v="8"/>
    <n v="2"/>
    <n v="3"/>
    <x v="0"/>
    <n v="0"/>
    <n v="0"/>
    <n v="1"/>
    <m/>
    <m/>
  </r>
  <r>
    <n v="34"/>
    <s v="No"/>
    <s v="Travel_Frequently"/>
    <n v="1003"/>
    <s v="Research &amp; Development"/>
    <n v="2"/>
    <n v="2"/>
    <s v="Life Sciences"/>
    <n v="1"/>
    <n v="1140"/>
    <n v="4"/>
    <s v="Male"/>
    <n v="95"/>
    <n v="3"/>
    <n v="2"/>
    <s v="Manufacturing Director"/>
    <n v="3"/>
    <s v="Single"/>
    <n v="4033"/>
    <n v="15834"/>
    <n v="2"/>
    <s v="Y"/>
    <s v="No"/>
    <n v="11"/>
    <n v="3"/>
    <n v="4"/>
    <n v="80"/>
    <n v="0"/>
    <n v="5"/>
    <n v="3"/>
    <n v="2"/>
    <n v="3"/>
    <n v="2"/>
    <n v="0"/>
    <n v="2"/>
    <x v="2"/>
    <n v="0"/>
    <n v="0"/>
    <n v="1"/>
    <m/>
    <m/>
  </r>
  <r>
    <n v="29"/>
    <s v="No"/>
    <s v="Travel_Frequently"/>
    <n v="490"/>
    <s v="Research &amp; Development"/>
    <n v="10"/>
    <n v="3"/>
    <s v="Life Sciences"/>
    <n v="1"/>
    <n v="1143"/>
    <n v="4"/>
    <s v="Female"/>
    <n v="61"/>
    <n v="3"/>
    <n v="1"/>
    <s v="Research Scientist"/>
    <n v="2"/>
    <s v="Divorced"/>
    <n v="3291"/>
    <n v="17940"/>
    <n v="0"/>
    <s v="Y"/>
    <s v="No"/>
    <n v="14"/>
    <n v="3"/>
    <n v="4"/>
    <n v="80"/>
    <n v="2"/>
    <n v="8"/>
    <n v="2"/>
    <n v="2"/>
    <n v="7"/>
    <n v="5"/>
    <n v="1"/>
    <n v="1"/>
    <x v="1"/>
    <n v="0"/>
    <n v="0"/>
    <n v="1"/>
    <m/>
    <m/>
  </r>
  <r>
    <n v="42"/>
    <s v="No"/>
    <s v="Travel_Rarely"/>
    <n v="188"/>
    <s v="Research &amp; Development"/>
    <n v="29"/>
    <n v="3"/>
    <s v="Medical"/>
    <n v="1"/>
    <n v="1148"/>
    <n v="2"/>
    <s v="Male"/>
    <n v="56"/>
    <n v="1"/>
    <n v="2"/>
    <s v="Laboratory Technician"/>
    <n v="4"/>
    <s v="Single"/>
    <n v="4272"/>
    <n v="9558"/>
    <n v="4"/>
    <s v="Y"/>
    <s v="No"/>
    <n v="19"/>
    <n v="3"/>
    <n v="1"/>
    <n v="80"/>
    <n v="0"/>
    <n v="16"/>
    <n v="3"/>
    <n v="3"/>
    <n v="1"/>
    <n v="0"/>
    <n v="0"/>
    <n v="0"/>
    <x v="1"/>
    <n v="0"/>
    <n v="0"/>
    <n v="1"/>
    <m/>
    <m/>
  </r>
  <r>
    <n v="29"/>
    <s v="No"/>
    <s v="Travel_Rarely"/>
    <n v="718"/>
    <s v="Research &amp; Development"/>
    <n v="8"/>
    <n v="1"/>
    <s v="Medical"/>
    <n v="1"/>
    <n v="1150"/>
    <n v="2"/>
    <s v="Male"/>
    <n v="79"/>
    <n v="2"/>
    <n v="2"/>
    <s v="Manufacturing Director"/>
    <n v="4"/>
    <s v="Married"/>
    <n v="5056"/>
    <n v="17689"/>
    <n v="1"/>
    <s v="Y"/>
    <s v="Yes"/>
    <n v="15"/>
    <n v="3"/>
    <n v="3"/>
    <n v="80"/>
    <n v="1"/>
    <n v="10"/>
    <n v="2"/>
    <n v="2"/>
    <n v="10"/>
    <n v="7"/>
    <n v="1"/>
    <n v="2"/>
    <x v="2"/>
    <n v="0"/>
    <n v="0"/>
    <n v="1"/>
    <m/>
    <m/>
  </r>
  <r>
    <n v="38"/>
    <s v="No"/>
    <s v="Travel_Rarely"/>
    <n v="433"/>
    <s v="Human Resources"/>
    <n v="1"/>
    <n v="3"/>
    <s v="Human Resources"/>
    <n v="1"/>
    <n v="1152"/>
    <n v="3"/>
    <s v="Male"/>
    <n v="37"/>
    <n v="4"/>
    <n v="1"/>
    <s v="Human Resources"/>
    <n v="3"/>
    <s v="Married"/>
    <n v="2844"/>
    <n v="6004"/>
    <n v="1"/>
    <s v="Y"/>
    <s v="No"/>
    <n v="13"/>
    <n v="3"/>
    <n v="4"/>
    <n v="80"/>
    <n v="1"/>
    <n v="7"/>
    <n v="2"/>
    <n v="4"/>
    <n v="7"/>
    <n v="6"/>
    <n v="5"/>
    <n v="0"/>
    <x v="5"/>
    <n v="0"/>
    <n v="0"/>
    <n v="1"/>
    <m/>
    <m/>
  </r>
  <r>
    <n v="28"/>
    <s v="No"/>
    <s v="Travel_Frequently"/>
    <n v="773"/>
    <s v="Research &amp; Development"/>
    <n v="6"/>
    <n v="3"/>
    <s v="Life Sciences"/>
    <n v="1"/>
    <n v="1154"/>
    <n v="3"/>
    <s v="Male"/>
    <n v="39"/>
    <n v="2"/>
    <n v="1"/>
    <s v="Research Scientist"/>
    <n v="3"/>
    <s v="Divorced"/>
    <n v="2703"/>
    <n v="22088"/>
    <n v="1"/>
    <s v="Y"/>
    <s v="Yes"/>
    <n v="14"/>
    <n v="3"/>
    <n v="4"/>
    <n v="80"/>
    <n v="1"/>
    <n v="3"/>
    <n v="2"/>
    <n v="3"/>
    <n v="3"/>
    <n v="1"/>
    <n v="0"/>
    <n v="2"/>
    <x v="1"/>
    <n v="0"/>
    <n v="0"/>
    <n v="1"/>
    <m/>
    <m/>
  </r>
  <r>
    <n v="18"/>
    <s v="Yes"/>
    <s v="Non-Travel"/>
    <n v="247"/>
    <s v="Research &amp; Development"/>
    <n v="8"/>
    <n v="1"/>
    <s v="Medical"/>
    <n v="1"/>
    <n v="1156"/>
    <n v="3"/>
    <s v="Male"/>
    <n v="80"/>
    <n v="3"/>
    <n v="1"/>
    <s v="Laboratory Technician"/>
    <n v="3"/>
    <s v="Single"/>
    <n v="1904"/>
    <n v="13556"/>
    <n v="1"/>
    <s v="Y"/>
    <s v="No"/>
    <n v="12"/>
    <n v="3"/>
    <n v="4"/>
    <n v="80"/>
    <n v="0"/>
    <n v="0"/>
    <n v="0"/>
    <n v="3"/>
    <n v="0"/>
    <n v="0"/>
    <n v="0"/>
    <n v="0"/>
    <x v="1"/>
    <n v="1"/>
    <n v="34272"/>
    <n v="1"/>
    <m/>
    <m/>
  </r>
  <r>
    <n v="33"/>
    <s v="Yes"/>
    <s v="Travel_Rarely"/>
    <n v="603"/>
    <s v="Sales"/>
    <n v="9"/>
    <n v="4"/>
    <s v="Marketing"/>
    <n v="1"/>
    <n v="1157"/>
    <n v="1"/>
    <s v="Female"/>
    <n v="77"/>
    <n v="3"/>
    <n v="2"/>
    <s v="Sales Executive"/>
    <n v="1"/>
    <s v="Single"/>
    <n v="8224"/>
    <n v="18385"/>
    <n v="0"/>
    <s v="Y"/>
    <s v="Yes"/>
    <n v="17"/>
    <n v="3"/>
    <n v="1"/>
    <n v="80"/>
    <n v="0"/>
    <n v="6"/>
    <n v="3"/>
    <n v="3"/>
    <n v="5"/>
    <n v="2"/>
    <n v="0"/>
    <n v="3"/>
    <x v="0"/>
    <n v="1"/>
    <n v="148032"/>
    <n v="1"/>
    <m/>
    <m/>
  </r>
  <r>
    <n v="41"/>
    <s v="No"/>
    <s v="Travel_Rarely"/>
    <n v="167"/>
    <s v="Research &amp; Development"/>
    <n v="12"/>
    <n v="4"/>
    <s v="Life Sciences"/>
    <n v="1"/>
    <n v="1158"/>
    <n v="2"/>
    <s v="Male"/>
    <n v="46"/>
    <n v="3"/>
    <n v="1"/>
    <s v="Laboratory Technician"/>
    <n v="4"/>
    <s v="Married"/>
    <n v="4766"/>
    <n v="9051"/>
    <n v="3"/>
    <s v="Y"/>
    <s v="Yes"/>
    <n v="11"/>
    <n v="3"/>
    <n v="1"/>
    <n v="80"/>
    <n v="1"/>
    <n v="6"/>
    <n v="4"/>
    <n v="3"/>
    <n v="1"/>
    <n v="0"/>
    <n v="0"/>
    <n v="0"/>
    <x v="1"/>
    <n v="0"/>
    <n v="0"/>
    <n v="1"/>
    <m/>
    <m/>
  </r>
  <r>
    <n v="31"/>
    <s v="Yes"/>
    <s v="Travel_Frequently"/>
    <n v="874"/>
    <s v="Research &amp; Development"/>
    <n v="15"/>
    <n v="3"/>
    <s v="Medical"/>
    <n v="1"/>
    <n v="1160"/>
    <n v="3"/>
    <s v="Male"/>
    <n v="72"/>
    <n v="3"/>
    <n v="1"/>
    <s v="Laboratory Technician"/>
    <n v="3"/>
    <s v="Married"/>
    <n v="2610"/>
    <n v="6233"/>
    <n v="1"/>
    <s v="Y"/>
    <s v="No"/>
    <n v="12"/>
    <n v="3"/>
    <n v="3"/>
    <n v="80"/>
    <n v="1"/>
    <n v="2"/>
    <n v="5"/>
    <n v="2"/>
    <n v="2"/>
    <n v="2"/>
    <n v="2"/>
    <n v="2"/>
    <x v="1"/>
    <n v="1"/>
    <n v="46980"/>
    <n v="1"/>
    <m/>
    <m/>
  </r>
  <r>
    <n v="37"/>
    <s v="No"/>
    <s v="Travel_Rarely"/>
    <n v="367"/>
    <s v="Research &amp; Development"/>
    <n v="25"/>
    <n v="2"/>
    <s v="Medical"/>
    <n v="1"/>
    <n v="1161"/>
    <n v="3"/>
    <s v="Female"/>
    <n v="52"/>
    <n v="2"/>
    <n v="2"/>
    <s v="Healthcare Representative"/>
    <n v="4"/>
    <s v="Divorced"/>
    <n v="5731"/>
    <n v="17171"/>
    <n v="7"/>
    <s v="Y"/>
    <s v="No"/>
    <n v="13"/>
    <n v="3"/>
    <n v="3"/>
    <n v="80"/>
    <n v="2"/>
    <n v="9"/>
    <n v="2"/>
    <n v="3"/>
    <n v="6"/>
    <n v="2"/>
    <n v="1"/>
    <n v="3"/>
    <x v="3"/>
    <n v="0"/>
    <n v="0"/>
    <n v="1"/>
    <m/>
    <m/>
  </r>
  <r>
    <n v="27"/>
    <s v="No"/>
    <s v="Travel_Rarely"/>
    <n v="199"/>
    <s v="Research &amp; Development"/>
    <n v="6"/>
    <n v="3"/>
    <s v="Life Sciences"/>
    <n v="1"/>
    <n v="1162"/>
    <n v="4"/>
    <s v="Male"/>
    <n v="55"/>
    <n v="2"/>
    <n v="1"/>
    <s v="Research Scientist"/>
    <n v="3"/>
    <s v="Married"/>
    <n v="2539"/>
    <n v="7950"/>
    <n v="1"/>
    <s v="Y"/>
    <s v="No"/>
    <n v="13"/>
    <n v="3"/>
    <n v="3"/>
    <n v="80"/>
    <n v="1"/>
    <n v="4"/>
    <n v="0"/>
    <n v="3"/>
    <n v="4"/>
    <n v="2"/>
    <n v="2"/>
    <n v="2"/>
    <x v="1"/>
    <n v="0"/>
    <n v="0"/>
    <n v="1"/>
    <m/>
    <m/>
  </r>
  <r>
    <n v="34"/>
    <s v="No"/>
    <s v="Travel_Rarely"/>
    <n v="1400"/>
    <s v="Sales"/>
    <n v="9"/>
    <n v="1"/>
    <s v="Life Sciences"/>
    <n v="1"/>
    <n v="1163"/>
    <n v="2"/>
    <s v="Female"/>
    <n v="70"/>
    <n v="3"/>
    <n v="2"/>
    <s v="Sales Executive"/>
    <n v="3"/>
    <s v="Married"/>
    <n v="5714"/>
    <n v="5829"/>
    <n v="1"/>
    <s v="Y"/>
    <s v="No"/>
    <n v="20"/>
    <n v="4"/>
    <n v="1"/>
    <n v="80"/>
    <n v="0"/>
    <n v="6"/>
    <n v="3"/>
    <n v="2"/>
    <n v="6"/>
    <n v="5"/>
    <n v="1"/>
    <n v="3"/>
    <x v="0"/>
    <n v="0"/>
    <n v="0"/>
    <n v="1"/>
    <m/>
    <m/>
  </r>
  <r>
    <n v="35"/>
    <s v="No"/>
    <s v="Travel_Rarely"/>
    <n v="528"/>
    <s v="Human Resources"/>
    <n v="8"/>
    <n v="4"/>
    <s v="Technical Degree"/>
    <n v="1"/>
    <n v="1164"/>
    <n v="3"/>
    <s v="Male"/>
    <n v="100"/>
    <n v="3"/>
    <n v="1"/>
    <s v="Human Resources"/>
    <n v="3"/>
    <s v="Single"/>
    <n v="4323"/>
    <n v="7108"/>
    <n v="1"/>
    <s v="Y"/>
    <s v="No"/>
    <n v="17"/>
    <n v="3"/>
    <n v="2"/>
    <n v="80"/>
    <n v="0"/>
    <n v="6"/>
    <n v="2"/>
    <n v="1"/>
    <n v="5"/>
    <n v="4"/>
    <n v="1"/>
    <n v="4"/>
    <x v="5"/>
    <n v="0"/>
    <n v="0"/>
    <n v="1"/>
    <m/>
    <m/>
  </r>
  <r>
    <n v="29"/>
    <s v="Yes"/>
    <s v="Travel_Rarely"/>
    <n v="408"/>
    <s v="Sales"/>
    <n v="23"/>
    <n v="1"/>
    <s v="Life Sciences"/>
    <n v="1"/>
    <n v="1165"/>
    <n v="4"/>
    <s v="Female"/>
    <n v="45"/>
    <n v="2"/>
    <n v="3"/>
    <s v="Sales Executive"/>
    <n v="1"/>
    <s v="Married"/>
    <n v="7336"/>
    <n v="11162"/>
    <n v="1"/>
    <s v="Y"/>
    <s v="No"/>
    <n v="13"/>
    <n v="3"/>
    <n v="1"/>
    <n v="80"/>
    <n v="1"/>
    <n v="11"/>
    <n v="3"/>
    <n v="1"/>
    <n v="11"/>
    <n v="8"/>
    <n v="3"/>
    <n v="10"/>
    <x v="0"/>
    <n v="1"/>
    <n v="132048"/>
    <n v="1"/>
    <m/>
    <m/>
  </r>
  <r>
    <n v="40"/>
    <s v="No"/>
    <s v="Travel_Frequently"/>
    <n v="593"/>
    <s v="Research &amp; Development"/>
    <n v="9"/>
    <n v="4"/>
    <s v="Medical"/>
    <n v="1"/>
    <n v="1166"/>
    <n v="2"/>
    <s v="Female"/>
    <n v="88"/>
    <n v="3"/>
    <n v="3"/>
    <s v="Research Director"/>
    <n v="3"/>
    <s v="Single"/>
    <n v="13499"/>
    <n v="13782"/>
    <n v="9"/>
    <s v="Y"/>
    <s v="No"/>
    <n v="17"/>
    <n v="3"/>
    <n v="3"/>
    <n v="80"/>
    <n v="0"/>
    <n v="20"/>
    <n v="3"/>
    <n v="2"/>
    <n v="18"/>
    <n v="7"/>
    <n v="2"/>
    <n v="13"/>
    <x v="1"/>
    <n v="0"/>
    <n v="0"/>
    <n v="1"/>
    <m/>
    <m/>
  </r>
  <r>
    <n v="42"/>
    <s v="Yes"/>
    <s v="Travel_Frequently"/>
    <n v="481"/>
    <s v="Sales"/>
    <n v="12"/>
    <n v="3"/>
    <s v="Life Sciences"/>
    <n v="1"/>
    <n v="1167"/>
    <n v="3"/>
    <s v="Male"/>
    <n v="44"/>
    <n v="3"/>
    <n v="4"/>
    <s v="Sales Executive"/>
    <n v="1"/>
    <s v="Single"/>
    <n v="13758"/>
    <n v="2447"/>
    <n v="0"/>
    <s v="Y"/>
    <s v="Yes"/>
    <n v="12"/>
    <n v="3"/>
    <n v="2"/>
    <n v="80"/>
    <n v="0"/>
    <n v="22"/>
    <n v="2"/>
    <n v="2"/>
    <n v="21"/>
    <n v="9"/>
    <n v="13"/>
    <n v="14"/>
    <x v="0"/>
    <n v="1"/>
    <n v="247644"/>
    <n v="1"/>
    <m/>
    <m/>
  </r>
  <r>
    <n v="42"/>
    <s v="No"/>
    <s v="Travel_Rarely"/>
    <n v="647"/>
    <s v="Sales"/>
    <n v="4"/>
    <n v="4"/>
    <s v="Marketing"/>
    <n v="1"/>
    <n v="1171"/>
    <n v="2"/>
    <s v="Male"/>
    <n v="45"/>
    <n v="3"/>
    <n v="2"/>
    <s v="Sales Executive"/>
    <n v="1"/>
    <s v="Single"/>
    <n v="5155"/>
    <n v="2253"/>
    <n v="7"/>
    <s v="Y"/>
    <s v="No"/>
    <n v="13"/>
    <n v="3"/>
    <n v="4"/>
    <n v="80"/>
    <n v="0"/>
    <n v="9"/>
    <n v="3"/>
    <n v="4"/>
    <n v="6"/>
    <n v="4"/>
    <n v="1"/>
    <n v="5"/>
    <x v="0"/>
    <n v="0"/>
    <n v="0"/>
    <n v="1"/>
    <m/>
    <m/>
  </r>
  <r>
    <n v="35"/>
    <s v="No"/>
    <s v="Travel_Rarely"/>
    <n v="982"/>
    <s v="Research &amp; Development"/>
    <n v="1"/>
    <n v="4"/>
    <s v="Medical"/>
    <n v="1"/>
    <n v="1172"/>
    <n v="4"/>
    <s v="Male"/>
    <n v="58"/>
    <n v="2"/>
    <n v="1"/>
    <s v="Laboratory Technician"/>
    <n v="3"/>
    <s v="Married"/>
    <n v="2258"/>
    <n v="16340"/>
    <n v="6"/>
    <s v="Y"/>
    <s v="No"/>
    <n v="12"/>
    <n v="3"/>
    <n v="2"/>
    <n v="80"/>
    <n v="1"/>
    <n v="10"/>
    <n v="2"/>
    <n v="3"/>
    <n v="8"/>
    <n v="0"/>
    <n v="1"/>
    <n v="7"/>
    <x v="1"/>
    <n v="0"/>
    <n v="0"/>
    <n v="1"/>
    <m/>
    <m/>
  </r>
  <r>
    <n v="24"/>
    <s v="No"/>
    <s v="Travel_Rarely"/>
    <n v="477"/>
    <s v="Research &amp; Development"/>
    <n v="24"/>
    <n v="3"/>
    <s v="Medical"/>
    <n v="1"/>
    <n v="1173"/>
    <n v="4"/>
    <s v="Male"/>
    <n v="49"/>
    <n v="3"/>
    <n v="1"/>
    <s v="Laboratory Technician"/>
    <n v="2"/>
    <s v="Single"/>
    <n v="3597"/>
    <n v="6409"/>
    <n v="8"/>
    <s v="Y"/>
    <s v="No"/>
    <n v="22"/>
    <n v="4"/>
    <n v="4"/>
    <n v="80"/>
    <n v="0"/>
    <n v="6"/>
    <n v="2"/>
    <n v="3"/>
    <n v="4"/>
    <n v="3"/>
    <n v="1"/>
    <n v="2"/>
    <x v="1"/>
    <n v="0"/>
    <n v="0"/>
    <n v="1"/>
    <m/>
    <m/>
  </r>
  <r>
    <n v="28"/>
    <s v="Yes"/>
    <s v="Travel_Rarely"/>
    <n v="1485"/>
    <s v="Research &amp; Development"/>
    <n v="12"/>
    <n v="1"/>
    <s v="Life Sciences"/>
    <n v="1"/>
    <n v="1175"/>
    <n v="3"/>
    <s v="Female"/>
    <n v="79"/>
    <n v="3"/>
    <n v="1"/>
    <s v="Laboratory Technician"/>
    <n v="4"/>
    <s v="Married"/>
    <n v="2515"/>
    <n v="22955"/>
    <n v="1"/>
    <s v="Y"/>
    <s v="Yes"/>
    <n v="11"/>
    <n v="3"/>
    <n v="4"/>
    <n v="80"/>
    <n v="0"/>
    <n v="1"/>
    <n v="4"/>
    <n v="2"/>
    <n v="1"/>
    <n v="1"/>
    <n v="0"/>
    <n v="0"/>
    <x v="1"/>
    <n v="1"/>
    <n v="45270"/>
    <n v="1"/>
    <m/>
    <m/>
  </r>
  <r>
    <n v="26"/>
    <s v="No"/>
    <s v="Travel_Rarely"/>
    <n v="1384"/>
    <s v="Research &amp; Development"/>
    <n v="3"/>
    <n v="4"/>
    <s v="Medical"/>
    <n v="1"/>
    <n v="1177"/>
    <n v="1"/>
    <s v="Male"/>
    <n v="82"/>
    <n v="4"/>
    <n v="1"/>
    <s v="Laboratory Technician"/>
    <n v="4"/>
    <s v="Married"/>
    <n v="4420"/>
    <n v="13421"/>
    <n v="1"/>
    <s v="Y"/>
    <s v="No"/>
    <n v="22"/>
    <n v="4"/>
    <n v="2"/>
    <n v="80"/>
    <n v="1"/>
    <n v="8"/>
    <n v="2"/>
    <n v="3"/>
    <n v="8"/>
    <n v="7"/>
    <n v="0"/>
    <n v="7"/>
    <x v="1"/>
    <n v="0"/>
    <n v="0"/>
    <n v="1"/>
    <m/>
    <m/>
  </r>
  <r>
    <n v="30"/>
    <s v="No"/>
    <s v="Travel_Rarely"/>
    <n v="852"/>
    <s v="Sales"/>
    <n v="10"/>
    <n v="3"/>
    <s v="Marketing"/>
    <n v="1"/>
    <n v="1179"/>
    <n v="3"/>
    <s v="Male"/>
    <n v="72"/>
    <n v="2"/>
    <n v="2"/>
    <s v="Sales Executive"/>
    <n v="3"/>
    <s v="Married"/>
    <n v="6578"/>
    <n v="2706"/>
    <n v="1"/>
    <s v="Y"/>
    <s v="No"/>
    <n v="18"/>
    <n v="3"/>
    <n v="1"/>
    <n v="80"/>
    <n v="1"/>
    <n v="10"/>
    <n v="3"/>
    <n v="3"/>
    <n v="10"/>
    <n v="3"/>
    <n v="1"/>
    <n v="4"/>
    <x v="0"/>
    <n v="0"/>
    <n v="0"/>
    <n v="1"/>
    <m/>
    <m/>
  </r>
  <r>
    <n v="40"/>
    <s v="No"/>
    <s v="Travel_Frequently"/>
    <n v="902"/>
    <s v="Research &amp; Development"/>
    <n v="26"/>
    <n v="2"/>
    <s v="Medical"/>
    <n v="1"/>
    <n v="1180"/>
    <n v="3"/>
    <s v="Female"/>
    <n v="92"/>
    <n v="2"/>
    <n v="2"/>
    <s v="Research Scientist"/>
    <n v="4"/>
    <s v="Married"/>
    <n v="4422"/>
    <n v="21203"/>
    <n v="3"/>
    <s v="Y"/>
    <s v="Yes"/>
    <n v="13"/>
    <n v="3"/>
    <n v="4"/>
    <n v="80"/>
    <n v="1"/>
    <n v="16"/>
    <n v="3"/>
    <n v="1"/>
    <n v="1"/>
    <n v="1"/>
    <n v="0"/>
    <n v="0"/>
    <x v="1"/>
    <n v="0"/>
    <n v="0"/>
    <n v="1"/>
    <m/>
    <m/>
  </r>
  <r>
    <n v="35"/>
    <s v="No"/>
    <s v="Travel_Rarely"/>
    <n v="819"/>
    <s v="Research &amp; Development"/>
    <n v="2"/>
    <n v="3"/>
    <s v="Life Sciences"/>
    <n v="1"/>
    <n v="1182"/>
    <n v="3"/>
    <s v="Male"/>
    <n v="44"/>
    <n v="2"/>
    <n v="3"/>
    <s v="Manufacturing Director"/>
    <n v="2"/>
    <s v="Divorced"/>
    <n v="10274"/>
    <n v="19588"/>
    <n v="2"/>
    <s v="Y"/>
    <s v="No"/>
    <n v="18"/>
    <n v="3"/>
    <n v="2"/>
    <n v="80"/>
    <n v="1"/>
    <n v="15"/>
    <n v="2"/>
    <n v="4"/>
    <n v="7"/>
    <n v="7"/>
    <n v="6"/>
    <n v="4"/>
    <x v="2"/>
    <n v="0"/>
    <n v="0"/>
    <n v="1"/>
    <m/>
    <m/>
  </r>
  <r>
    <n v="34"/>
    <s v="No"/>
    <s v="Travel_Frequently"/>
    <n v="669"/>
    <s v="Research &amp; Development"/>
    <n v="1"/>
    <n v="3"/>
    <s v="Medical"/>
    <n v="1"/>
    <n v="1184"/>
    <n v="4"/>
    <s v="Male"/>
    <n v="97"/>
    <n v="2"/>
    <n v="2"/>
    <s v="Healthcare Representative"/>
    <n v="1"/>
    <s v="Single"/>
    <n v="5343"/>
    <n v="25755"/>
    <n v="0"/>
    <s v="Y"/>
    <s v="No"/>
    <n v="20"/>
    <n v="4"/>
    <n v="3"/>
    <n v="80"/>
    <n v="0"/>
    <n v="14"/>
    <n v="3"/>
    <n v="3"/>
    <n v="13"/>
    <n v="9"/>
    <n v="4"/>
    <n v="9"/>
    <x v="3"/>
    <n v="0"/>
    <n v="0"/>
    <n v="1"/>
    <m/>
    <m/>
  </r>
  <r>
    <n v="35"/>
    <s v="No"/>
    <s v="Travel_Frequently"/>
    <n v="636"/>
    <s v="Research &amp; Development"/>
    <n v="4"/>
    <n v="4"/>
    <s v="Other"/>
    <n v="1"/>
    <n v="1185"/>
    <n v="4"/>
    <s v="Male"/>
    <n v="47"/>
    <n v="2"/>
    <n v="1"/>
    <s v="Laboratory Technician"/>
    <n v="4"/>
    <s v="Married"/>
    <n v="2376"/>
    <n v="26537"/>
    <n v="1"/>
    <s v="Y"/>
    <s v="No"/>
    <n v="13"/>
    <n v="3"/>
    <n v="2"/>
    <n v="80"/>
    <n v="1"/>
    <n v="2"/>
    <n v="2"/>
    <n v="4"/>
    <n v="2"/>
    <n v="2"/>
    <n v="2"/>
    <n v="2"/>
    <x v="1"/>
    <n v="0"/>
    <n v="0"/>
    <n v="1"/>
    <m/>
    <m/>
  </r>
  <r>
    <n v="43"/>
    <s v="Yes"/>
    <s v="Travel_Rarely"/>
    <n v="1372"/>
    <s v="Sales"/>
    <n v="9"/>
    <n v="3"/>
    <s v="Marketing"/>
    <n v="1"/>
    <n v="1188"/>
    <n v="1"/>
    <s v="Female"/>
    <n v="85"/>
    <n v="1"/>
    <n v="2"/>
    <s v="Sales Executive"/>
    <n v="3"/>
    <s v="Single"/>
    <n v="5346"/>
    <n v="9489"/>
    <n v="8"/>
    <s v="Y"/>
    <s v="No"/>
    <n v="13"/>
    <n v="3"/>
    <n v="2"/>
    <n v="80"/>
    <n v="0"/>
    <n v="7"/>
    <n v="2"/>
    <n v="2"/>
    <n v="4"/>
    <n v="3"/>
    <n v="1"/>
    <n v="3"/>
    <x v="0"/>
    <n v="1"/>
    <n v="96228"/>
    <n v="1"/>
    <m/>
    <m/>
  </r>
  <r>
    <n v="32"/>
    <s v="No"/>
    <s v="Non-Travel"/>
    <n v="862"/>
    <s v="Sales"/>
    <n v="2"/>
    <n v="1"/>
    <s v="Life Sciences"/>
    <n v="1"/>
    <n v="1190"/>
    <n v="3"/>
    <s v="Female"/>
    <n v="76"/>
    <n v="3"/>
    <n v="1"/>
    <s v="Sales Representative"/>
    <n v="1"/>
    <s v="Divorced"/>
    <n v="2827"/>
    <n v="14947"/>
    <n v="1"/>
    <s v="Y"/>
    <s v="No"/>
    <n v="12"/>
    <n v="3"/>
    <n v="3"/>
    <n v="80"/>
    <n v="3"/>
    <n v="1"/>
    <n v="3"/>
    <n v="3"/>
    <n v="1"/>
    <n v="0"/>
    <n v="0"/>
    <n v="0"/>
    <x v="0"/>
    <n v="0"/>
    <n v="0"/>
    <n v="1"/>
    <m/>
    <m/>
  </r>
  <r>
    <n v="56"/>
    <s v="No"/>
    <s v="Travel_Rarely"/>
    <n v="718"/>
    <s v="Research &amp; Development"/>
    <n v="4"/>
    <n v="4"/>
    <s v="Technical Degree"/>
    <n v="1"/>
    <n v="1191"/>
    <n v="4"/>
    <s v="Female"/>
    <n v="92"/>
    <n v="3"/>
    <n v="5"/>
    <s v="Manager"/>
    <n v="1"/>
    <s v="Divorced"/>
    <n v="19943"/>
    <n v="18575"/>
    <n v="4"/>
    <s v="Y"/>
    <s v="No"/>
    <n v="13"/>
    <n v="3"/>
    <n v="4"/>
    <n v="80"/>
    <n v="1"/>
    <n v="28"/>
    <n v="2"/>
    <n v="3"/>
    <n v="5"/>
    <n v="2"/>
    <n v="4"/>
    <n v="2"/>
    <x v="4"/>
    <n v="0"/>
    <n v="0"/>
    <n v="1"/>
    <m/>
    <m/>
  </r>
  <r>
    <n v="29"/>
    <s v="No"/>
    <s v="Travel_Rarely"/>
    <n v="1401"/>
    <s v="Research &amp; Development"/>
    <n v="6"/>
    <n v="1"/>
    <s v="Medical"/>
    <n v="1"/>
    <n v="1192"/>
    <n v="2"/>
    <s v="Female"/>
    <n v="54"/>
    <n v="3"/>
    <n v="1"/>
    <s v="Laboratory Technician"/>
    <n v="4"/>
    <s v="Married"/>
    <n v="3131"/>
    <n v="26342"/>
    <n v="1"/>
    <s v="Y"/>
    <s v="No"/>
    <n v="13"/>
    <n v="3"/>
    <n v="1"/>
    <n v="80"/>
    <n v="1"/>
    <n v="10"/>
    <n v="5"/>
    <n v="3"/>
    <n v="10"/>
    <n v="8"/>
    <n v="0"/>
    <n v="8"/>
    <x v="1"/>
    <n v="0"/>
    <n v="0"/>
    <n v="1"/>
    <m/>
    <m/>
  </r>
  <r>
    <n v="19"/>
    <s v="No"/>
    <s v="Travel_Rarely"/>
    <n v="645"/>
    <s v="Research &amp; Development"/>
    <n v="9"/>
    <n v="2"/>
    <s v="Life Sciences"/>
    <n v="1"/>
    <n v="1193"/>
    <n v="3"/>
    <s v="Male"/>
    <n v="54"/>
    <n v="3"/>
    <n v="1"/>
    <s v="Research Scientist"/>
    <n v="1"/>
    <s v="Single"/>
    <n v="2552"/>
    <n v="7172"/>
    <n v="1"/>
    <s v="Y"/>
    <s v="No"/>
    <n v="25"/>
    <n v="4"/>
    <n v="3"/>
    <n v="80"/>
    <n v="0"/>
    <n v="1"/>
    <n v="4"/>
    <n v="3"/>
    <n v="1"/>
    <n v="1"/>
    <n v="0"/>
    <n v="0"/>
    <x v="1"/>
    <n v="0"/>
    <n v="0"/>
    <n v="1"/>
    <m/>
    <m/>
  </r>
  <r>
    <n v="45"/>
    <s v="No"/>
    <s v="Travel_Rarely"/>
    <n v="1457"/>
    <s v="Research &amp; Development"/>
    <n v="7"/>
    <n v="3"/>
    <s v="Medical"/>
    <n v="1"/>
    <n v="1195"/>
    <n v="1"/>
    <s v="Female"/>
    <n v="83"/>
    <n v="3"/>
    <n v="1"/>
    <s v="Research Scientist"/>
    <n v="3"/>
    <s v="Married"/>
    <n v="4477"/>
    <n v="20100"/>
    <n v="4"/>
    <s v="Y"/>
    <s v="Yes"/>
    <n v="19"/>
    <n v="3"/>
    <n v="3"/>
    <n v="80"/>
    <n v="1"/>
    <n v="7"/>
    <n v="2"/>
    <n v="2"/>
    <n v="3"/>
    <n v="2"/>
    <n v="0"/>
    <n v="2"/>
    <x v="1"/>
    <n v="0"/>
    <n v="0"/>
    <n v="1"/>
    <m/>
    <m/>
  </r>
  <r>
    <n v="37"/>
    <s v="No"/>
    <s v="Travel_Rarely"/>
    <n v="977"/>
    <s v="Research &amp; Development"/>
    <n v="1"/>
    <n v="3"/>
    <s v="Life Sciences"/>
    <n v="1"/>
    <n v="1196"/>
    <n v="4"/>
    <s v="Female"/>
    <n v="56"/>
    <n v="2"/>
    <n v="2"/>
    <s v="Manufacturing Director"/>
    <n v="4"/>
    <s v="Married"/>
    <n v="6474"/>
    <n v="9961"/>
    <n v="1"/>
    <s v="Y"/>
    <s v="No"/>
    <n v="13"/>
    <n v="3"/>
    <n v="2"/>
    <n v="80"/>
    <n v="1"/>
    <n v="14"/>
    <n v="2"/>
    <n v="2"/>
    <n v="14"/>
    <n v="8"/>
    <n v="3"/>
    <n v="11"/>
    <x v="2"/>
    <n v="0"/>
    <n v="0"/>
    <n v="1"/>
    <m/>
    <m/>
  </r>
  <r>
    <n v="20"/>
    <s v="No"/>
    <s v="Travel_Rarely"/>
    <n v="805"/>
    <s v="Research &amp; Development"/>
    <n v="3"/>
    <n v="3"/>
    <s v="Life Sciences"/>
    <n v="1"/>
    <n v="1198"/>
    <n v="1"/>
    <s v="Male"/>
    <n v="87"/>
    <n v="2"/>
    <n v="1"/>
    <s v="Laboratory Technician"/>
    <n v="3"/>
    <s v="Single"/>
    <n v="3033"/>
    <n v="12828"/>
    <n v="1"/>
    <s v="Y"/>
    <s v="No"/>
    <n v="12"/>
    <n v="3"/>
    <n v="1"/>
    <n v="80"/>
    <n v="0"/>
    <n v="2"/>
    <n v="2"/>
    <n v="2"/>
    <n v="2"/>
    <n v="2"/>
    <n v="1"/>
    <n v="2"/>
    <x v="1"/>
    <n v="0"/>
    <n v="0"/>
    <n v="1"/>
    <m/>
    <m/>
  </r>
  <r>
    <n v="44"/>
    <s v="Yes"/>
    <s v="Travel_Rarely"/>
    <n v="1097"/>
    <s v="Research &amp; Development"/>
    <n v="10"/>
    <n v="4"/>
    <s v="Life Sciences"/>
    <n v="1"/>
    <n v="1200"/>
    <n v="3"/>
    <s v="Male"/>
    <n v="96"/>
    <n v="3"/>
    <n v="1"/>
    <s v="Research Scientist"/>
    <n v="3"/>
    <s v="Single"/>
    <n v="2936"/>
    <n v="10826"/>
    <n v="1"/>
    <s v="Y"/>
    <s v="Yes"/>
    <n v="11"/>
    <n v="3"/>
    <n v="3"/>
    <n v="80"/>
    <n v="0"/>
    <n v="6"/>
    <n v="4"/>
    <n v="3"/>
    <n v="6"/>
    <n v="4"/>
    <n v="0"/>
    <n v="2"/>
    <x v="1"/>
    <n v="1"/>
    <n v="52848"/>
    <n v="1"/>
    <m/>
    <m/>
  </r>
  <r>
    <n v="53"/>
    <s v="No"/>
    <s v="Travel_Rarely"/>
    <n v="1223"/>
    <s v="Research &amp; Development"/>
    <n v="7"/>
    <n v="2"/>
    <s v="Medical"/>
    <n v="1"/>
    <n v="1201"/>
    <n v="4"/>
    <s v="Female"/>
    <n v="50"/>
    <n v="3"/>
    <n v="5"/>
    <s v="Manager"/>
    <n v="3"/>
    <s v="Divorced"/>
    <n v="18606"/>
    <n v="18640"/>
    <n v="3"/>
    <s v="Y"/>
    <s v="No"/>
    <n v="18"/>
    <n v="3"/>
    <n v="2"/>
    <n v="80"/>
    <n v="1"/>
    <n v="26"/>
    <n v="6"/>
    <n v="3"/>
    <n v="7"/>
    <n v="7"/>
    <n v="4"/>
    <n v="7"/>
    <x v="4"/>
    <n v="0"/>
    <n v="0"/>
    <n v="1"/>
    <m/>
    <m/>
  </r>
  <r>
    <n v="29"/>
    <s v="No"/>
    <s v="Travel_Rarely"/>
    <n v="942"/>
    <s v="Research &amp; Development"/>
    <n v="15"/>
    <n v="1"/>
    <s v="Life Sciences"/>
    <n v="1"/>
    <n v="1202"/>
    <n v="2"/>
    <s v="Female"/>
    <n v="69"/>
    <n v="1"/>
    <n v="1"/>
    <s v="Research Scientist"/>
    <n v="4"/>
    <s v="Married"/>
    <n v="2168"/>
    <n v="26933"/>
    <n v="0"/>
    <s v="Y"/>
    <s v="Yes"/>
    <n v="18"/>
    <n v="3"/>
    <n v="1"/>
    <n v="80"/>
    <n v="1"/>
    <n v="6"/>
    <n v="2"/>
    <n v="2"/>
    <n v="5"/>
    <n v="4"/>
    <n v="1"/>
    <n v="3"/>
    <x v="1"/>
    <n v="0"/>
    <n v="0"/>
    <n v="1"/>
    <m/>
    <m/>
  </r>
  <r>
    <n v="22"/>
    <s v="Yes"/>
    <s v="Travel_Frequently"/>
    <n v="1256"/>
    <s v="Research &amp; Development"/>
    <n v="3"/>
    <n v="4"/>
    <s v="Life Sciences"/>
    <n v="1"/>
    <n v="1203"/>
    <n v="3"/>
    <s v="Male"/>
    <n v="48"/>
    <n v="2"/>
    <n v="1"/>
    <s v="Research Scientist"/>
    <n v="4"/>
    <s v="Married"/>
    <n v="2853"/>
    <n v="4223"/>
    <n v="0"/>
    <s v="Y"/>
    <s v="Yes"/>
    <n v="11"/>
    <n v="3"/>
    <n v="2"/>
    <n v="80"/>
    <n v="1"/>
    <n v="1"/>
    <n v="5"/>
    <n v="3"/>
    <n v="0"/>
    <n v="0"/>
    <n v="0"/>
    <n v="0"/>
    <x v="1"/>
    <n v="1"/>
    <n v="51354"/>
    <n v="1"/>
    <m/>
    <m/>
  </r>
  <r>
    <n v="46"/>
    <s v="No"/>
    <s v="Travel_Rarely"/>
    <n v="1402"/>
    <s v="Sales"/>
    <n v="2"/>
    <n v="3"/>
    <s v="Marketing"/>
    <n v="1"/>
    <n v="1204"/>
    <n v="3"/>
    <s v="Female"/>
    <n v="69"/>
    <n v="3"/>
    <n v="4"/>
    <s v="Manager"/>
    <n v="1"/>
    <s v="Married"/>
    <n v="17048"/>
    <n v="24097"/>
    <n v="8"/>
    <s v="Y"/>
    <s v="No"/>
    <n v="23"/>
    <n v="4"/>
    <n v="1"/>
    <n v="80"/>
    <n v="0"/>
    <n v="28"/>
    <n v="2"/>
    <n v="3"/>
    <n v="26"/>
    <n v="15"/>
    <n v="15"/>
    <n v="9"/>
    <x v="4"/>
    <n v="0"/>
    <n v="0"/>
    <n v="1"/>
    <m/>
    <m/>
  </r>
  <r>
    <n v="44"/>
    <s v="No"/>
    <s v="Non-Travel"/>
    <n v="111"/>
    <s v="Research &amp; Development"/>
    <n v="17"/>
    <n v="3"/>
    <s v="Life Sciences"/>
    <n v="1"/>
    <n v="1206"/>
    <n v="4"/>
    <s v="Male"/>
    <n v="74"/>
    <n v="1"/>
    <n v="1"/>
    <s v="Research Scientist"/>
    <n v="3"/>
    <s v="Single"/>
    <n v="2290"/>
    <n v="4279"/>
    <n v="2"/>
    <s v="Y"/>
    <s v="No"/>
    <n v="13"/>
    <n v="3"/>
    <n v="4"/>
    <n v="80"/>
    <n v="0"/>
    <n v="6"/>
    <n v="3"/>
    <n v="3"/>
    <n v="0"/>
    <n v="0"/>
    <n v="0"/>
    <n v="0"/>
    <x v="1"/>
    <n v="0"/>
    <n v="0"/>
    <n v="1"/>
    <m/>
    <m/>
  </r>
  <r>
    <n v="33"/>
    <s v="No"/>
    <s v="Travel_Rarely"/>
    <n v="147"/>
    <s v="Human Resources"/>
    <n v="2"/>
    <n v="3"/>
    <s v="Human Resources"/>
    <n v="1"/>
    <n v="1207"/>
    <n v="2"/>
    <s v="Male"/>
    <n v="99"/>
    <n v="3"/>
    <n v="1"/>
    <s v="Human Resources"/>
    <n v="3"/>
    <s v="Married"/>
    <n v="3600"/>
    <n v="8429"/>
    <n v="1"/>
    <s v="Y"/>
    <s v="No"/>
    <n v="13"/>
    <n v="3"/>
    <n v="4"/>
    <n v="80"/>
    <n v="1"/>
    <n v="5"/>
    <n v="2"/>
    <n v="3"/>
    <n v="5"/>
    <n v="4"/>
    <n v="1"/>
    <n v="4"/>
    <x v="5"/>
    <n v="0"/>
    <n v="0"/>
    <n v="1"/>
    <m/>
    <m/>
  </r>
  <r>
    <n v="41"/>
    <s v="Yes"/>
    <s v="Non-Travel"/>
    <n v="906"/>
    <s v="Research &amp; Development"/>
    <n v="5"/>
    <n v="2"/>
    <s v="Life Sciences"/>
    <n v="1"/>
    <n v="1210"/>
    <n v="1"/>
    <s v="Male"/>
    <n v="95"/>
    <n v="2"/>
    <n v="1"/>
    <s v="Research Scientist"/>
    <n v="1"/>
    <s v="Divorced"/>
    <n v="2107"/>
    <n v="20293"/>
    <n v="6"/>
    <s v="Y"/>
    <s v="No"/>
    <n v="17"/>
    <n v="3"/>
    <n v="1"/>
    <n v="80"/>
    <n v="1"/>
    <n v="5"/>
    <n v="2"/>
    <n v="1"/>
    <n v="1"/>
    <n v="0"/>
    <n v="0"/>
    <n v="0"/>
    <x v="1"/>
    <n v="1"/>
    <n v="37926"/>
    <n v="1"/>
    <m/>
    <m/>
  </r>
  <r>
    <n v="30"/>
    <s v="No"/>
    <s v="Travel_Rarely"/>
    <n v="1329"/>
    <s v="Sales"/>
    <n v="29"/>
    <n v="4"/>
    <s v="Life Sciences"/>
    <n v="1"/>
    <n v="1211"/>
    <n v="3"/>
    <s v="Male"/>
    <n v="61"/>
    <n v="3"/>
    <n v="2"/>
    <s v="Sales Executive"/>
    <n v="1"/>
    <s v="Divorced"/>
    <n v="4115"/>
    <n v="13192"/>
    <n v="8"/>
    <s v="Y"/>
    <s v="No"/>
    <n v="19"/>
    <n v="3"/>
    <n v="3"/>
    <n v="80"/>
    <n v="3"/>
    <n v="8"/>
    <n v="3"/>
    <n v="3"/>
    <n v="4"/>
    <n v="3"/>
    <n v="0"/>
    <n v="3"/>
    <x v="0"/>
    <n v="0"/>
    <n v="0"/>
    <n v="1"/>
    <m/>
    <m/>
  </r>
  <r>
    <n v="40"/>
    <s v="No"/>
    <s v="Travel_Frequently"/>
    <n v="1184"/>
    <s v="Sales"/>
    <n v="2"/>
    <n v="4"/>
    <s v="Medical"/>
    <n v="1"/>
    <n v="1212"/>
    <n v="2"/>
    <s v="Male"/>
    <n v="62"/>
    <n v="3"/>
    <n v="2"/>
    <s v="Sales Executive"/>
    <n v="2"/>
    <s v="Married"/>
    <n v="4327"/>
    <n v="25440"/>
    <n v="5"/>
    <s v="Y"/>
    <s v="No"/>
    <n v="12"/>
    <n v="3"/>
    <n v="4"/>
    <n v="80"/>
    <n v="3"/>
    <n v="5"/>
    <n v="2"/>
    <n v="3"/>
    <n v="0"/>
    <n v="0"/>
    <n v="0"/>
    <n v="0"/>
    <x v="0"/>
    <n v="0"/>
    <n v="0"/>
    <n v="1"/>
    <m/>
    <m/>
  </r>
  <r>
    <n v="50"/>
    <s v="No"/>
    <s v="Travel_Frequently"/>
    <n v="1421"/>
    <s v="Research &amp; Development"/>
    <n v="2"/>
    <n v="3"/>
    <s v="Medical"/>
    <n v="1"/>
    <n v="1215"/>
    <n v="4"/>
    <s v="Female"/>
    <n v="30"/>
    <n v="3"/>
    <n v="4"/>
    <s v="Manager"/>
    <n v="1"/>
    <s v="Married"/>
    <n v="17856"/>
    <n v="9490"/>
    <n v="2"/>
    <s v="Y"/>
    <s v="No"/>
    <n v="22"/>
    <n v="4"/>
    <n v="3"/>
    <n v="80"/>
    <n v="1"/>
    <n v="32"/>
    <n v="3"/>
    <n v="3"/>
    <n v="2"/>
    <n v="2"/>
    <n v="2"/>
    <n v="2"/>
    <x v="4"/>
    <n v="0"/>
    <n v="0"/>
    <n v="1"/>
    <m/>
    <m/>
  </r>
  <r>
    <n v="28"/>
    <s v="No"/>
    <s v="Travel_Rarely"/>
    <n v="1179"/>
    <s v="Research &amp; Development"/>
    <n v="19"/>
    <n v="4"/>
    <s v="Medical"/>
    <n v="1"/>
    <n v="1216"/>
    <n v="4"/>
    <s v="Male"/>
    <n v="78"/>
    <n v="2"/>
    <n v="1"/>
    <s v="Laboratory Technician"/>
    <n v="1"/>
    <s v="Married"/>
    <n v="3196"/>
    <n v="12449"/>
    <n v="1"/>
    <s v="Y"/>
    <s v="No"/>
    <n v="12"/>
    <n v="3"/>
    <n v="3"/>
    <n v="80"/>
    <n v="3"/>
    <n v="6"/>
    <n v="2"/>
    <n v="3"/>
    <n v="6"/>
    <n v="5"/>
    <n v="3"/>
    <n v="3"/>
    <x v="1"/>
    <n v="0"/>
    <n v="0"/>
    <n v="1"/>
    <m/>
    <m/>
  </r>
  <r>
    <n v="46"/>
    <s v="No"/>
    <s v="Travel_Rarely"/>
    <n v="1450"/>
    <s v="Research &amp; Development"/>
    <n v="15"/>
    <n v="2"/>
    <s v="Life Sciences"/>
    <n v="1"/>
    <n v="1217"/>
    <n v="4"/>
    <s v="Male"/>
    <n v="52"/>
    <n v="3"/>
    <n v="5"/>
    <s v="Research Director"/>
    <n v="2"/>
    <s v="Married"/>
    <n v="19081"/>
    <n v="10849"/>
    <n v="5"/>
    <s v="Y"/>
    <s v="No"/>
    <n v="11"/>
    <n v="3"/>
    <n v="1"/>
    <n v="80"/>
    <n v="1"/>
    <n v="25"/>
    <n v="2"/>
    <n v="3"/>
    <n v="4"/>
    <n v="2"/>
    <n v="0"/>
    <n v="3"/>
    <x v="1"/>
    <n v="0"/>
    <n v="0"/>
    <n v="1"/>
    <m/>
    <m/>
  </r>
  <r>
    <n v="35"/>
    <s v="No"/>
    <s v="Travel_Rarely"/>
    <n v="1361"/>
    <s v="Sales"/>
    <n v="17"/>
    <n v="4"/>
    <s v="Life Sciences"/>
    <n v="1"/>
    <n v="1218"/>
    <n v="3"/>
    <s v="Male"/>
    <n v="94"/>
    <n v="3"/>
    <n v="2"/>
    <s v="Sales Executive"/>
    <n v="1"/>
    <s v="Married"/>
    <n v="8966"/>
    <n v="21026"/>
    <n v="3"/>
    <s v="Y"/>
    <s v="Yes"/>
    <n v="15"/>
    <n v="3"/>
    <n v="4"/>
    <n v="80"/>
    <n v="3"/>
    <n v="15"/>
    <n v="2"/>
    <n v="3"/>
    <n v="7"/>
    <n v="7"/>
    <n v="1"/>
    <n v="7"/>
    <x v="0"/>
    <n v="0"/>
    <n v="0"/>
    <n v="1"/>
    <m/>
    <m/>
  </r>
  <r>
    <n v="24"/>
    <s v="Yes"/>
    <s v="Travel_Rarely"/>
    <n v="984"/>
    <s v="Research &amp; Development"/>
    <n v="17"/>
    <n v="2"/>
    <s v="Life Sciences"/>
    <n v="1"/>
    <n v="1219"/>
    <n v="4"/>
    <s v="Female"/>
    <n v="97"/>
    <n v="3"/>
    <n v="1"/>
    <s v="Laboratory Technician"/>
    <n v="2"/>
    <s v="Married"/>
    <n v="2210"/>
    <n v="3372"/>
    <n v="1"/>
    <s v="Y"/>
    <s v="No"/>
    <n v="13"/>
    <n v="3"/>
    <n v="1"/>
    <n v="80"/>
    <n v="1"/>
    <n v="1"/>
    <n v="3"/>
    <n v="1"/>
    <n v="1"/>
    <n v="0"/>
    <n v="0"/>
    <n v="0"/>
    <x v="1"/>
    <n v="1"/>
    <n v="39780"/>
    <n v="1"/>
    <m/>
    <m/>
  </r>
  <r>
    <n v="33"/>
    <s v="No"/>
    <s v="Travel_Frequently"/>
    <n v="1146"/>
    <s v="Sales"/>
    <n v="25"/>
    <n v="3"/>
    <s v="Medical"/>
    <n v="1"/>
    <n v="1220"/>
    <n v="2"/>
    <s v="Female"/>
    <n v="82"/>
    <n v="3"/>
    <n v="2"/>
    <s v="Sales Executive"/>
    <n v="3"/>
    <s v="Married"/>
    <n v="4539"/>
    <n v="4905"/>
    <n v="1"/>
    <s v="Y"/>
    <s v="No"/>
    <n v="12"/>
    <n v="3"/>
    <n v="1"/>
    <n v="80"/>
    <n v="1"/>
    <n v="10"/>
    <n v="3"/>
    <n v="2"/>
    <n v="10"/>
    <n v="7"/>
    <n v="0"/>
    <n v="1"/>
    <x v="0"/>
    <n v="0"/>
    <n v="0"/>
    <n v="1"/>
    <m/>
    <m/>
  </r>
  <r>
    <n v="36"/>
    <s v="No"/>
    <s v="Travel_Rarely"/>
    <n v="917"/>
    <s v="Research &amp; Development"/>
    <n v="6"/>
    <n v="4"/>
    <s v="Life Sciences"/>
    <n v="1"/>
    <n v="1221"/>
    <n v="3"/>
    <s v="Male"/>
    <n v="60"/>
    <n v="1"/>
    <n v="1"/>
    <s v="Laboratory Technician"/>
    <n v="3"/>
    <s v="Divorced"/>
    <n v="2741"/>
    <n v="6865"/>
    <n v="1"/>
    <s v="Y"/>
    <s v="No"/>
    <n v="14"/>
    <n v="3"/>
    <n v="3"/>
    <n v="80"/>
    <n v="1"/>
    <n v="7"/>
    <n v="4"/>
    <n v="3"/>
    <n v="7"/>
    <n v="7"/>
    <n v="1"/>
    <n v="7"/>
    <x v="1"/>
    <n v="0"/>
    <n v="0"/>
    <n v="1"/>
    <m/>
    <m/>
  </r>
  <r>
    <n v="30"/>
    <s v="No"/>
    <s v="Travel_Rarely"/>
    <n v="853"/>
    <s v="Research &amp; Development"/>
    <n v="7"/>
    <n v="4"/>
    <s v="Life Sciences"/>
    <n v="1"/>
    <n v="1224"/>
    <n v="3"/>
    <s v="Male"/>
    <n v="49"/>
    <n v="3"/>
    <n v="2"/>
    <s v="Laboratory Technician"/>
    <n v="3"/>
    <s v="Divorced"/>
    <n v="3491"/>
    <n v="11309"/>
    <n v="1"/>
    <s v="Y"/>
    <s v="No"/>
    <n v="13"/>
    <n v="3"/>
    <n v="1"/>
    <n v="80"/>
    <n v="3"/>
    <n v="10"/>
    <n v="4"/>
    <n v="2"/>
    <n v="10"/>
    <n v="7"/>
    <n v="8"/>
    <n v="9"/>
    <x v="1"/>
    <n v="0"/>
    <n v="0"/>
    <n v="1"/>
    <m/>
    <m/>
  </r>
  <r>
    <n v="44"/>
    <s v="No"/>
    <s v="Travel_Rarely"/>
    <n v="200"/>
    <s v="Research &amp; Development"/>
    <n v="29"/>
    <n v="4"/>
    <s v="Other"/>
    <n v="1"/>
    <n v="1225"/>
    <n v="4"/>
    <s v="Male"/>
    <n v="32"/>
    <n v="3"/>
    <n v="2"/>
    <s v="Research Scientist"/>
    <n v="4"/>
    <s v="Single"/>
    <n v="4541"/>
    <n v="7744"/>
    <n v="1"/>
    <s v="Y"/>
    <s v="No"/>
    <n v="25"/>
    <n v="4"/>
    <n v="2"/>
    <n v="80"/>
    <n v="0"/>
    <n v="20"/>
    <n v="3"/>
    <n v="3"/>
    <n v="20"/>
    <n v="11"/>
    <n v="13"/>
    <n v="17"/>
    <x v="1"/>
    <n v="0"/>
    <n v="0"/>
    <n v="1"/>
    <m/>
    <m/>
  </r>
  <r>
    <n v="20"/>
    <s v="No"/>
    <s v="Travel_Rarely"/>
    <n v="654"/>
    <s v="Sales"/>
    <n v="21"/>
    <n v="3"/>
    <s v="Marketing"/>
    <n v="1"/>
    <n v="1226"/>
    <n v="3"/>
    <s v="Male"/>
    <n v="43"/>
    <n v="4"/>
    <n v="1"/>
    <s v="Sales Representative"/>
    <n v="4"/>
    <s v="Single"/>
    <n v="2678"/>
    <n v="5050"/>
    <n v="1"/>
    <s v="Y"/>
    <s v="No"/>
    <n v="17"/>
    <n v="3"/>
    <n v="4"/>
    <n v="80"/>
    <n v="0"/>
    <n v="2"/>
    <n v="2"/>
    <n v="3"/>
    <n v="2"/>
    <n v="1"/>
    <n v="2"/>
    <n v="2"/>
    <x v="0"/>
    <n v="0"/>
    <n v="0"/>
    <n v="1"/>
    <m/>
    <m/>
  </r>
  <r>
    <n v="46"/>
    <s v="No"/>
    <s v="Travel_Rarely"/>
    <n v="150"/>
    <s v="Research &amp; Development"/>
    <n v="2"/>
    <n v="4"/>
    <s v="Technical Degree"/>
    <n v="1"/>
    <n v="1228"/>
    <n v="4"/>
    <s v="Male"/>
    <n v="60"/>
    <n v="3"/>
    <n v="2"/>
    <s v="Manufacturing Director"/>
    <n v="4"/>
    <s v="Divorced"/>
    <n v="7379"/>
    <n v="17433"/>
    <n v="2"/>
    <s v="Y"/>
    <s v="No"/>
    <n v="11"/>
    <n v="3"/>
    <n v="3"/>
    <n v="80"/>
    <n v="1"/>
    <n v="12"/>
    <n v="3"/>
    <n v="2"/>
    <n v="6"/>
    <n v="3"/>
    <n v="1"/>
    <n v="4"/>
    <x v="2"/>
    <n v="0"/>
    <n v="0"/>
    <n v="1"/>
    <m/>
    <m/>
  </r>
  <r>
    <n v="42"/>
    <s v="No"/>
    <s v="Non-Travel"/>
    <n v="179"/>
    <s v="Human Resources"/>
    <n v="2"/>
    <n v="5"/>
    <s v="Medical"/>
    <n v="1"/>
    <n v="1231"/>
    <n v="4"/>
    <s v="Male"/>
    <n v="79"/>
    <n v="4"/>
    <n v="2"/>
    <s v="Human Resources"/>
    <n v="1"/>
    <s v="Married"/>
    <n v="6272"/>
    <n v="12858"/>
    <n v="7"/>
    <s v="Y"/>
    <s v="No"/>
    <n v="16"/>
    <n v="3"/>
    <n v="1"/>
    <n v="80"/>
    <n v="1"/>
    <n v="10"/>
    <n v="3"/>
    <n v="4"/>
    <n v="4"/>
    <n v="3"/>
    <n v="0"/>
    <n v="3"/>
    <x v="5"/>
    <n v="0"/>
    <n v="0"/>
    <n v="1"/>
    <m/>
    <m/>
  </r>
  <r>
    <n v="60"/>
    <s v="No"/>
    <s v="Travel_Rarely"/>
    <n v="696"/>
    <s v="Sales"/>
    <n v="7"/>
    <n v="4"/>
    <s v="Marketing"/>
    <n v="1"/>
    <n v="1233"/>
    <n v="2"/>
    <s v="Male"/>
    <n v="52"/>
    <n v="4"/>
    <n v="2"/>
    <s v="Sales Executive"/>
    <n v="4"/>
    <s v="Divorced"/>
    <n v="5220"/>
    <n v="10893"/>
    <n v="0"/>
    <s v="Y"/>
    <s v="Yes"/>
    <n v="18"/>
    <n v="3"/>
    <n v="2"/>
    <n v="80"/>
    <n v="1"/>
    <n v="12"/>
    <n v="3"/>
    <n v="3"/>
    <n v="11"/>
    <n v="7"/>
    <n v="1"/>
    <n v="9"/>
    <x v="0"/>
    <n v="0"/>
    <n v="0"/>
    <n v="1"/>
    <m/>
    <m/>
  </r>
  <r>
    <n v="32"/>
    <s v="No"/>
    <s v="Travel_Frequently"/>
    <n v="116"/>
    <s v="Research &amp; Development"/>
    <n v="13"/>
    <n v="3"/>
    <s v="Other"/>
    <n v="1"/>
    <n v="1234"/>
    <n v="3"/>
    <s v="Female"/>
    <n v="77"/>
    <n v="2"/>
    <n v="1"/>
    <s v="Laboratory Technician"/>
    <n v="2"/>
    <s v="Married"/>
    <n v="2743"/>
    <n v="7331"/>
    <n v="1"/>
    <s v="Y"/>
    <s v="No"/>
    <n v="20"/>
    <n v="4"/>
    <n v="3"/>
    <n v="80"/>
    <n v="1"/>
    <n v="2"/>
    <n v="2"/>
    <n v="3"/>
    <n v="2"/>
    <n v="2"/>
    <n v="2"/>
    <n v="2"/>
    <x v="1"/>
    <n v="0"/>
    <n v="0"/>
    <n v="1"/>
    <m/>
    <m/>
  </r>
  <r>
    <n v="32"/>
    <s v="No"/>
    <s v="Travel_Frequently"/>
    <n v="1316"/>
    <s v="Research &amp; Development"/>
    <n v="2"/>
    <n v="2"/>
    <s v="Life Sciences"/>
    <n v="1"/>
    <n v="1235"/>
    <n v="4"/>
    <s v="Female"/>
    <n v="38"/>
    <n v="3"/>
    <n v="2"/>
    <s v="Research Scientist"/>
    <n v="3"/>
    <s v="Single"/>
    <n v="4998"/>
    <n v="2338"/>
    <n v="4"/>
    <s v="Y"/>
    <s v="Yes"/>
    <n v="14"/>
    <n v="3"/>
    <n v="4"/>
    <n v="80"/>
    <n v="0"/>
    <n v="10"/>
    <n v="2"/>
    <n v="3"/>
    <n v="8"/>
    <n v="7"/>
    <n v="0"/>
    <n v="7"/>
    <x v="1"/>
    <n v="0"/>
    <n v="0"/>
    <n v="1"/>
    <m/>
    <m/>
  </r>
  <r>
    <n v="36"/>
    <s v="No"/>
    <s v="Travel_Rarely"/>
    <n v="363"/>
    <s v="Research &amp; Development"/>
    <n v="1"/>
    <n v="3"/>
    <s v="Technical Degree"/>
    <n v="1"/>
    <n v="1237"/>
    <n v="3"/>
    <s v="Female"/>
    <n v="77"/>
    <n v="1"/>
    <n v="3"/>
    <s v="Manufacturing Director"/>
    <n v="1"/>
    <s v="Divorced"/>
    <n v="10252"/>
    <n v="4235"/>
    <n v="2"/>
    <s v="Y"/>
    <s v="Yes"/>
    <n v="21"/>
    <n v="4"/>
    <n v="3"/>
    <n v="80"/>
    <n v="1"/>
    <n v="17"/>
    <n v="2"/>
    <n v="3"/>
    <n v="7"/>
    <n v="7"/>
    <n v="7"/>
    <n v="7"/>
    <x v="2"/>
    <n v="0"/>
    <n v="0"/>
    <n v="1"/>
    <m/>
    <m/>
  </r>
  <r>
    <n v="33"/>
    <s v="No"/>
    <s v="Travel_Rarely"/>
    <n v="117"/>
    <s v="Research &amp; Development"/>
    <n v="9"/>
    <n v="3"/>
    <s v="Medical"/>
    <n v="1"/>
    <n v="1238"/>
    <n v="1"/>
    <s v="Male"/>
    <n v="60"/>
    <n v="3"/>
    <n v="1"/>
    <s v="Research Scientist"/>
    <n v="4"/>
    <s v="Married"/>
    <n v="2781"/>
    <n v="6311"/>
    <n v="0"/>
    <s v="Y"/>
    <s v="No"/>
    <n v="13"/>
    <n v="3"/>
    <n v="2"/>
    <n v="80"/>
    <n v="1"/>
    <n v="15"/>
    <n v="5"/>
    <n v="3"/>
    <n v="14"/>
    <n v="10"/>
    <n v="4"/>
    <n v="10"/>
    <x v="1"/>
    <n v="0"/>
    <n v="0"/>
    <n v="1"/>
    <m/>
    <m/>
  </r>
  <r>
    <n v="40"/>
    <s v="No"/>
    <s v="Travel_Rarely"/>
    <n v="107"/>
    <s v="Sales"/>
    <n v="10"/>
    <n v="3"/>
    <s v="Technical Degree"/>
    <n v="1"/>
    <n v="1239"/>
    <n v="2"/>
    <s v="Female"/>
    <n v="84"/>
    <n v="2"/>
    <n v="2"/>
    <s v="Sales Executive"/>
    <n v="2"/>
    <s v="Divorced"/>
    <n v="6852"/>
    <n v="11591"/>
    <n v="7"/>
    <s v="Y"/>
    <s v="No"/>
    <n v="12"/>
    <n v="3"/>
    <n v="2"/>
    <n v="80"/>
    <n v="1"/>
    <n v="7"/>
    <n v="2"/>
    <n v="4"/>
    <n v="5"/>
    <n v="1"/>
    <n v="1"/>
    <n v="3"/>
    <x v="0"/>
    <n v="0"/>
    <n v="0"/>
    <n v="1"/>
    <m/>
    <m/>
  </r>
  <r>
    <n v="25"/>
    <s v="No"/>
    <s v="Travel_Rarely"/>
    <n v="1356"/>
    <s v="Sales"/>
    <n v="10"/>
    <n v="4"/>
    <s v="Life Sciences"/>
    <n v="1"/>
    <n v="1240"/>
    <n v="3"/>
    <s v="Male"/>
    <n v="57"/>
    <n v="3"/>
    <n v="2"/>
    <s v="Sales Executive"/>
    <n v="4"/>
    <s v="Single"/>
    <n v="4950"/>
    <n v="20623"/>
    <n v="0"/>
    <s v="Y"/>
    <s v="No"/>
    <n v="14"/>
    <n v="3"/>
    <n v="2"/>
    <n v="80"/>
    <n v="0"/>
    <n v="5"/>
    <n v="4"/>
    <n v="3"/>
    <n v="4"/>
    <n v="3"/>
    <n v="1"/>
    <n v="1"/>
    <x v="0"/>
    <n v="0"/>
    <n v="0"/>
    <n v="1"/>
    <m/>
    <m/>
  </r>
  <r>
    <n v="30"/>
    <s v="No"/>
    <s v="Travel_Rarely"/>
    <n v="1465"/>
    <s v="Research &amp; Development"/>
    <n v="1"/>
    <n v="3"/>
    <s v="Medical"/>
    <n v="1"/>
    <n v="1241"/>
    <n v="4"/>
    <s v="Male"/>
    <n v="63"/>
    <n v="3"/>
    <n v="1"/>
    <s v="Research Scientist"/>
    <n v="2"/>
    <s v="Married"/>
    <n v="3579"/>
    <n v="9369"/>
    <n v="0"/>
    <s v="Y"/>
    <s v="Yes"/>
    <n v="21"/>
    <n v="4"/>
    <n v="1"/>
    <n v="80"/>
    <n v="1"/>
    <n v="12"/>
    <n v="2"/>
    <n v="3"/>
    <n v="11"/>
    <n v="9"/>
    <n v="5"/>
    <n v="7"/>
    <x v="1"/>
    <n v="0"/>
    <n v="0"/>
    <n v="1"/>
    <m/>
    <m/>
  </r>
  <r>
    <n v="42"/>
    <s v="No"/>
    <s v="Travel_Frequently"/>
    <n v="458"/>
    <s v="Research &amp; Development"/>
    <n v="26"/>
    <n v="5"/>
    <s v="Medical"/>
    <n v="1"/>
    <n v="1242"/>
    <n v="1"/>
    <s v="Female"/>
    <n v="60"/>
    <n v="3"/>
    <n v="3"/>
    <s v="Research Director"/>
    <n v="1"/>
    <s v="Married"/>
    <n v="13191"/>
    <n v="23281"/>
    <n v="3"/>
    <s v="Y"/>
    <s v="Yes"/>
    <n v="17"/>
    <n v="3"/>
    <n v="3"/>
    <n v="80"/>
    <n v="0"/>
    <n v="20"/>
    <n v="6"/>
    <n v="3"/>
    <n v="1"/>
    <n v="0"/>
    <n v="0"/>
    <n v="0"/>
    <x v="1"/>
    <n v="0"/>
    <n v="0"/>
    <n v="1"/>
    <m/>
    <m/>
  </r>
  <r>
    <n v="35"/>
    <s v="No"/>
    <s v="Non-Travel"/>
    <n v="1212"/>
    <s v="Sales"/>
    <n v="8"/>
    <n v="2"/>
    <s v="Marketing"/>
    <n v="1"/>
    <n v="1243"/>
    <n v="3"/>
    <s v="Female"/>
    <n v="78"/>
    <n v="2"/>
    <n v="3"/>
    <s v="Sales Executive"/>
    <n v="4"/>
    <s v="Married"/>
    <n v="10377"/>
    <n v="13755"/>
    <n v="4"/>
    <s v="Y"/>
    <s v="Yes"/>
    <n v="11"/>
    <n v="3"/>
    <n v="2"/>
    <n v="80"/>
    <n v="1"/>
    <n v="16"/>
    <n v="6"/>
    <n v="2"/>
    <n v="13"/>
    <n v="2"/>
    <n v="4"/>
    <n v="12"/>
    <x v="0"/>
    <n v="0"/>
    <n v="0"/>
    <n v="1"/>
    <m/>
    <m/>
  </r>
  <r>
    <n v="27"/>
    <s v="No"/>
    <s v="Travel_Rarely"/>
    <n v="1103"/>
    <s v="Research &amp; Development"/>
    <n v="14"/>
    <n v="3"/>
    <s v="Life Sciences"/>
    <n v="1"/>
    <n v="1244"/>
    <n v="1"/>
    <s v="Male"/>
    <n v="42"/>
    <n v="3"/>
    <n v="1"/>
    <s v="Research Scientist"/>
    <n v="1"/>
    <s v="Married"/>
    <n v="2235"/>
    <n v="14377"/>
    <n v="1"/>
    <s v="Y"/>
    <s v="Yes"/>
    <n v="14"/>
    <n v="3"/>
    <n v="4"/>
    <n v="80"/>
    <n v="2"/>
    <n v="9"/>
    <n v="3"/>
    <n v="2"/>
    <n v="9"/>
    <n v="7"/>
    <n v="6"/>
    <n v="8"/>
    <x v="1"/>
    <n v="0"/>
    <n v="0"/>
    <n v="1"/>
    <m/>
    <m/>
  </r>
  <r>
    <n v="54"/>
    <s v="No"/>
    <s v="Travel_Frequently"/>
    <n v="966"/>
    <s v="Research &amp; Development"/>
    <n v="1"/>
    <n v="4"/>
    <s v="Life Sciences"/>
    <n v="1"/>
    <n v="1245"/>
    <n v="4"/>
    <s v="Female"/>
    <n v="53"/>
    <n v="3"/>
    <n v="3"/>
    <s v="Manufacturing Director"/>
    <n v="3"/>
    <s v="Divorced"/>
    <n v="10502"/>
    <n v="9659"/>
    <n v="7"/>
    <s v="Y"/>
    <s v="No"/>
    <n v="17"/>
    <n v="3"/>
    <n v="1"/>
    <n v="80"/>
    <n v="1"/>
    <n v="33"/>
    <n v="2"/>
    <n v="1"/>
    <n v="5"/>
    <n v="4"/>
    <n v="1"/>
    <n v="4"/>
    <x v="2"/>
    <n v="0"/>
    <n v="0"/>
    <n v="1"/>
    <m/>
    <m/>
  </r>
  <r>
    <n v="44"/>
    <s v="No"/>
    <s v="Travel_Rarely"/>
    <n v="1117"/>
    <s v="Research &amp; Development"/>
    <n v="2"/>
    <n v="1"/>
    <s v="Life Sciences"/>
    <n v="1"/>
    <n v="1246"/>
    <n v="1"/>
    <s v="Female"/>
    <n v="72"/>
    <n v="4"/>
    <n v="1"/>
    <s v="Research Scientist"/>
    <n v="4"/>
    <s v="Married"/>
    <n v="2011"/>
    <n v="19982"/>
    <n v="1"/>
    <s v="Y"/>
    <s v="No"/>
    <n v="13"/>
    <n v="3"/>
    <n v="4"/>
    <n v="80"/>
    <n v="1"/>
    <n v="10"/>
    <n v="5"/>
    <n v="3"/>
    <n v="10"/>
    <n v="5"/>
    <n v="7"/>
    <n v="7"/>
    <x v="1"/>
    <n v="0"/>
    <n v="0"/>
    <n v="1"/>
    <m/>
    <m/>
  </r>
  <r>
    <n v="19"/>
    <s v="Yes"/>
    <s v="Non-Travel"/>
    <n v="504"/>
    <s v="Research &amp; Development"/>
    <n v="10"/>
    <n v="3"/>
    <s v="Medical"/>
    <n v="1"/>
    <n v="1248"/>
    <n v="1"/>
    <s v="Female"/>
    <n v="96"/>
    <n v="2"/>
    <n v="1"/>
    <s v="Research Scientist"/>
    <n v="2"/>
    <s v="Single"/>
    <n v="1859"/>
    <n v="6148"/>
    <n v="1"/>
    <s v="Y"/>
    <s v="Yes"/>
    <n v="25"/>
    <n v="4"/>
    <n v="2"/>
    <n v="80"/>
    <n v="0"/>
    <n v="1"/>
    <n v="2"/>
    <n v="4"/>
    <n v="1"/>
    <n v="1"/>
    <n v="0"/>
    <n v="0"/>
    <x v="1"/>
    <n v="1"/>
    <n v="33462"/>
    <n v="1"/>
    <m/>
    <m/>
  </r>
  <r>
    <n v="29"/>
    <s v="No"/>
    <s v="Travel_Rarely"/>
    <n v="1010"/>
    <s v="Research &amp; Development"/>
    <n v="1"/>
    <n v="3"/>
    <s v="Life Sciences"/>
    <n v="1"/>
    <n v="1249"/>
    <n v="1"/>
    <s v="Female"/>
    <n v="97"/>
    <n v="3"/>
    <n v="1"/>
    <s v="Research Scientist"/>
    <n v="4"/>
    <s v="Divorced"/>
    <n v="3760"/>
    <n v="5598"/>
    <n v="1"/>
    <s v="Y"/>
    <s v="No"/>
    <n v="15"/>
    <n v="3"/>
    <n v="1"/>
    <n v="80"/>
    <n v="3"/>
    <n v="3"/>
    <n v="5"/>
    <n v="3"/>
    <n v="3"/>
    <n v="2"/>
    <n v="1"/>
    <n v="2"/>
    <x v="1"/>
    <n v="0"/>
    <n v="0"/>
    <n v="1"/>
    <m/>
    <m/>
  </r>
  <r>
    <n v="54"/>
    <s v="No"/>
    <s v="Travel_Rarely"/>
    <n v="685"/>
    <s v="Research &amp; Development"/>
    <n v="3"/>
    <n v="3"/>
    <s v="Life Sciences"/>
    <n v="1"/>
    <n v="1250"/>
    <n v="4"/>
    <s v="Male"/>
    <n v="85"/>
    <n v="3"/>
    <n v="4"/>
    <s v="Research Director"/>
    <n v="4"/>
    <s v="Married"/>
    <n v="17779"/>
    <n v="23474"/>
    <n v="3"/>
    <s v="Y"/>
    <s v="No"/>
    <n v="14"/>
    <n v="3"/>
    <n v="1"/>
    <n v="80"/>
    <n v="0"/>
    <n v="36"/>
    <n v="2"/>
    <n v="3"/>
    <n v="10"/>
    <n v="9"/>
    <n v="0"/>
    <n v="9"/>
    <x v="1"/>
    <n v="0"/>
    <n v="0"/>
    <n v="1"/>
    <m/>
    <m/>
  </r>
  <r>
    <n v="31"/>
    <s v="No"/>
    <s v="Travel_Rarely"/>
    <n v="1332"/>
    <s v="Research &amp; Development"/>
    <n v="11"/>
    <n v="2"/>
    <s v="Medical"/>
    <n v="1"/>
    <n v="1251"/>
    <n v="3"/>
    <s v="Male"/>
    <n v="80"/>
    <n v="3"/>
    <n v="2"/>
    <s v="Healthcare Representative"/>
    <n v="1"/>
    <s v="Married"/>
    <n v="6833"/>
    <n v="17089"/>
    <n v="1"/>
    <s v="Y"/>
    <s v="Yes"/>
    <n v="12"/>
    <n v="3"/>
    <n v="4"/>
    <n v="80"/>
    <n v="0"/>
    <n v="6"/>
    <n v="2"/>
    <n v="2"/>
    <n v="6"/>
    <n v="5"/>
    <n v="0"/>
    <n v="1"/>
    <x v="3"/>
    <n v="0"/>
    <n v="0"/>
    <n v="1"/>
    <m/>
    <m/>
  </r>
  <r>
    <n v="31"/>
    <s v="No"/>
    <s v="Travel_Rarely"/>
    <n v="1062"/>
    <s v="Research &amp; Development"/>
    <n v="24"/>
    <n v="3"/>
    <s v="Medical"/>
    <n v="1"/>
    <n v="1252"/>
    <n v="3"/>
    <s v="Female"/>
    <n v="96"/>
    <n v="2"/>
    <n v="2"/>
    <s v="Healthcare Representative"/>
    <n v="1"/>
    <s v="Single"/>
    <n v="6812"/>
    <n v="17198"/>
    <n v="1"/>
    <s v="Y"/>
    <s v="No"/>
    <n v="19"/>
    <n v="3"/>
    <n v="2"/>
    <n v="80"/>
    <n v="0"/>
    <n v="10"/>
    <n v="2"/>
    <n v="3"/>
    <n v="10"/>
    <n v="9"/>
    <n v="1"/>
    <n v="8"/>
    <x v="3"/>
    <n v="0"/>
    <n v="0"/>
    <n v="1"/>
    <m/>
    <m/>
  </r>
  <r>
    <n v="59"/>
    <s v="No"/>
    <s v="Travel_Rarely"/>
    <n v="326"/>
    <s v="Sales"/>
    <n v="3"/>
    <n v="3"/>
    <s v="Life Sciences"/>
    <n v="1"/>
    <n v="1254"/>
    <n v="3"/>
    <s v="Female"/>
    <n v="48"/>
    <n v="2"/>
    <n v="2"/>
    <s v="Sales Executive"/>
    <n v="4"/>
    <s v="Single"/>
    <n v="5171"/>
    <n v="16490"/>
    <n v="5"/>
    <s v="Y"/>
    <s v="No"/>
    <n v="17"/>
    <n v="3"/>
    <n v="4"/>
    <n v="80"/>
    <n v="0"/>
    <n v="13"/>
    <n v="2"/>
    <n v="3"/>
    <n v="6"/>
    <n v="1"/>
    <n v="0"/>
    <n v="5"/>
    <x v="0"/>
    <n v="0"/>
    <n v="0"/>
    <n v="1"/>
    <m/>
    <m/>
  </r>
  <r>
    <n v="43"/>
    <s v="No"/>
    <s v="Travel_Rarely"/>
    <n v="920"/>
    <s v="Research &amp; Development"/>
    <n v="3"/>
    <n v="3"/>
    <s v="Life Sciences"/>
    <n v="1"/>
    <n v="1255"/>
    <n v="3"/>
    <s v="Male"/>
    <n v="96"/>
    <n v="1"/>
    <n v="5"/>
    <s v="Research Director"/>
    <n v="4"/>
    <s v="Married"/>
    <n v="19740"/>
    <n v="18625"/>
    <n v="3"/>
    <s v="Y"/>
    <s v="No"/>
    <n v="14"/>
    <n v="3"/>
    <n v="2"/>
    <n v="80"/>
    <n v="1"/>
    <n v="25"/>
    <n v="2"/>
    <n v="3"/>
    <n v="8"/>
    <n v="7"/>
    <n v="0"/>
    <n v="7"/>
    <x v="1"/>
    <n v="0"/>
    <n v="0"/>
    <n v="1"/>
    <m/>
    <m/>
  </r>
  <r>
    <n v="49"/>
    <s v="No"/>
    <s v="Travel_Rarely"/>
    <n v="1098"/>
    <s v="Research &amp; Development"/>
    <n v="4"/>
    <n v="2"/>
    <s v="Medical"/>
    <n v="1"/>
    <n v="1256"/>
    <n v="1"/>
    <s v="Male"/>
    <n v="85"/>
    <n v="2"/>
    <n v="5"/>
    <s v="Manager"/>
    <n v="3"/>
    <s v="Married"/>
    <n v="18711"/>
    <n v="12124"/>
    <n v="2"/>
    <s v="Y"/>
    <s v="No"/>
    <n v="13"/>
    <n v="3"/>
    <n v="3"/>
    <n v="80"/>
    <n v="1"/>
    <n v="23"/>
    <n v="2"/>
    <n v="4"/>
    <n v="1"/>
    <n v="0"/>
    <n v="0"/>
    <n v="0"/>
    <x v="4"/>
    <n v="0"/>
    <n v="0"/>
    <n v="1"/>
    <m/>
    <m/>
  </r>
  <r>
    <n v="36"/>
    <s v="No"/>
    <s v="Travel_Frequently"/>
    <n v="469"/>
    <s v="Research &amp; Development"/>
    <n v="3"/>
    <n v="3"/>
    <s v="Technical Degree"/>
    <n v="1"/>
    <n v="1257"/>
    <n v="3"/>
    <s v="Male"/>
    <n v="46"/>
    <n v="3"/>
    <n v="1"/>
    <s v="Research Scientist"/>
    <n v="2"/>
    <s v="Married"/>
    <n v="3692"/>
    <n v="9256"/>
    <n v="1"/>
    <s v="Y"/>
    <s v="No"/>
    <n v="12"/>
    <n v="3"/>
    <n v="3"/>
    <n v="80"/>
    <n v="0"/>
    <n v="12"/>
    <n v="2"/>
    <n v="2"/>
    <n v="11"/>
    <n v="10"/>
    <n v="0"/>
    <n v="7"/>
    <x v="1"/>
    <n v="0"/>
    <n v="0"/>
    <n v="1"/>
    <m/>
    <m/>
  </r>
  <r>
    <n v="48"/>
    <s v="No"/>
    <s v="Travel_Rarely"/>
    <n v="969"/>
    <s v="Research &amp; Development"/>
    <n v="2"/>
    <n v="2"/>
    <s v="Technical Degree"/>
    <n v="1"/>
    <n v="1258"/>
    <n v="4"/>
    <s v="Male"/>
    <n v="76"/>
    <n v="4"/>
    <n v="1"/>
    <s v="Laboratory Technician"/>
    <n v="2"/>
    <s v="Single"/>
    <n v="2559"/>
    <n v="16620"/>
    <n v="5"/>
    <s v="Y"/>
    <s v="No"/>
    <n v="11"/>
    <n v="3"/>
    <n v="3"/>
    <n v="80"/>
    <n v="0"/>
    <n v="7"/>
    <n v="4"/>
    <n v="2"/>
    <n v="1"/>
    <n v="0"/>
    <n v="0"/>
    <n v="0"/>
    <x v="1"/>
    <n v="0"/>
    <n v="0"/>
    <n v="1"/>
    <m/>
    <m/>
  </r>
  <r>
    <n v="27"/>
    <s v="No"/>
    <s v="Travel_Rarely"/>
    <n v="1167"/>
    <s v="Research &amp; Development"/>
    <n v="4"/>
    <n v="2"/>
    <s v="Life Sciences"/>
    <n v="1"/>
    <n v="1259"/>
    <n v="1"/>
    <s v="Male"/>
    <n v="76"/>
    <n v="3"/>
    <n v="1"/>
    <s v="Research Scientist"/>
    <n v="3"/>
    <s v="Divorced"/>
    <n v="2517"/>
    <n v="3208"/>
    <n v="1"/>
    <s v="Y"/>
    <s v="No"/>
    <n v="11"/>
    <n v="3"/>
    <n v="2"/>
    <n v="80"/>
    <n v="3"/>
    <n v="5"/>
    <n v="2"/>
    <n v="3"/>
    <n v="5"/>
    <n v="3"/>
    <n v="0"/>
    <n v="3"/>
    <x v="1"/>
    <n v="0"/>
    <n v="0"/>
    <n v="1"/>
    <m/>
    <m/>
  </r>
  <r>
    <n v="29"/>
    <s v="No"/>
    <s v="Travel_Rarely"/>
    <n v="1329"/>
    <s v="Research &amp; Development"/>
    <n v="7"/>
    <n v="3"/>
    <s v="Life Sciences"/>
    <n v="1"/>
    <n v="1260"/>
    <n v="3"/>
    <s v="Male"/>
    <n v="82"/>
    <n v="3"/>
    <n v="2"/>
    <s v="Healthcare Representative"/>
    <n v="4"/>
    <s v="Divorced"/>
    <n v="6623"/>
    <n v="4204"/>
    <n v="1"/>
    <s v="Y"/>
    <s v="Yes"/>
    <n v="11"/>
    <n v="3"/>
    <n v="2"/>
    <n v="80"/>
    <n v="2"/>
    <n v="6"/>
    <n v="2"/>
    <n v="3"/>
    <n v="6"/>
    <n v="0"/>
    <n v="1"/>
    <n v="0"/>
    <x v="3"/>
    <n v="0"/>
    <n v="0"/>
    <n v="1"/>
    <m/>
    <m/>
  </r>
  <r>
    <n v="48"/>
    <s v="No"/>
    <s v="Travel_Rarely"/>
    <n v="715"/>
    <s v="Research &amp; Development"/>
    <n v="1"/>
    <n v="3"/>
    <s v="Life Sciences"/>
    <n v="1"/>
    <n v="1263"/>
    <n v="4"/>
    <s v="Male"/>
    <n v="76"/>
    <n v="2"/>
    <n v="5"/>
    <s v="Research Director"/>
    <n v="4"/>
    <s v="Single"/>
    <n v="18265"/>
    <n v="8733"/>
    <n v="6"/>
    <s v="Y"/>
    <s v="No"/>
    <n v="12"/>
    <n v="3"/>
    <n v="3"/>
    <n v="80"/>
    <n v="0"/>
    <n v="25"/>
    <n v="3"/>
    <n v="4"/>
    <n v="1"/>
    <n v="0"/>
    <n v="0"/>
    <n v="0"/>
    <x v="1"/>
    <n v="0"/>
    <n v="0"/>
    <n v="1"/>
    <m/>
    <m/>
  </r>
  <r>
    <n v="29"/>
    <s v="No"/>
    <s v="Travel_Rarely"/>
    <n v="694"/>
    <s v="Research &amp; Development"/>
    <n v="1"/>
    <n v="3"/>
    <s v="Life Sciences"/>
    <n v="1"/>
    <n v="1264"/>
    <n v="4"/>
    <s v="Female"/>
    <n v="87"/>
    <n v="2"/>
    <n v="4"/>
    <s v="Research Director"/>
    <n v="4"/>
    <s v="Divorced"/>
    <n v="16124"/>
    <n v="3423"/>
    <n v="3"/>
    <s v="Y"/>
    <s v="No"/>
    <n v="14"/>
    <n v="3"/>
    <n v="2"/>
    <n v="80"/>
    <n v="2"/>
    <n v="9"/>
    <n v="2"/>
    <n v="2"/>
    <n v="7"/>
    <n v="7"/>
    <n v="1"/>
    <n v="7"/>
    <x v="1"/>
    <n v="0"/>
    <n v="0"/>
    <n v="1"/>
    <m/>
    <m/>
  </r>
  <r>
    <n v="34"/>
    <s v="No"/>
    <s v="Travel_Rarely"/>
    <n v="1320"/>
    <s v="Research &amp; Development"/>
    <n v="20"/>
    <n v="3"/>
    <s v="Technical Degree"/>
    <n v="1"/>
    <n v="1265"/>
    <n v="3"/>
    <s v="Female"/>
    <n v="89"/>
    <n v="4"/>
    <n v="1"/>
    <s v="Research Scientist"/>
    <n v="3"/>
    <s v="Married"/>
    <n v="2585"/>
    <n v="21643"/>
    <n v="0"/>
    <s v="Y"/>
    <s v="No"/>
    <n v="17"/>
    <n v="3"/>
    <n v="4"/>
    <n v="80"/>
    <n v="0"/>
    <n v="2"/>
    <n v="5"/>
    <n v="2"/>
    <n v="1"/>
    <n v="0"/>
    <n v="0"/>
    <n v="0"/>
    <x v="1"/>
    <n v="0"/>
    <n v="0"/>
    <n v="1"/>
    <m/>
    <m/>
  </r>
  <r>
    <n v="44"/>
    <s v="No"/>
    <s v="Travel_Rarely"/>
    <n v="1099"/>
    <s v="Sales"/>
    <n v="5"/>
    <n v="3"/>
    <s v="Marketing"/>
    <n v="1"/>
    <n v="1267"/>
    <n v="2"/>
    <s v="Male"/>
    <n v="88"/>
    <n v="3"/>
    <n v="5"/>
    <s v="Manager"/>
    <n v="2"/>
    <s v="Married"/>
    <n v="18213"/>
    <n v="8751"/>
    <n v="7"/>
    <s v="Y"/>
    <s v="No"/>
    <n v="11"/>
    <n v="3"/>
    <n v="3"/>
    <n v="80"/>
    <n v="1"/>
    <n v="26"/>
    <n v="5"/>
    <n v="3"/>
    <n v="22"/>
    <n v="9"/>
    <n v="3"/>
    <n v="10"/>
    <x v="4"/>
    <n v="0"/>
    <n v="0"/>
    <n v="1"/>
    <m/>
    <m/>
  </r>
  <r>
    <n v="33"/>
    <s v="No"/>
    <s v="Travel_Rarely"/>
    <n v="536"/>
    <s v="Sales"/>
    <n v="10"/>
    <n v="5"/>
    <s v="Marketing"/>
    <n v="1"/>
    <n v="1268"/>
    <n v="4"/>
    <s v="Male"/>
    <n v="82"/>
    <n v="4"/>
    <n v="3"/>
    <s v="Sales Executive"/>
    <n v="3"/>
    <s v="Divorced"/>
    <n v="8380"/>
    <n v="21708"/>
    <n v="0"/>
    <s v="Y"/>
    <s v="Yes"/>
    <n v="14"/>
    <n v="3"/>
    <n v="4"/>
    <n v="80"/>
    <n v="2"/>
    <n v="10"/>
    <n v="3"/>
    <n v="3"/>
    <n v="9"/>
    <n v="8"/>
    <n v="0"/>
    <n v="8"/>
    <x v="0"/>
    <n v="0"/>
    <n v="0"/>
    <n v="1"/>
    <m/>
    <m/>
  </r>
  <r>
    <n v="19"/>
    <s v="No"/>
    <s v="Travel_Rarely"/>
    <n v="265"/>
    <s v="Research &amp; Development"/>
    <n v="25"/>
    <n v="3"/>
    <s v="Life Sciences"/>
    <n v="1"/>
    <n v="1269"/>
    <n v="2"/>
    <s v="Female"/>
    <n v="57"/>
    <n v="4"/>
    <n v="1"/>
    <s v="Research Scientist"/>
    <n v="4"/>
    <s v="Single"/>
    <n v="2994"/>
    <n v="21221"/>
    <n v="1"/>
    <s v="Y"/>
    <s v="Yes"/>
    <n v="12"/>
    <n v="3"/>
    <n v="4"/>
    <n v="80"/>
    <n v="0"/>
    <n v="1"/>
    <n v="2"/>
    <n v="3"/>
    <n v="1"/>
    <n v="0"/>
    <n v="0"/>
    <n v="1"/>
    <x v="1"/>
    <n v="0"/>
    <n v="0"/>
    <n v="1"/>
    <m/>
    <m/>
  </r>
  <r>
    <n v="23"/>
    <s v="No"/>
    <s v="Travel_Rarely"/>
    <n v="373"/>
    <s v="Research &amp; Development"/>
    <n v="1"/>
    <n v="2"/>
    <s v="Life Sciences"/>
    <n v="1"/>
    <n v="1270"/>
    <n v="4"/>
    <s v="Male"/>
    <n v="47"/>
    <n v="3"/>
    <n v="1"/>
    <s v="Research Scientist"/>
    <n v="3"/>
    <s v="Married"/>
    <n v="1223"/>
    <n v="16901"/>
    <n v="1"/>
    <s v="Y"/>
    <s v="No"/>
    <n v="22"/>
    <n v="4"/>
    <n v="4"/>
    <n v="80"/>
    <n v="1"/>
    <n v="1"/>
    <n v="2"/>
    <n v="3"/>
    <n v="1"/>
    <n v="0"/>
    <n v="0"/>
    <n v="1"/>
    <x v="1"/>
    <n v="0"/>
    <n v="0"/>
    <n v="1"/>
    <m/>
    <m/>
  </r>
  <r>
    <n v="25"/>
    <s v="Yes"/>
    <s v="Travel_Frequently"/>
    <n v="599"/>
    <s v="Sales"/>
    <n v="24"/>
    <n v="1"/>
    <s v="Life Sciences"/>
    <n v="1"/>
    <n v="1273"/>
    <n v="3"/>
    <s v="Male"/>
    <n v="73"/>
    <n v="1"/>
    <n v="1"/>
    <s v="Sales Representative"/>
    <n v="4"/>
    <s v="Single"/>
    <n v="1118"/>
    <n v="8040"/>
    <n v="1"/>
    <s v="Y"/>
    <s v="Yes"/>
    <n v="14"/>
    <n v="3"/>
    <n v="4"/>
    <n v="80"/>
    <n v="0"/>
    <n v="1"/>
    <n v="4"/>
    <n v="3"/>
    <n v="1"/>
    <n v="0"/>
    <n v="1"/>
    <n v="0"/>
    <x v="0"/>
    <n v="1"/>
    <n v="20124"/>
    <n v="1"/>
    <m/>
    <m/>
  </r>
  <r>
    <n v="26"/>
    <s v="No"/>
    <s v="Travel_Rarely"/>
    <n v="583"/>
    <s v="Research &amp; Development"/>
    <n v="4"/>
    <n v="2"/>
    <s v="Life Sciences"/>
    <n v="1"/>
    <n v="1275"/>
    <n v="3"/>
    <s v="Male"/>
    <n v="53"/>
    <n v="3"/>
    <n v="1"/>
    <s v="Research Scientist"/>
    <n v="4"/>
    <s v="Single"/>
    <n v="2875"/>
    <n v="9973"/>
    <n v="1"/>
    <s v="Y"/>
    <s v="Yes"/>
    <n v="20"/>
    <n v="4"/>
    <n v="2"/>
    <n v="80"/>
    <n v="0"/>
    <n v="8"/>
    <n v="2"/>
    <n v="2"/>
    <n v="8"/>
    <n v="5"/>
    <n v="2"/>
    <n v="2"/>
    <x v="1"/>
    <n v="0"/>
    <n v="0"/>
    <n v="1"/>
    <m/>
    <m/>
  </r>
  <r>
    <n v="45"/>
    <s v="Yes"/>
    <s v="Travel_Rarely"/>
    <n v="1449"/>
    <s v="Sales"/>
    <n v="2"/>
    <n v="3"/>
    <s v="Marketing"/>
    <n v="1"/>
    <n v="1277"/>
    <n v="1"/>
    <s v="Female"/>
    <n v="94"/>
    <n v="1"/>
    <n v="5"/>
    <s v="Manager"/>
    <n v="2"/>
    <s v="Single"/>
    <n v="18824"/>
    <n v="2493"/>
    <n v="2"/>
    <s v="Y"/>
    <s v="Yes"/>
    <n v="16"/>
    <n v="3"/>
    <n v="1"/>
    <n v="80"/>
    <n v="0"/>
    <n v="26"/>
    <n v="2"/>
    <n v="3"/>
    <n v="24"/>
    <n v="10"/>
    <n v="1"/>
    <n v="11"/>
    <x v="4"/>
    <n v="1"/>
    <n v="338832"/>
    <n v="1"/>
    <m/>
    <m/>
  </r>
  <r>
    <n v="55"/>
    <s v="No"/>
    <s v="Non-Travel"/>
    <n v="177"/>
    <s v="Research &amp; Development"/>
    <n v="8"/>
    <n v="1"/>
    <s v="Medical"/>
    <n v="1"/>
    <n v="1278"/>
    <n v="4"/>
    <s v="Male"/>
    <n v="37"/>
    <n v="2"/>
    <n v="4"/>
    <s v="Healthcare Representative"/>
    <n v="2"/>
    <s v="Divorced"/>
    <n v="13577"/>
    <n v="25592"/>
    <n v="1"/>
    <s v="Y"/>
    <s v="Yes"/>
    <n v="15"/>
    <n v="3"/>
    <n v="4"/>
    <n v="80"/>
    <n v="1"/>
    <n v="34"/>
    <n v="3"/>
    <n v="3"/>
    <n v="33"/>
    <n v="9"/>
    <n v="15"/>
    <n v="0"/>
    <x v="3"/>
    <n v="0"/>
    <n v="0"/>
    <n v="1"/>
    <m/>
    <m/>
  </r>
  <r>
    <n v="21"/>
    <s v="Yes"/>
    <s v="Travel_Frequently"/>
    <n v="251"/>
    <s v="Research &amp; Development"/>
    <n v="10"/>
    <n v="2"/>
    <s v="Life Sciences"/>
    <n v="1"/>
    <n v="1279"/>
    <n v="1"/>
    <s v="Female"/>
    <n v="45"/>
    <n v="2"/>
    <n v="1"/>
    <s v="Laboratory Technician"/>
    <n v="3"/>
    <s v="Single"/>
    <n v="2625"/>
    <n v="25308"/>
    <n v="1"/>
    <s v="Y"/>
    <s v="No"/>
    <n v="20"/>
    <n v="4"/>
    <n v="3"/>
    <n v="80"/>
    <n v="0"/>
    <n v="2"/>
    <n v="2"/>
    <n v="1"/>
    <n v="2"/>
    <n v="2"/>
    <n v="2"/>
    <n v="2"/>
    <x v="1"/>
    <n v="1"/>
    <n v="47250"/>
    <n v="1"/>
    <m/>
    <m/>
  </r>
  <r>
    <n v="46"/>
    <s v="No"/>
    <s v="Travel_Rarely"/>
    <n v="168"/>
    <s v="Sales"/>
    <n v="4"/>
    <n v="2"/>
    <s v="Marketing"/>
    <n v="1"/>
    <n v="1280"/>
    <n v="4"/>
    <s v="Female"/>
    <n v="33"/>
    <n v="2"/>
    <n v="5"/>
    <s v="Manager"/>
    <n v="2"/>
    <s v="Married"/>
    <n v="18789"/>
    <n v="9946"/>
    <n v="2"/>
    <s v="Y"/>
    <s v="No"/>
    <n v="14"/>
    <n v="3"/>
    <n v="3"/>
    <n v="80"/>
    <n v="1"/>
    <n v="26"/>
    <n v="2"/>
    <n v="3"/>
    <n v="11"/>
    <n v="4"/>
    <n v="0"/>
    <n v="8"/>
    <x v="4"/>
    <n v="0"/>
    <n v="0"/>
    <n v="1"/>
    <m/>
    <m/>
  </r>
  <r>
    <n v="34"/>
    <s v="No"/>
    <s v="Travel_Rarely"/>
    <n v="131"/>
    <s v="Sales"/>
    <n v="2"/>
    <n v="3"/>
    <s v="Marketing"/>
    <n v="1"/>
    <n v="1281"/>
    <n v="3"/>
    <s v="Female"/>
    <n v="86"/>
    <n v="3"/>
    <n v="2"/>
    <s v="Sales Executive"/>
    <n v="1"/>
    <s v="Single"/>
    <n v="4538"/>
    <n v="6039"/>
    <n v="0"/>
    <s v="Y"/>
    <s v="Yes"/>
    <n v="12"/>
    <n v="3"/>
    <n v="4"/>
    <n v="80"/>
    <n v="0"/>
    <n v="4"/>
    <n v="3"/>
    <n v="3"/>
    <n v="3"/>
    <n v="2"/>
    <n v="0"/>
    <n v="2"/>
    <x v="0"/>
    <n v="0"/>
    <n v="0"/>
    <n v="1"/>
    <m/>
    <m/>
  </r>
  <r>
    <n v="51"/>
    <s v="No"/>
    <s v="Travel_Frequently"/>
    <n v="237"/>
    <s v="Sales"/>
    <n v="9"/>
    <n v="3"/>
    <s v="Life Sciences"/>
    <n v="1"/>
    <n v="1282"/>
    <n v="4"/>
    <s v="Male"/>
    <n v="83"/>
    <n v="3"/>
    <n v="5"/>
    <s v="Manager"/>
    <n v="2"/>
    <s v="Divorced"/>
    <n v="19847"/>
    <n v="19196"/>
    <n v="4"/>
    <s v="Y"/>
    <s v="Yes"/>
    <n v="24"/>
    <n v="4"/>
    <n v="1"/>
    <n v="80"/>
    <n v="1"/>
    <n v="31"/>
    <n v="5"/>
    <n v="2"/>
    <n v="29"/>
    <n v="10"/>
    <n v="11"/>
    <n v="10"/>
    <x v="4"/>
    <n v="0"/>
    <n v="0"/>
    <n v="1"/>
    <m/>
    <m/>
  </r>
  <r>
    <n v="59"/>
    <s v="No"/>
    <s v="Travel_Rarely"/>
    <n v="1429"/>
    <s v="Research &amp; Development"/>
    <n v="18"/>
    <n v="4"/>
    <s v="Medical"/>
    <n v="1"/>
    <n v="1283"/>
    <n v="4"/>
    <s v="Male"/>
    <n v="67"/>
    <n v="3"/>
    <n v="3"/>
    <s v="Manufacturing Director"/>
    <n v="4"/>
    <s v="Single"/>
    <n v="10512"/>
    <n v="20002"/>
    <n v="6"/>
    <s v="Y"/>
    <s v="No"/>
    <n v="12"/>
    <n v="3"/>
    <n v="4"/>
    <n v="80"/>
    <n v="0"/>
    <n v="25"/>
    <n v="6"/>
    <n v="2"/>
    <n v="9"/>
    <n v="7"/>
    <n v="5"/>
    <n v="4"/>
    <x v="2"/>
    <n v="0"/>
    <n v="0"/>
    <n v="1"/>
    <m/>
    <m/>
  </r>
  <r>
    <n v="34"/>
    <s v="No"/>
    <s v="Travel_Frequently"/>
    <n v="135"/>
    <s v="Research &amp; Development"/>
    <n v="19"/>
    <n v="3"/>
    <s v="Medical"/>
    <n v="1"/>
    <n v="1285"/>
    <n v="3"/>
    <s v="Female"/>
    <n v="46"/>
    <n v="3"/>
    <n v="2"/>
    <s v="Laboratory Technician"/>
    <n v="2"/>
    <s v="Divorced"/>
    <n v="4444"/>
    <n v="22534"/>
    <n v="4"/>
    <s v="Y"/>
    <s v="No"/>
    <n v="13"/>
    <n v="3"/>
    <n v="3"/>
    <n v="80"/>
    <n v="2"/>
    <n v="15"/>
    <n v="2"/>
    <n v="4"/>
    <n v="11"/>
    <n v="8"/>
    <n v="5"/>
    <n v="10"/>
    <x v="1"/>
    <n v="0"/>
    <n v="0"/>
    <n v="1"/>
    <m/>
    <m/>
  </r>
  <r>
    <n v="28"/>
    <s v="No"/>
    <s v="Travel_Frequently"/>
    <n v="791"/>
    <s v="Research &amp; Development"/>
    <n v="1"/>
    <n v="4"/>
    <s v="Medical"/>
    <n v="1"/>
    <n v="1286"/>
    <n v="4"/>
    <s v="Male"/>
    <n v="44"/>
    <n v="3"/>
    <n v="1"/>
    <s v="Laboratory Technician"/>
    <n v="3"/>
    <s v="Single"/>
    <n v="2154"/>
    <n v="6842"/>
    <n v="0"/>
    <s v="Y"/>
    <s v="Yes"/>
    <n v="11"/>
    <n v="3"/>
    <n v="3"/>
    <n v="80"/>
    <n v="0"/>
    <n v="5"/>
    <n v="2"/>
    <n v="2"/>
    <n v="4"/>
    <n v="2"/>
    <n v="0"/>
    <n v="2"/>
    <x v="1"/>
    <n v="0"/>
    <n v="0"/>
    <n v="1"/>
    <m/>
    <m/>
  </r>
  <r>
    <n v="44"/>
    <s v="No"/>
    <s v="Travel_Rarely"/>
    <n v="1199"/>
    <s v="Research &amp; Development"/>
    <n v="4"/>
    <n v="2"/>
    <s v="Life Sciences"/>
    <n v="1"/>
    <n v="1288"/>
    <n v="3"/>
    <s v="Male"/>
    <n v="92"/>
    <n v="4"/>
    <n v="5"/>
    <s v="Manager"/>
    <n v="1"/>
    <s v="Divorced"/>
    <n v="19190"/>
    <n v="17477"/>
    <n v="1"/>
    <s v="Y"/>
    <s v="No"/>
    <n v="14"/>
    <n v="3"/>
    <n v="4"/>
    <n v="80"/>
    <n v="2"/>
    <n v="26"/>
    <n v="4"/>
    <n v="2"/>
    <n v="25"/>
    <n v="9"/>
    <n v="14"/>
    <n v="13"/>
    <x v="4"/>
    <n v="0"/>
    <n v="0"/>
    <n v="1"/>
    <m/>
    <m/>
  </r>
  <r>
    <n v="34"/>
    <s v="No"/>
    <s v="Travel_Frequently"/>
    <n v="648"/>
    <s v="Human Resources"/>
    <n v="11"/>
    <n v="3"/>
    <s v="Life Sciences"/>
    <n v="1"/>
    <n v="1289"/>
    <n v="3"/>
    <s v="Male"/>
    <n v="56"/>
    <n v="2"/>
    <n v="2"/>
    <s v="Human Resources"/>
    <n v="2"/>
    <s v="Married"/>
    <n v="4490"/>
    <n v="21833"/>
    <n v="4"/>
    <s v="Y"/>
    <s v="No"/>
    <n v="11"/>
    <n v="3"/>
    <n v="4"/>
    <n v="80"/>
    <n v="2"/>
    <n v="14"/>
    <n v="5"/>
    <n v="4"/>
    <n v="10"/>
    <n v="9"/>
    <n v="1"/>
    <n v="8"/>
    <x v="5"/>
    <n v="0"/>
    <n v="0"/>
    <n v="1"/>
    <m/>
    <m/>
  </r>
  <r>
    <n v="35"/>
    <s v="No"/>
    <s v="Travel_Rarely"/>
    <n v="735"/>
    <s v="Research &amp; Development"/>
    <n v="6"/>
    <n v="1"/>
    <s v="Life Sciences"/>
    <n v="1"/>
    <n v="1291"/>
    <n v="3"/>
    <s v="Male"/>
    <n v="66"/>
    <n v="3"/>
    <n v="1"/>
    <s v="Research Scientist"/>
    <n v="3"/>
    <s v="Married"/>
    <n v="3506"/>
    <n v="6020"/>
    <n v="0"/>
    <s v="Y"/>
    <s v="Yes"/>
    <n v="14"/>
    <n v="3"/>
    <n v="4"/>
    <n v="80"/>
    <n v="0"/>
    <n v="4"/>
    <n v="3"/>
    <n v="3"/>
    <n v="3"/>
    <n v="2"/>
    <n v="2"/>
    <n v="2"/>
    <x v="1"/>
    <n v="0"/>
    <n v="0"/>
    <n v="1"/>
    <m/>
    <m/>
  </r>
  <r>
    <n v="42"/>
    <s v="No"/>
    <s v="Travel_Rarely"/>
    <n v="603"/>
    <s v="Research &amp; Development"/>
    <n v="7"/>
    <n v="4"/>
    <s v="Medical"/>
    <n v="1"/>
    <n v="1292"/>
    <n v="2"/>
    <s v="Female"/>
    <n v="78"/>
    <n v="4"/>
    <n v="2"/>
    <s v="Research Scientist"/>
    <n v="2"/>
    <s v="Married"/>
    <n v="2372"/>
    <n v="5628"/>
    <n v="6"/>
    <s v="Y"/>
    <s v="Yes"/>
    <n v="16"/>
    <n v="3"/>
    <n v="4"/>
    <n v="80"/>
    <n v="0"/>
    <n v="18"/>
    <n v="2"/>
    <n v="3"/>
    <n v="1"/>
    <n v="0"/>
    <n v="0"/>
    <n v="0"/>
    <x v="1"/>
    <n v="0"/>
    <n v="0"/>
    <n v="1"/>
    <m/>
    <m/>
  </r>
  <r>
    <n v="43"/>
    <s v="No"/>
    <s v="Travel_Rarely"/>
    <n v="531"/>
    <s v="Sales"/>
    <n v="4"/>
    <n v="4"/>
    <s v="Marketing"/>
    <n v="1"/>
    <n v="1293"/>
    <n v="4"/>
    <s v="Female"/>
    <n v="56"/>
    <n v="2"/>
    <n v="3"/>
    <s v="Sales Executive"/>
    <n v="4"/>
    <s v="Single"/>
    <n v="10231"/>
    <n v="20364"/>
    <n v="3"/>
    <s v="Y"/>
    <s v="No"/>
    <n v="14"/>
    <n v="3"/>
    <n v="4"/>
    <n v="80"/>
    <n v="0"/>
    <n v="23"/>
    <n v="3"/>
    <n v="4"/>
    <n v="21"/>
    <n v="7"/>
    <n v="15"/>
    <n v="17"/>
    <x v="0"/>
    <n v="0"/>
    <n v="0"/>
    <n v="1"/>
    <m/>
    <m/>
  </r>
  <r>
    <n v="36"/>
    <s v="No"/>
    <s v="Travel_Rarely"/>
    <n v="429"/>
    <s v="Research &amp; Development"/>
    <n v="2"/>
    <n v="4"/>
    <s v="Life Sciences"/>
    <n v="1"/>
    <n v="1294"/>
    <n v="3"/>
    <s v="Female"/>
    <n v="53"/>
    <n v="3"/>
    <n v="2"/>
    <s v="Manufacturing Director"/>
    <n v="2"/>
    <s v="Single"/>
    <n v="5410"/>
    <n v="2323"/>
    <n v="9"/>
    <s v="Y"/>
    <s v="Yes"/>
    <n v="11"/>
    <n v="3"/>
    <n v="4"/>
    <n v="80"/>
    <n v="0"/>
    <n v="18"/>
    <n v="2"/>
    <n v="3"/>
    <n v="16"/>
    <n v="14"/>
    <n v="5"/>
    <n v="12"/>
    <x v="2"/>
    <n v="0"/>
    <n v="0"/>
    <n v="1"/>
    <m/>
    <m/>
  </r>
  <r>
    <n v="44"/>
    <s v="Yes"/>
    <s v="Travel_Rarely"/>
    <n v="621"/>
    <s v="Research &amp; Development"/>
    <n v="15"/>
    <n v="3"/>
    <s v="Medical"/>
    <n v="1"/>
    <n v="1295"/>
    <n v="1"/>
    <s v="Female"/>
    <n v="73"/>
    <n v="3"/>
    <n v="3"/>
    <s v="Healthcare Representative"/>
    <n v="4"/>
    <s v="Married"/>
    <n v="7978"/>
    <n v="14075"/>
    <n v="1"/>
    <s v="Y"/>
    <s v="No"/>
    <n v="11"/>
    <n v="3"/>
    <n v="4"/>
    <n v="80"/>
    <n v="1"/>
    <n v="10"/>
    <n v="2"/>
    <n v="3"/>
    <n v="10"/>
    <n v="7"/>
    <n v="0"/>
    <n v="5"/>
    <x v="3"/>
    <n v="1"/>
    <n v="143604"/>
    <n v="1"/>
    <m/>
    <m/>
  </r>
  <r>
    <n v="28"/>
    <s v="No"/>
    <s v="Travel_Frequently"/>
    <n v="193"/>
    <s v="Research &amp; Development"/>
    <n v="2"/>
    <n v="3"/>
    <s v="Life Sciences"/>
    <n v="1"/>
    <n v="1296"/>
    <n v="4"/>
    <s v="Male"/>
    <n v="52"/>
    <n v="2"/>
    <n v="1"/>
    <s v="Laboratory Technician"/>
    <n v="4"/>
    <s v="Married"/>
    <n v="3867"/>
    <n v="14222"/>
    <n v="1"/>
    <s v="Y"/>
    <s v="Yes"/>
    <n v="12"/>
    <n v="3"/>
    <n v="2"/>
    <n v="80"/>
    <n v="1"/>
    <n v="2"/>
    <n v="2"/>
    <n v="3"/>
    <n v="2"/>
    <n v="2"/>
    <n v="2"/>
    <n v="2"/>
    <x v="1"/>
    <n v="0"/>
    <n v="0"/>
    <n v="1"/>
    <m/>
    <m/>
  </r>
  <r>
    <n v="51"/>
    <s v="No"/>
    <s v="Travel_Frequently"/>
    <n v="968"/>
    <s v="Research &amp; Development"/>
    <n v="6"/>
    <n v="2"/>
    <s v="Medical"/>
    <n v="1"/>
    <n v="1297"/>
    <n v="2"/>
    <s v="Female"/>
    <n v="40"/>
    <n v="2"/>
    <n v="1"/>
    <s v="Laboratory Technician"/>
    <n v="3"/>
    <s v="Single"/>
    <n v="2838"/>
    <n v="4257"/>
    <n v="0"/>
    <s v="Y"/>
    <s v="No"/>
    <n v="14"/>
    <n v="3"/>
    <n v="2"/>
    <n v="80"/>
    <n v="0"/>
    <n v="8"/>
    <n v="6"/>
    <n v="2"/>
    <n v="7"/>
    <n v="0"/>
    <n v="7"/>
    <n v="7"/>
    <x v="1"/>
    <n v="0"/>
    <n v="0"/>
    <n v="1"/>
    <m/>
    <m/>
  </r>
  <r>
    <n v="30"/>
    <s v="No"/>
    <s v="Non-Travel"/>
    <n v="879"/>
    <s v="Research &amp; Development"/>
    <n v="9"/>
    <n v="2"/>
    <s v="Medical"/>
    <n v="1"/>
    <n v="1298"/>
    <n v="3"/>
    <s v="Female"/>
    <n v="72"/>
    <n v="3"/>
    <n v="2"/>
    <s v="Manufacturing Director"/>
    <n v="3"/>
    <s v="Single"/>
    <n v="4695"/>
    <n v="12858"/>
    <n v="7"/>
    <s v="Y"/>
    <s v="Yes"/>
    <n v="18"/>
    <n v="3"/>
    <n v="3"/>
    <n v="80"/>
    <n v="0"/>
    <n v="10"/>
    <n v="3"/>
    <n v="3"/>
    <n v="8"/>
    <n v="4"/>
    <n v="1"/>
    <n v="7"/>
    <x v="2"/>
    <n v="0"/>
    <n v="0"/>
    <n v="1"/>
    <m/>
    <m/>
  </r>
  <r>
    <n v="29"/>
    <s v="Yes"/>
    <s v="Travel_Rarely"/>
    <n v="806"/>
    <s v="Research &amp; Development"/>
    <n v="7"/>
    <n v="3"/>
    <s v="Technical Degree"/>
    <n v="1"/>
    <n v="1299"/>
    <n v="2"/>
    <s v="Female"/>
    <n v="39"/>
    <n v="3"/>
    <n v="1"/>
    <s v="Laboratory Technician"/>
    <n v="3"/>
    <s v="Divorced"/>
    <n v="3339"/>
    <n v="17285"/>
    <n v="3"/>
    <s v="Y"/>
    <s v="Yes"/>
    <n v="13"/>
    <n v="3"/>
    <n v="1"/>
    <n v="80"/>
    <n v="2"/>
    <n v="10"/>
    <n v="2"/>
    <n v="3"/>
    <n v="7"/>
    <n v="7"/>
    <n v="7"/>
    <n v="7"/>
    <x v="1"/>
    <n v="1"/>
    <n v="60102"/>
    <n v="1"/>
    <m/>
    <m/>
  </r>
  <r>
    <n v="28"/>
    <s v="No"/>
    <s v="Travel_Rarely"/>
    <n v="640"/>
    <s v="Research &amp; Development"/>
    <n v="1"/>
    <n v="3"/>
    <s v="Technical Degree"/>
    <n v="1"/>
    <n v="1301"/>
    <n v="4"/>
    <s v="Male"/>
    <n v="84"/>
    <n v="3"/>
    <n v="1"/>
    <s v="Research Scientist"/>
    <n v="1"/>
    <s v="Single"/>
    <n v="2080"/>
    <n v="4732"/>
    <n v="2"/>
    <s v="Y"/>
    <s v="No"/>
    <n v="11"/>
    <n v="3"/>
    <n v="2"/>
    <n v="80"/>
    <n v="0"/>
    <n v="5"/>
    <n v="2"/>
    <n v="2"/>
    <n v="3"/>
    <n v="2"/>
    <n v="1"/>
    <n v="2"/>
    <x v="1"/>
    <n v="0"/>
    <n v="0"/>
    <n v="1"/>
    <m/>
    <m/>
  </r>
  <r>
    <n v="25"/>
    <s v="No"/>
    <s v="Travel_Rarely"/>
    <n v="266"/>
    <s v="Research &amp; Development"/>
    <n v="1"/>
    <n v="3"/>
    <s v="Medical"/>
    <n v="1"/>
    <n v="1303"/>
    <n v="4"/>
    <s v="Female"/>
    <n v="40"/>
    <n v="3"/>
    <n v="1"/>
    <s v="Research Scientist"/>
    <n v="2"/>
    <s v="Single"/>
    <n v="2096"/>
    <n v="18830"/>
    <n v="1"/>
    <s v="Y"/>
    <s v="No"/>
    <n v="18"/>
    <n v="3"/>
    <n v="4"/>
    <n v="80"/>
    <n v="0"/>
    <n v="2"/>
    <n v="3"/>
    <n v="2"/>
    <n v="2"/>
    <n v="2"/>
    <n v="2"/>
    <n v="1"/>
    <x v="1"/>
    <n v="0"/>
    <n v="0"/>
    <n v="1"/>
    <m/>
    <m/>
  </r>
  <r>
    <n v="32"/>
    <s v="No"/>
    <s v="Travel_Rarely"/>
    <n v="604"/>
    <s v="Sales"/>
    <n v="8"/>
    <n v="3"/>
    <s v="Medical"/>
    <n v="1"/>
    <n v="1304"/>
    <n v="3"/>
    <s v="Male"/>
    <n v="56"/>
    <n v="4"/>
    <n v="2"/>
    <s v="Sales Executive"/>
    <n v="4"/>
    <s v="Married"/>
    <n v="6209"/>
    <n v="11693"/>
    <n v="1"/>
    <s v="Y"/>
    <s v="No"/>
    <n v="15"/>
    <n v="3"/>
    <n v="3"/>
    <n v="80"/>
    <n v="2"/>
    <n v="10"/>
    <n v="4"/>
    <n v="4"/>
    <n v="10"/>
    <n v="7"/>
    <n v="0"/>
    <n v="8"/>
    <x v="0"/>
    <n v="0"/>
    <n v="0"/>
    <n v="1"/>
    <m/>
    <m/>
  </r>
  <r>
    <n v="45"/>
    <s v="No"/>
    <s v="Travel_Frequently"/>
    <n v="364"/>
    <s v="Research &amp; Development"/>
    <n v="25"/>
    <n v="3"/>
    <s v="Medical"/>
    <n v="1"/>
    <n v="1306"/>
    <n v="2"/>
    <s v="Female"/>
    <n v="83"/>
    <n v="3"/>
    <n v="5"/>
    <s v="Manager"/>
    <n v="2"/>
    <s v="Single"/>
    <n v="18061"/>
    <n v="13035"/>
    <n v="3"/>
    <s v="Y"/>
    <s v="No"/>
    <n v="22"/>
    <n v="4"/>
    <n v="3"/>
    <n v="80"/>
    <n v="0"/>
    <n v="22"/>
    <n v="4"/>
    <n v="3"/>
    <n v="0"/>
    <n v="0"/>
    <n v="0"/>
    <n v="0"/>
    <x v="4"/>
    <n v="0"/>
    <n v="0"/>
    <n v="1"/>
    <m/>
    <m/>
  </r>
  <r>
    <n v="39"/>
    <s v="No"/>
    <s v="Travel_Rarely"/>
    <n v="412"/>
    <s v="Research &amp; Development"/>
    <n v="13"/>
    <n v="4"/>
    <s v="Medical"/>
    <n v="1"/>
    <n v="1307"/>
    <n v="3"/>
    <s v="Female"/>
    <n v="94"/>
    <n v="2"/>
    <n v="4"/>
    <s v="Manager"/>
    <n v="2"/>
    <s v="Divorced"/>
    <n v="17123"/>
    <n v="17334"/>
    <n v="6"/>
    <s v="Y"/>
    <s v="Yes"/>
    <n v="13"/>
    <n v="3"/>
    <n v="4"/>
    <n v="80"/>
    <n v="2"/>
    <n v="21"/>
    <n v="4"/>
    <n v="3"/>
    <n v="19"/>
    <n v="9"/>
    <n v="15"/>
    <n v="2"/>
    <x v="4"/>
    <n v="0"/>
    <n v="0"/>
    <n v="1"/>
    <m/>
    <m/>
  </r>
  <r>
    <n v="58"/>
    <s v="No"/>
    <s v="Travel_Rarely"/>
    <n v="848"/>
    <s v="Research &amp; Development"/>
    <n v="23"/>
    <n v="4"/>
    <s v="Life Sciences"/>
    <n v="1"/>
    <n v="1308"/>
    <n v="1"/>
    <s v="Male"/>
    <n v="88"/>
    <n v="3"/>
    <n v="1"/>
    <s v="Research Scientist"/>
    <n v="3"/>
    <s v="Divorced"/>
    <n v="2372"/>
    <n v="26076"/>
    <n v="1"/>
    <s v="Y"/>
    <s v="No"/>
    <n v="12"/>
    <n v="3"/>
    <n v="4"/>
    <n v="80"/>
    <n v="2"/>
    <n v="2"/>
    <n v="3"/>
    <n v="3"/>
    <n v="2"/>
    <n v="2"/>
    <n v="2"/>
    <n v="2"/>
    <x v="1"/>
    <n v="0"/>
    <n v="0"/>
    <n v="1"/>
    <m/>
    <m/>
  </r>
  <r>
    <n v="32"/>
    <s v="Yes"/>
    <s v="Travel_Rarely"/>
    <n v="1089"/>
    <s v="Research &amp; Development"/>
    <n v="7"/>
    <n v="2"/>
    <s v="Life Sciences"/>
    <n v="1"/>
    <n v="1309"/>
    <n v="4"/>
    <s v="Male"/>
    <n v="79"/>
    <n v="3"/>
    <n v="2"/>
    <s v="Laboratory Technician"/>
    <n v="3"/>
    <s v="Married"/>
    <n v="4883"/>
    <n v="22845"/>
    <n v="1"/>
    <s v="Y"/>
    <s v="No"/>
    <n v="18"/>
    <n v="3"/>
    <n v="1"/>
    <n v="80"/>
    <n v="1"/>
    <n v="10"/>
    <n v="3"/>
    <n v="3"/>
    <n v="10"/>
    <n v="4"/>
    <n v="1"/>
    <n v="1"/>
    <x v="1"/>
    <n v="1"/>
    <n v="87894"/>
    <n v="1"/>
    <m/>
    <m/>
  </r>
  <r>
    <n v="39"/>
    <s v="Yes"/>
    <s v="Travel_Rarely"/>
    <n v="360"/>
    <s v="Research &amp; Development"/>
    <n v="23"/>
    <n v="3"/>
    <s v="Medical"/>
    <n v="1"/>
    <n v="1310"/>
    <n v="3"/>
    <s v="Male"/>
    <n v="93"/>
    <n v="3"/>
    <n v="1"/>
    <s v="Research Scientist"/>
    <n v="1"/>
    <s v="Single"/>
    <n v="3904"/>
    <n v="22154"/>
    <n v="0"/>
    <s v="Y"/>
    <s v="No"/>
    <n v="13"/>
    <n v="3"/>
    <n v="1"/>
    <n v="80"/>
    <n v="0"/>
    <n v="6"/>
    <n v="2"/>
    <n v="3"/>
    <n v="5"/>
    <n v="2"/>
    <n v="0"/>
    <n v="3"/>
    <x v="1"/>
    <n v="1"/>
    <n v="70272"/>
    <n v="1"/>
    <m/>
    <m/>
  </r>
  <r>
    <n v="30"/>
    <s v="No"/>
    <s v="Travel_Rarely"/>
    <n v="1138"/>
    <s v="Research &amp; Development"/>
    <n v="6"/>
    <n v="3"/>
    <s v="Technical Degree"/>
    <n v="1"/>
    <n v="1311"/>
    <n v="1"/>
    <s v="Female"/>
    <n v="48"/>
    <n v="2"/>
    <n v="2"/>
    <s v="Laboratory Technician"/>
    <n v="4"/>
    <s v="Married"/>
    <n v="4627"/>
    <n v="23631"/>
    <n v="0"/>
    <s v="Y"/>
    <s v="No"/>
    <n v="12"/>
    <n v="3"/>
    <n v="1"/>
    <n v="80"/>
    <n v="1"/>
    <n v="10"/>
    <n v="6"/>
    <n v="3"/>
    <n v="9"/>
    <n v="2"/>
    <n v="6"/>
    <n v="7"/>
    <x v="1"/>
    <n v="0"/>
    <n v="0"/>
    <n v="1"/>
    <m/>
    <m/>
  </r>
  <r>
    <n v="36"/>
    <s v="No"/>
    <s v="Travel_Rarely"/>
    <n v="325"/>
    <s v="Research &amp; Development"/>
    <n v="10"/>
    <n v="4"/>
    <s v="Technical Degree"/>
    <n v="1"/>
    <n v="1312"/>
    <n v="4"/>
    <s v="Female"/>
    <n v="63"/>
    <n v="3"/>
    <n v="3"/>
    <s v="Healthcare Representative"/>
    <n v="3"/>
    <s v="Married"/>
    <n v="7094"/>
    <n v="5747"/>
    <n v="3"/>
    <s v="Y"/>
    <s v="No"/>
    <n v="12"/>
    <n v="3"/>
    <n v="1"/>
    <n v="80"/>
    <n v="0"/>
    <n v="10"/>
    <n v="0"/>
    <n v="3"/>
    <n v="7"/>
    <n v="7"/>
    <n v="1"/>
    <n v="7"/>
    <x v="3"/>
    <n v="0"/>
    <n v="0"/>
    <n v="1"/>
    <m/>
    <m/>
  </r>
  <r>
    <n v="46"/>
    <s v="No"/>
    <s v="Travel_Rarely"/>
    <n v="991"/>
    <s v="Human Resources"/>
    <n v="1"/>
    <n v="2"/>
    <s v="Life Sciences"/>
    <n v="1"/>
    <n v="1314"/>
    <n v="4"/>
    <s v="Female"/>
    <n v="44"/>
    <n v="3"/>
    <n v="1"/>
    <s v="Human Resources"/>
    <n v="1"/>
    <s v="Single"/>
    <n v="3423"/>
    <n v="22957"/>
    <n v="6"/>
    <s v="Y"/>
    <s v="No"/>
    <n v="12"/>
    <n v="3"/>
    <n v="3"/>
    <n v="80"/>
    <n v="0"/>
    <n v="10"/>
    <n v="3"/>
    <n v="4"/>
    <n v="7"/>
    <n v="6"/>
    <n v="5"/>
    <n v="7"/>
    <x v="5"/>
    <n v="0"/>
    <n v="0"/>
    <n v="1"/>
    <m/>
    <m/>
  </r>
  <r>
    <n v="28"/>
    <s v="No"/>
    <s v="Non-Travel"/>
    <n v="1476"/>
    <s v="Research &amp; Development"/>
    <n v="1"/>
    <n v="3"/>
    <s v="Life Sciences"/>
    <n v="1"/>
    <n v="1315"/>
    <n v="3"/>
    <s v="Female"/>
    <n v="55"/>
    <n v="1"/>
    <n v="2"/>
    <s v="Laboratory Technician"/>
    <n v="4"/>
    <s v="Married"/>
    <n v="6674"/>
    <n v="16392"/>
    <n v="0"/>
    <s v="Y"/>
    <s v="No"/>
    <n v="11"/>
    <n v="3"/>
    <n v="1"/>
    <n v="80"/>
    <n v="3"/>
    <n v="10"/>
    <n v="6"/>
    <n v="3"/>
    <n v="9"/>
    <n v="8"/>
    <n v="7"/>
    <n v="5"/>
    <x v="1"/>
    <n v="0"/>
    <n v="0"/>
    <n v="1"/>
    <m/>
    <m/>
  </r>
  <r>
    <n v="50"/>
    <s v="No"/>
    <s v="Travel_Rarely"/>
    <n v="1322"/>
    <s v="Research &amp; Development"/>
    <n v="28"/>
    <n v="3"/>
    <s v="Life Sciences"/>
    <n v="1"/>
    <n v="1317"/>
    <n v="4"/>
    <s v="Female"/>
    <n v="43"/>
    <n v="3"/>
    <n v="4"/>
    <s v="Research Director"/>
    <n v="1"/>
    <s v="Married"/>
    <n v="16880"/>
    <n v="22422"/>
    <n v="4"/>
    <s v="Y"/>
    <s v="Yes"/>
    <n v="11"/>
    <n v="3"/>
    <n v="2"/>
    <n v="80"/>
    <n v="0"/>
    <n v="25"/>
    <n v="2"/>
    <n v="3"/>
    <n v="3"/>
    <n v="2"/>
    <n v="1"/>
    <n v="2"/>
    <x v="1"/>
    <n v="0"/>
    <n v="0"/>
    <n v="1"/>
    <m/>
    <m/>
  </r>
  <r>
    <n v="40"/>
    <s v="Yes"/>
    <s v="Travel_Rarely"/>
    <n v="299"/>
    <s v="Sales"/>
    <n v="25"/>
    <n v="4"/>
    <s v="Marketing"/>
    <n v="1"/>
    <n v="1318"/>
    <n v="4"/>
    <s v="Male"/>
    <n v="57"/>
    <n v="2"/>
    <n v="3"/>
    <s v="Sales Executive"/>
    <n v="2"/>
    <s v="Single"/>
    <n v="9094"/>
    <n v="17235"/>
    <n v="2"/>
    <s v="Y"/>
    <s v="Yes"/>
    <n v="12"/>
    <n v="3"/>
    <n v="3"/>
    <n v="80"/>
    <n v="0"/>
    <n v="9"/>
    <n v="2"/>
    <n v="3"/>
    <n v="5"/>
    <n v="4"/>
    <n v="1"/>
    <n v="0"/>
    <x v="0"/>
    <n v="1"/>
    <n v="163692"/>
    <n v="1"/>
    <m/>
    <m/>
  </r>
  <r>
    <n v="52"/>
    <s v="Yes"/>
    <s v="Travel_Rarely"/>
    <n v="1030"/>
    <s v="Sales"/>
    <n v="5"/>
    <n v="3"/>
    <s v="Life Sciences"/>
    <n v="1"/>
    <n v="1319"/>
    <n v="2"/>
    <s v="Male"/>
    <n v="64"/>
    <n v="3"/>
    <n v="3"/>
    <s v="Sales Executive"/>
    <n v="2"/>
    <s v="Single"/>
    <n v="8446"/>
    <n v="21534"/>
    <n v="9"/>
    <s v="Y"/>
    <s v="Yes"/>
    <n v="19"/>
    <n v="3"/>
    <n v="3"/>
    <n v="80"/>
    <n v="0"/>
    <n v="10"/>
    <n v="2"/>
    <n v="2"/>
    <n v="8"/>
    <n v="7"/>
    <n v="7"/>
    <n v="7"/>
    <x v="0"/>
    <n v="1"/>
    <n v="152028"/>
    <n v="1"/>
    <m/>
    <m/>
  </r>
  <r>
    <n v="30"/>
    <s v="No"/>
    <s v="Travel_Rarely"/>
    <n v="634"/>
    <s v="Research &amp; Development"/>
    <n v="17"/>
    <n v="4"/>
    <s v="Medical"/>
    <n v="1"/>
    <n v="1321"/>
    <n v="2"/>
    <s v="Female"/>
    <n v="95"/>
    <n v="3"/>
    <n v="3"/>
    <s v="Manager"/>
    <n v="1"/>
    <s v="Married"/>
    <n v="11916"/>
    <n v="25927"/>
    <n v="1"/>
    <s v="Y"/>
    <s v="Yes"/>
    <n v="23"/>
    <n v="4"/>
    <n v="4"/>
    <n v="80"/>
    <n v="2"/>
    <n v="9"/>
    <n v="2"/>
    <n v="3"/>
    <n v="9"/>
    <n v="1"/>
    <n v="0"/>
    <n v="8"/>
    <x v="4"/>
    <n v="0"/>
    <n v="0"/>
    <n v="1"/>
    <m/>
    <m/>
  </r>
  <r>
    <n v="39"/>
    <s v="No"/>
    <s v="Travel_Rarely"/>
    <n v="524"/>
    <s v="Research &amp; Development"/>
    <n v="18"/>
    <n v="2"/>
    <s v="Life Sciences"/>
    <n v="1"/>
    <n v="1322"/>
    <n v="1"/>
    <s v="Male"/>
    <n v="32"/>
    <n v="3"/>
    <n v="2"/>
    <s v="Manufacturing Director"/>
    <n v="3"/>
    <s v="Single"/>
    <n v="4534"/>
    <n v="13352"/>
    <n v="0"/>
    <s v="Y"/>
    <s v="No"/>
    <n v="11"/>
    <n v="3"/>
    <n v="1"/>
    <n v="80"/>
    <n v="0"/>
    <n v="9"/>
    <n v="6"/>
    <n v="3"/>
    <n v="8"/>
    <n v="7"/>
    <n v="1"/>
    <n v="7"/>
    <x v="2"/>
    <n v="0"/>
    <n v="0"/>
    <n v="1"/>
    <m/>
    <m/>
  </r>
  <r>
    <n v="31"/>
    <s v="No"/>
    <s v="Non-Travel"/>
    <n v="587"/>
    <s v="Sales"/>
    <n v="2"/>
    <n v="4"/>
    <s v="Life Sciences"/>
    <n v="1"/>
    <n v="1324"/>
    <n v="4"/>
    <s v="Female"/>
    <n v="57"/>
    <n v="3"/>
    <n v="3"/>
    <s v="Sales Executive"/>
    <n v="3"/>
    <s v="Divorced"/>
    <n v="9852"/>
    <n v="8935"/>
    <n v="1"/>
    <s v="Y"/>
    <s v="Yes"/>
    <n v="19"/>
    <n v="3"/>
    <n v="1"/>
    <n v="80"/>
    <n v="1"/>
    <n v="10"/>
    <n v="5"/>
    <n v="2"/>
    <n v="10"/>
    <n v="8"/>
    <n v="9"/>
    <n v="6"/>
    <x v="0"/>
    <n v="0"/>
    <n v="0"/>
    <n v="1"/>
    <m/>
    <m/>
  </r>
  <r>
    <n v="41"/>
    <s v="No"/>
    <s v="Non-Travel"/>
    <n v="256"/>
    <s v="Sales"/>
    <n v="10"/>
    <n v="2"/>
    <s v="Medical"/>
    <n v="1"/>
    <n v="1329"/>
    <n v="3"/>
    <s v="Male"/>
    <n v="40"/>
    <n v="1"/>
    <n v="2"/>
    <s v="Sales Executive"/>
    <n v="2"/>
    <s v="Single"/>
    <n v="6151"/>
    <n v="22074"/>
    <n v="1"/>
    <s v="Y"/>
    <s v="No"/>
    <n v="13"/>
    <n v="3"/>
    <n v="1"/>
    <n v="80"/>
    <n v="0"/>
    <n v="19"/>
    <n v="4"/>
    <n v="3"/>
    <n v="19"/>
    <n v="2"/>
    <n v="11"/>
    <n v="9"/>
    <x v="0"/>
    <n v="0"/>
    <n v="0"/>
    <n v="1"/>
    <m/>
    <m/>
  </r>
  <r>
    <n v="31"/>
    <s v="Yes"/>
    <s v="Travel_Frequently"/>
    <n v="1060"/>
    <s v="Sales"/>
    <n v="1"/>
    <n v="3"/>
    <s v="Life Sciences"/>
    <n v="1"/>
    <n v="1331"/>
    <n v="4"/>
    <s v="Female"/>
    <n v="54"/>
    <n v="3"/>
    <n v="1"/>
    <s v="Sales Representative"/>
    <n v="2"/>
    <s v="Single"/>
    <n v="2302"/>
    <n v="8319"/>
    <n v="1"/>
    <s v="Y"/>
    <s v="Yes"/>
    <n v="11"/>
    <n v="3"/>
    <n v="1"/>
    <n v="80"/>
    <n v="0"/>
    <n v="3"/>
    <n v="2"/>
    <n v="4"/>
    <n v="3"/>
    <n v="2"/>
    <n v="2"/>
    <n v="2"/>
    <x v="0"/>
    <n v="1"/>
    <n v="41436"/>
    <n v="1"/>
    <m/>
    <m/>
  </r>
  <r>
    <n v="44"/>
    <s v="Yes"/>
    <s v="Travel_Rarely"/>
    <n v="935"/>
    <s v="Research &amp; Development"/>
    <n v="3"/>
    <n v="3"/>
    <s v="Life Sciences"/>
    <n v="1"/>
    <n v="1333"/>
    <n v="1"/>
    <s v="Male"/>
    <n v="89"/>
    <n v="3"/>
    <n v="1"/>
    <s v="Laboratory Technician"/>
    <n v="1"/>
    <s v="Married"/>
    <n v="2362"/>
    <n v="14669"/>
    <n v="4"/>
    <s v="Y"/>
    <s v="No"/>
    <n v="12"/>
    <n v="3"/>
    <n v="3"/>
    <n v="80"/>
    <n v="0"/>
    <n v="10"/>
    <n v="4"/>
    <n v="4"/>
    <n v="3"/>
    <n v="2"/>
    <n v="1"/>
    <n v="2"/>
    <x v="1"/>
    <n v="1"/>
    <n v="42516"/>
    <n v="1"/>
    <m/>
    <m/>
  </r>
  <r>
    <n v="42"/>
    <s v="No"/>
    <s v="Non-Travel"/>
    <n v="495"/>
    <s v="Research &amp; Development"/>
    <n v="2"/>
    <n v="1"/>
    <s v="Life Sciences"/>
    <n v="1"/>
    <n v="1334"/>
    <n v="3"/>
    <s v="Male"/>
    <n v="37"/>
    <n v="3"/>
    <n v="4"/>
    <s v="Manager"/>
    <n v="3"/>
    <s v="Married"/>
    <n v="17861"/>
    <n v="26582"/>
    <n v="0"/>
    <s v="Y"/>
    <s v="Yes"/>
    <n v="13"/>
    <n v="3"/>
    <n v="4"/>
    <n v="80"/>
    <n v="0"/>
    <n v="21"/>
    <n v="3"/>
    <n v="2"/>
    <n v="20"/>
    <n v="8"/>
    <n v="2"/>
    <n v="10"/>
    <x v="4"/>
    <n v="0"/>
    <n v="0"/>
    <n v="1"/>
    <m/>
    <m/>
  </r>
  <r>
    <n v="55"/>
    <s v="No"/>
    <s v="Travel_Rarely"/>
    <n v="282"/>
    <s v="Research &amp; Development"/>
    <n v="2"/>
    <n v="2"/>
    <s v="Medical"/>
    <n v="1"/>
    <n v="1336"/>
    <n v="4"/>
    <s v="Female"/>
    <n v="58"/>
    <n v="1"/>
    <n v="5"/>
    <s v="Manager"/>
    <n v="3"/>
    <s v="Married"/>
    <n v="19187"/>
    <n v="6992"/>
    <n v="4"/>
    <s v="Y"/>
    <s v="No"/>
    <n v="14"/>
    <n v="3"/>
    <n v="4"/>
    <n v="80"/>
    <n v="1"/>
    <n v="23"/>
    <n v="5"/>
    <n v="3"/>
    <n v="19"/>
    <n v="9"/>
    <n v="9"/>
    <n v="11"/>
    <x v="4"/>
    <n v="0"/>
    <n v="0"/>
    <n v="1"/>
    <m/>
    <m/>
  </r>
  <r>
    <n v="56"/>
    <s v="No"/>
    <s v="Travel_Rarely"/>
    <n v="206"/>
    <s v="Human Resources"/>
    <n v="8"/>
    <n v="4"/>
    <s v="Life Sciences"/>
    <n v="1"/>
    <n v="1338"/>
    <n v="4"/>
    <s v="Male"/>
    <n v="99"/>
    <n v="3"/>
    <n v="5"/>
    <s v="Manager"/>
    <n v="2"/>
    <s v="Single"/>
    <n v="19717"/>
    <n v="4022"/>
    <n v="6"/>
    <s v="Y"/>
    <s v="No"/>
    <n v="14"/>
    <n v="3"/>
    <n v="1"/>
    <n v="80"/>
    <n v="0"/>
    <n v="36"/>
    <n v="4"/>
    <n v="3"/>
    <n v="7"/>
    <n v="3"/>
    <n v="7"/>
    <n v="7"/>
    <x v="4"/>
    <n v="0"/>
    <n v="0"/>
    <n v="1"/>
    <m/>
    <m/>
  </r>
  <r>
    <n v="40"/>
    <s v="No"/>
    <s v="Non-Travel"/>
    <n v="458"/>
    <s v="Research &amp; Development"/>
    <n v="16"/>
    <n v="2"/>
    <s v="Life Sciences"/>
    <n v="1"/>
    <n v="1340"/>
    <n v="3"/>
    <s v="Male"/>
    <n v="74"/>
    <n v="3"/>
    <n v="1"/>
    <s v="Research Scientist"/>
    <n v="3"/>
    <s v="Divorced"/>
    <n v="3544"/>
    <n v="8532"/>
    <n v="9"/>
    <s v="Y"/>
    <s v="No"/>
    <n v="16"/>
    <n v="3"/>
    <n v="2"/>
    <n v="80"/>
    <n v="1"/>
    <n v="6"/>
    <n v="0"/>
    <n v="3"/>
    <n v="4"/>
    <n v="2"/>
    <n v="0"/>
    <n v="0"/>
    <x v="1"/>
    <n v="0"/>
    <n v="0"/>
    <n v="1"/>
    <m/>
    <m/>
  </r>
  <r>
    <n v="34"/>
    <s v="No"/>
    <s v="Travel_Rarely"/>
    <n v="943"/>
    <s v="Research &amp; Development"/>
    <n v="9"/>
    <n v="3"/>
    <s v="Life Sciences"/>
    <n v="1"/>
    <n v="1344"/>
    <n v="4"/>
    <s v="Male"/>
    <n v="86"/>
    <n v="3"/>
    <n v="3"/>
    <s v="Healthcare Representative"/>
    <n v="4"/>
    <s v="Divorced"/>
    <n v="8500"/>
    <n v="5494"/>
    <n v="0"/>
    <s v="Y"/>
    <s v="No"/>
    <n v="11"/>
    <n v="3"/>
    <n v="4"/>
    <n v="80"/>
    <n v="1"/>
    <n v="10"/>
    <n v="0"/>
    <n v="2"/>
    <n v="9"/>
    <n v="7"/>
    <n v="1"/>
    <n v="6"/>
    <x v="3"/>
    <n v="0"/>
    <n v="0"/>
    <n v="1"/>
    <m/>
    <m/>
  </r>
  <r>
    <n v="40"/>
    <s v="No"/>
    <s v="Travel_Rarely"/>
    <n v="523"/>
    <s v="Research &amp; Development"/>
    <n v="2"/>
    <n v="3"/>
    <s v="Life Sciences"/>
    <n v="1"/>
    <n v="1346"/>
    <n v="3"/>
    <s v="Male"/>
    <n v="98"/>
    <n v="3"/>
    <n v="2"/>
    <s v="Research Scientist"/>
    <n v="4"/>
    <s v="Single"/>
    <n v="4661"/>
    <n v="22455"/>
    <n v="1"/>
    <s v="Y"/>
    <s v="No"/>
    <n v="13"/>
    <n v="3"/>
    <n v="3"/>
    <n v="80"/>
    <n v="0"/>
    <n v="9"/>
    <n v="4"/>
    <n v="3"/>
    <n v="9"/>
    <n v="8"/>
    <n v="8"/>
    <n v="8"/>
    <x v="1"/>
    <n v="0"/>
    <n v="0"/>
    <n v="1"/>
    <m/>
    <m/>
  </r>
  <r>
    <n v="41"/>
    <s v="No"/>
    <s v="Travel_Frequently"/>
    <n v="1018"/>
    <s v="Sales"/>
    <n v="1"/>
    <n v="3"/>
    <s v="Marketing"/>
    <n v="1"/>
    <n v="1349"/>
    <n v="3"/>
    <s v="Female"/>
    <n v="66"/>
    <n v="3"/>
    <n v="2"/>
    <s v="Sales Executive"/>
    <n v="1"/>
    <s v="Divorced"/>
    <n v="4103"/>
    <n v="4297"/>
    <n v="0"/>
    <s v="Y"/>
    <s v="No"/>
    <n v="17"/>
    <n v="3"/>
    <n v="4"/>
    <n v="80"/>
    <n v="1"/>
    <n v="10"/>
    <n v="2"/>
    <n v="3"/>
    <n v="9"/>
    <n v="3"/>
    <n v="1"/>
    <n v="7"/>
    <x v="0"/>
    <n v="0"/>
    <n v="0"/>
    <n v="1"/>
    <m/>
    <m/>
  </r>
  <r>
    <n v="35"/>
    <s v="No"/>
    <s v="Travel_Frequently"/>
    <n v="482"/>
    <s v="Research &amp; Development"/>
    <n v="4"/>
    <n v="4"/>
    <s v="Life Sciences"/>
    <n v="1"/>
    <n v="1350"/>
    <n v="3"/>
    <s v="Male"/>
    <n v="87"/>
    <n v="3"/>
    <n v="2"/>
    <s v="Research Scientist"/>
    <n v="3"/>
    <s v="Single"/>
    <n v="4249"/>
    <n v="2690"/>
    <n v="1"/>
    <s v="Y"/>
    <s v="Yes"/>
    <n v="11"/>
    <n v="3"/>
    <n v="2"/>
    <n v="80"/>
    <n v="0"/>
    <n v="9"/>
    <n v="3"/>
    <n v="3"/>
    <n v="9"/>
    <n v="6"/>
    <n v="1"/>
    <n v="1"/>
    <x v="1"/>
    <n v="0"/>
    <n v="0"/>
    <n v="1"/>
    <m/>
    <m/>
  </r>
  <r>
    <n v="51"/>
    <s v="No"/>
    <s v="Travel_Rarely"/>
    <n v="770"/>
    <s v="Human Resources"/>
    <n v="5"/>
    <n v="3"/>
    <s v="Life Sciences"/>
    <n v="1"/>
    <n v="1352"/>
    <n v="3"/>
    <s v="Male"/>
    <n v="84"/>
    <n v="3"/>
    <n v="4"/>
    <s v="Manager"/>
    <n v="2"/>
    <s v="Divorced"/>
    <n v="14026"/>
    <n v="17588"/>
    <n v="1"/>
    <s v="Y"/>
    <s v="Yes"/>
    <n v="11"/>
    <n v="3"/>
    <n v="2"/>
    <n v="80"/>
    <n v="1"/>
    <n v="33"/>
    <n v="2"/>
    <n v="3"/>
    <n v="33"/>
    <n v="9"/>
    <n v="0"/>
    <n v="10"/>
    <x v="4"/>
    <n v="0"/>
    <n v="0"/>
    <n v="1"/>
    <m/>
    <m/>
  </r>
  <r>
    <n v="38"/>
    <s v="No"/>
    <s v="Travel_Rarely"/>
    <n v="1009"/>
    <s v="Sales"/>
    <n v="2"/>
    <n v="2"/>
    <s v="Life Sciences"/>
    <n v="1"/>
    <n v="1355"/>
    <n v="2"/>
    <s v="Female"/>
    <n v="31"/>
    <n v="3"/>
    <n v="2"/>
    <s v="Sales Executive"/>
    <n v="1"/>
    <s v="Divorced"/>
    <n v="6893"/>
    <n v="19461"/>
    <n v="3"/>
    <s v="Y"/>
    <s v="No"/>
    <n v="15"/>
    <n v="3"/>
    <n v="4"/>
    <n v="80"/>
    <n v="1"/>
    <n v="11"/>
    <n v="3"/>
    <n v="3"/>
    <n v="7"/>
    <n v="7"/>
    <n v="1"/>
    <n v="7"/>
    <x v="0"/>
    <n v="0"/>
    <n v="0"/>
    <n v="1"/>
    <m/>
    <m/>
  </r>
  <r>
    <n v="34"/>
    <s v="No"/>
    <s v="Travel_Rarely"/>
    <n v="507"/>
    <s v="Sales"/>
    <n v="15"/>
    <n v="2"/>
    <s v="Medical"/>
    <n v="1"/>
    <n v="1356"/>
    <n v="3"/>
    <s v="Female"/>
    <n v="66"/>
    <n v="3"/>
    <n v="2"/>
    <s v="Sales Executive"/>
    <n v="1"/>
    <s v="Single"/>
    <n v="6125"/>
    <n v="23553"/>
    <n v="1"/>
    <s v="Y"/>
    <s v="No"/>
    <n v="12"/>
    <n v="3"/>
    <n v="4"/>
    <n v="80"/>
    <n v="0"/>
    <n v="10"/>
    <n v="6"/>
    <n v="4"/>
    <n v="10"/>
    <n v="8"/>
    <n v="9"/>
    <n v="6"/>
    <x v="0"/>
    <n v="0"/>
    <n v="0"/>
    <n v="1"/>
    <m/>
    <m/>
  </r>
  <r>
    <n v="25"/>
    <s v="No"/>
    <s v="Travel_Rarely"/>
    <n v="882"/>
    <s v="Research &amp; Development"/>
    <n v="19"/>
    <n v="1"/>
    <s v="Medical"/>
    <n v="1"/>
    <n v="1358"/>
    <n v="4"/>
    <s v="Male"/>
    <n v="67"/>
    <n v="3"/>
    <n v="1"/>
    <s v="Laboratory Technician"/>
    <n v="4"/>
    <s v="Married"/>
    <n v="3669"/>
    <n v="9075"/>
    <n v="3"/>
    <s v="Y"/>
    <s v="No"/>
    <n v="11"/>
    <n v="3"/>
    <n v="3"/>
    <n v="80"/>
    <n v="3"/>
    <n v="7"/>
    <n v="6"/>
    <n v="2"/>
    <n v="3"/>
    <n v="2"/>
    <n v="1"/>
    <n v="2"/>
    <x v="1"/>
    <n v="0"/>
    <n v="0"/>
    <n v="1"/>
    <m/>
    <m/>
  </r>
  <r>
    <n v="58"/>
    <s v="Yes"/>
    <s v="Travel_Rarely"/>
    <n v="601"/>
    <s v="Research &amp; Development"/>
    <n v="7"/>
    <n v="4"/>
    <s v="Medical"/>
    <n v="1"/>
    <n v="1360"/>
    <n v="3"/>
    <s v="Female"/>
    <n v="53"/>
    <n v="2"/>
    <n v="3"/>
    <s v="Manufacturing Director"/>
    <n v="1"/>
    <s v="Married"/>
    <n v="10008"/>
    <n v="12023"/>
    <n v="7"/>
    <s v="Y"/>
    <s v="Yes"/>
    <n v="14"/>
    <n v="3"/>
    <n v="4"/>
    <n v="80"/>
    <n v="0"/>
    <n v="31"/>
    <n v="0"/>
    <n v="2"/>
    <n v="10"/>
    <n v="9"/>
    <n v="5"/>
    <n v="9"/>
    <x v="2"/>
    <n v="1"/>
    <n v="180144"/>
    <n v="1"/>
    <m/>
    <m/>
  </r>
  <r>
    <n v="40"/>
    <s v="No"/>
    <s v="Travel_Rarely"/>
    <n v="329"/>
    <s v="Research &amp; Development"/>
    <n v="1"/>
    <n v="4"/>
    <s v="Life Sciences"/>
    <n v="1"/>
    <n v="1361"/>
    <n v="2"/>
    <s v="Male"/>
    <n v="88"/>
    <n v="3"/>
    <n v="1"/>
    <s v="Laboratory Technician"/>
    <n v="2"/>
    <s v="Married"/>
    <n v="2387"/>
    <n v="6762"/>
    <n v="3"/>
    <s v="Y"/>
    <s v="No"/>
    <n v="22"/>
    <n v="4"/>
    <n v="3"/>
    <n v="80"/>
    <n v="1"/>
    <n v="7"/>
    <n v="3"/>
    <n v="3"/>
    <n v="4"/>
    <n v="2"/>
    <n v="0"/>
    <n v="3"/>
    <x v="1"/>
    <n v="0"/>
    <n v="0"/>
    <n v="1"/>
    <m/>
    <m/>
  </r>
  <r>
    <n v="36"/>
    <s v="No"/>
    <s v="Travel_Frequently"/>
    <n v="607"/>
    <s v="Sales"/>
    <n v="7"/>
    <n v="3"/>
    <s v="Marketing"/>
    <n v="1"/>
    <n v="1362"/>
    <n v="1"/>
    <s v="Female"/>
    <n v="83"/>
    <n v="4"/>
    <n v="2"/>
    <s v="Sales Executive"/>
    <n v="1"/>
    <s v="Married"/>
    <n v="4639"/>
    <n v="2261"/>
    <n v="2"/>
    <s v="Y"/>
    <s v="No"/>
    <n v="16"/>
    <n v="3"/>
    <n v="4"/>
    <n v="80"/>
    <n v="1"/>
    <n v="17"/>
    <n v="2"/>
    <n v="2"/>
    <n v="15"/>
    <n v="7"/>
    <n v="6"/>
    <n v="13"/>
    <x v="0"/>
    <n v="0"/>
    <n v="0"/>
    <n v="1"/>
    <m/>
    <m/>
  </r>
  <r>
    <n v="48"/>
    <s v="No"/>
    <s v="Travel_Rarely"/>
    <n v="855"/>
    <s v="Research &amp; Development"/>
    <n v="4"/>
    <n v="3"/>
    <s v="Life Sciences"/>
    <n v="1"/>
    <n v="1363"/>
    <n v="4"/>
    <s v="Male"/>
    <n v="54"/>
    <n v="3"/>
    <n v="3"/>
    <s v="Manufacturing Director"/>
    <n v="4"/>
    <s v="Single"/>
    <n v="7898"/>
    <n v="18706"/>
    <n v="1"/>
    <s v="Y"/>
    <s v="No"/>
    <n v="11"/>
    <n v="3"/>
    <n v="3"/>
    <n v="80"/>
    <n v="0"/>
    <n v="11"/>
    <n v="2"/>
    <n v="3"/>
    <n v="10"/>
    <n v="9"/>
    <n v="0"/>
    <n v="8"/>
    <x v="2"/>
    <n v="0"/>
    <n v="0"/>
    <n v="1"/>
    <m/>
    <m/>
  </r>
  <r>
    <n v="27"/>
    <s v="No"/>
    <s v="Travel_Rarely"/>
    <n v="1291"/>
    <s v="Sales"/>
    <n v="11"/>
    <n v="3"/>
    <s v="Medical"/>
    <n v="1"/>
    <n v="1364"/>
    <n v="3"/>
    <s v="Female"/>
    <n v="98"/>
    <n v="4"/>
    <n v="1"/>
    <s v="Sales Representative"/>
    <n v="4"/>
    <s v="Married"/>
    <n v="2534"/>
    <n v="6527"/>
    <n v="8"/>
    <s v="Y"/>
    <s v="No"/>
    <n v="14"/>
    <n v="3"/>
    <n v="2"/>
    <n v="80"/>
    <n v="1"/>
    <n v="5"/>
    <n v="4"/>
    <n v="3"/>
    <n v="1"/>
    <n v="0"/>
    <n v="0"/>
    <n v="0"/>
    <x v="0"/>
    <n v="0"/>
    <n v="0"/>
    <n v="1"/>
    <m/>
    <m/>
  </r>
  <r>
    <n v="51"/>
    <s v="No"/>
    <s v="Travel_Rarely"/>
    <n v="1405"/>
    <s v="Research &amp; Development"/>
    <n v="11"/>
    <n v="2"/>
    <s v="Technical Degree"/>
    <n v="1"/>
    <n v="1367"/>
    <n v="4"/>
    <s v="Female"/>
    <n v="82"/>
    <n v="2"/>
    <n v="4"/>
    <s v="Manufacturing Director"/>
    <n v="2"/>
    <s v="Single"/>
    <n v="13142"/>
    <n v="24439"/>
    <n v="3"/>
    <s v="Y"/>
    <s v="No"/>
    <n v="16"/>
    <n v="3"/>
    <n v="2"/>
    <n v="80"/>
    <n v="0"/>
    <n v="29"/>
    <n v="1"/>
    <n v="2"/>
    <n v="5"/>
    <n v="2"/>
    <n v="0"/>
    <n v="3"/>
    <x v="2"/>
    <n v="0"/>
    <n v="0"/>
    <n v="1"/>
    <m/>
    <m/>
  </r>
  <r>
    <n v="18"/>
    <s v="No"/>
    <s v="Non-Travel"/>
    <n v="1124"/>
    <s v="Research &amp; Development"/>
    <n v="1"/>
    <n v="3"/>
    <s v="Life Sciences"/>
    <n v="1"/>
    <n v="1368"/>
    <n v="4"/>
    <s v="Female"/>
    <n v="97"/>
    <n v="3"/>
    <n v="1"/>
    <s v="Laboratory Technician"/>
    <n v="4"/>
    <s v="Single"/>
    <n v="1611"/>
    <n v="19305"/>
    <n v="1"/>
    <s v="Y"/>
    <s v="No"/>
    <n v="15"/>
    <n v="3"/>
    <n v="3"/>
    <n v="80"/>
    <n v="0"/>
    <n v="0"/>
    <n v="5"/>
    <n v="4"/>
    <n v="0"/>
    <n v="0"/>
    <n v="0"/>
    <n v="0"/>
    <x v="1"/>
    <n v="0"/>
    <n v="0"/>
    <n v="1"/>
    <m/>
    <m/>
  </r>
  <r>
    <n v="35"/>
    <s v="No"/>
    <s v="Travel_Rarely"/>
    <n v="817"/>
    <s v="Research &amp; Development"/>
    <n v="1"/>
    <n v="3"/>
    <s v="Medical"/>
    <n v="1"/>
    <n v="1369"/>
    <n v="4"/>
    <s v="Female"/>
    <n v="60"/>
    <n v="2"/>
    <n v="2"/>
    <s v="Laboratory Technician"/>
    <n v="4"/>
    <s v="Married"/>
    <n v="5363"/>
    <n v="10846"/>
    <n v="0"/>
    <s v="Y"/>
    <s v="No"/>
    <n v="12"/>
    <n v="3"/>
    <n v="2"/>
    <n v="80"/>
    <n v="1"/>
    <n v="10"/>
    <n v="0"/>
    <n v="3"/>
    <n v="9"/>
    <n v="7"/>
    <n v="0"/>
    <n v="0"/>
    <x v="1"/>
    <n v="0"/>
    <n v="0"/>
    <n v="1"/>
    <m/>
    <m/>
  </r>
  <r>
    <n v="27"/>
    <s v="No"/>
    <s v="Travel_Frequently"/>
    <n v="793"/>
    <s v="Sales"/>
    <n v="2"/>
    <n v="1"/>
    <s v="Life Sciences"/>
    <n v="1"/>
    <n v="1371"/>
    <n v="4"/>
    <s v="Male"/>
    <n v="43"/>
    <n v="1"/>
    <n v="2"/>
    <s v="Sales Executive"/>
    <n v="4"/>
    <s v="Single"/>
    <n v="5071"/>
    <n v="20392"/>
    <n v="3"/>
    <s v="Y"/>
    <s v="No"/>
    <n v="20"/>
    <n v="4"/>
    <n v="2"/>
    <n v="80"/>
    <n v="0"/>
    <n v="8"/>
    <n v="3"/>
    <n v="3"/>
    <n v="6"/>
    <n v="2"/>
    <n v="0"/>
    <n v="0"/>
    <x v="0"/>
    <n v="0"/>
    <n v="0"/>
    <n v="1"/>
    <m/>
    <m/>
  </r>
  <r>
    <n v="55"/>
    <s v="Yes"/>
    <s v="Travel_Rarely"/>
    <n v="267"/>
    <s v="Sales"/>
    <n v="13"/>
    <n v="4"/>
    <s v="Marketing"/>
    <n v="1"/>
    <n v="1372"/>
    <n v="1"/>
    <s v="Male"/>
    <n v="85"/>
    <n v="4"/>
    <n v="4"/>
    <s v="Sales Executive"/>
    <n v="3"/>
    <s v="Single"/>
    <n v="13695"/>
    <n v="9277"/>
    <n v="6"/>
    <s v="Y"/>
    <s v="Yes"/>
    <n v="17"/>
    <n v="3"/>
    <n v="3"/>
    <n v="80"/>
    <n v="0"/>
    <n v="24"/>
    <n v="2"/>
    <n v="2"/>
    <n v="19"/>
    <n v="7"/>
    <n v="3"/>
    <n v="8"/>
    <x v="0"/>
    <n v="1"/>
    <n v="246510"/>
    <n v="1"/>
    <m/>
    <m/>
  </r>
  <r>
    <n v="56"/>
    <s v="No"/>
    <s v="Travel_Rarely"/>
    <n v="1369"/>
    <s v="Research &amp; Development"/>
    <n v="23"/>
    <n v="3"/>
    <s v="Life Sciences"/>
    <n v="1"/>
    <n v="1373"/>
    <n v="4"/>
    <s v="Male"/>
    <n v="68"/>
    <n v="3"/>
    <n v="4"/>
    <s v="Manufacturing Director"/>
    <n v="2"/>
    <s v="Married"/>
    <n v="13402"/>
    <n v="18235"/>
    <n v="4"/>
    <s v="Y"/>
    <s v="Yes"/>
    <n v="12"/>
    <n v="3"/>
    <n v="1"/>
    <n v="80"/>
    <n v="1"/>
    <n v="33"/>
    <n v="0"/>
    <n v="3"/>
    <n v="19"/>
    <n v="16"/>
    <n v="15"/>
    <n v="9"/>
    <x v="2"/>
    <n v="0"/>
    <n v="0"/>
    <n v="1"/>
    <m/>
    <m/>
  </r>
  <r>
    <n v="34"/>
    <s v="No"/>
    <s v="Non-Travel"/>
    <n v="999"/>
    <s v="Research &amp; Development"/>
    <n v="26"/>
    <n v="1"/>
    <s v="Technical Degree"/>
    <n v="1"/>
    <n v="1374"/>
    <n v="1"/>
    <s v="Female"/>
    <n v="92"/>
    <n v="2"/>
    <n v="1"/>
    <s v="Research Scientist"/>
    <n v="3"/>
    <s v="Divorced"/>
    <n v="2029"/>
    <n v="15891"/>
    <n v="1"/>
    <s v="Y"/>
    <s v="No"/>
    <n v="20"/>
    <n v="4"/>
    <n v="3"/>
    <n v="80"/>
    <n v="3"/>
    <n v="5"/>
    <n v="2"/>
    <n v="3"/>
    <n v="5"/>
    <n v="4"/>
    <n v="0"/>
    <n v="0"/>
    <x v="1"/>
    <n v="0"/>
    <n v="0"/>
    <n v="1"/>
    <m/>
    <m/>
  </r>
  <r>
    <n v="40"/>
    <s v="No"/>
    <s v="Travel_Rarely"/>
    <n v="1202"/>
    <s v="Research &amp; Development"/>
    <n v="2"/>
    <n v="1"/>
    <s v="Medical"/>
    <n v="1"/>
    <n v="1375"/>
    <n v="2"/>
    <s v="Female"/>
    <n v="89"/>
    <n v="4"/>
    <n v="2"/>
    <s v="Healthcare Representative"/>
    <n v="3"/>
    <s v="Divorced"/>
    <n v="6377"/>
    <n v="13888"/>
    <n v="5"/>
    <s v="Y"/>
    <s v="No"/>
    <n v="20"/>
    <n v="4"/>
    <n v="2"/>
    <n v="80"/>
    <n v="3"/>
    <n v="15"/>
    <n v="0"/>
    <n v="3"/>
    <n v="12"/>
    <n v="11"/>
    <n v="11"/>
    <n v="8"/>
    <x v="3"/>
    <n v="0"/>
    <n v="0"/>
    <n v="1"/>
    <m/>
    <m/>
  </r>
  <r>
    <n v="34"/>
    <s v="No"/>
    <s v="Travel_Rarely"/>
    <n v="285"/>
    <s v="Research &amp; Development"/>
    <n v="29"/>
    <n v="3"/>
    <s v="Medical"/>
    <n v="1"/>
    <n v="1377"/>
    <n v="2"/>
    <s v="Male"/>
    <n v="86"/>
    <n v="3"/>
    <n v="2"/>
    <s v="Laboratory Technician"/>
    <n v="3"/>
    <s v="Married"/>
    <n v="5429"/>
    <n v="17491"/>
    <n v="4"/>
    <s v="Y"/>
    <s v="No"/>
    <n v="13"/>
    <n v="3"/>
    <n v="1"/>
    <n v="80"/>
    <n v="2"/>
    <n v="10"/>
    <n v="1"/>
    <n v="3"/>
    <n v="8"/>
    <n v="7"/>
    <n v="7"/>
    <n v="7"/>
    <x v="1"/>
    <n v="0"/>
    <n v="0"/>
    <n v="1"/>
    <m/>
    <m/>
  </r>
  <r>
    <n v="31"/>
    <s v="Yes"/>
    <s v="Travel_Frequently"/>
    <n v="703"/>
    <s v="Sales"/>
    <n v="2"/>
    <n v="3"/>
    <s v="Life Sciences"/>
    <n v="1"/>
    <n v="1379"/>
    <n v="3"/>
    <s v="Female"/>
    <n v="90"/>
    <n v="2"/>
    <n v="1"/>
    <s v="Sales Representative"/>
    <n v="4"/>
    <s v="Single"/>
    <n v="2785"/>
    <n v="11882"/>
    <n v="7"/>
    <s v="Y"/>
    <s v="No"/>
    <n v="14"/>
    <n v="3"/>
    <n v="3"/>
    <n v="80"/>
    <n v="0"/>
    <n v="3"/>
    <n v="3"/>
    <n v="4"/>
    <n v="1"/>
    <n v="0"/>
    <n v="0"/>
    <n v="0"/>
    <x v="0"/>
    <n v="1"/>
    <n v="50130"/>
    <n v="1"/>
    <m/>
    <m/>
  </r>
  <r>
    <n v="35"/>
    <s v="Yes"/>
    <s v="Travel_Frequently"/>
    <n v="662"/>
    <s v="Sales"/>
    <n v="18"/>
    <n v="4"/>
    <s v="Marketing"/>
    <n v="1"/>
    <n v="1380"/>
    <n v="4"/>
    <s v="Female"/>
    <n v="67"/>
    <n v="3"/>
    <n v="2"/>
    <s v="Sales Executive"/>
    <n v="3"/>
    <s v="Married"/>
    <n v="4614"/>
    <n v="23288"/>
    <n v="0"/>
    <s v="Y"/>
    <s v="Yes"/>
    <n v="18"/>
    <n v="3"/>
    <n v="3"/>
    <n v="80"/>
    <n v="1"/>
    <n v="5"/>
    <n v="0"/>
    <n v="2"/>
    <n v="4"/>
    <n v="2"/>
    <n v="3"/>
    <n v="2"/>
    <x v="0"/>
    <n v="1"/>
    <n v="83052"/>
    <n v="1"/>
    <m/>
    <m/>
  </r>
  <r>
    <n v="38"/>
    <s v="No"/>
    <s v="Travel_Frequently"/>
    <n v="693"/>
    <s v="Research &amp; Development"/>
    <n v="7"/>
    <n v="3"/>
    <s v="Life Sciences"/>
    <n v="1"/>
    <n v="1382"/>
    <n v="4"/>
    <s v="Male"/>
    <n v="57"/>
    <n v="4"/>
    <n v="1"/>
    <s v="Research Scientist"/>
    <n v="3"/>
    <s v="Divorced"/>
    <n v="2610"/>
    <n v="15748"/>
    <n v="1"/>
    <s v="Y"/>
    <s v="No"/>
    <n v="11"/>
    <n v="3"/>
    <n v="4"/>
    <n v="80"/>
    <n v="3"/>
    <n v="4"/>
    <n v="2"/>
    <n v="3"/>
    <n v="4"/>
    <n v="2"/>
    <n v="0"/>
    <n v="3"/>
    <x v="1"/>
    <n v="0"/>
    <n v="0"/>
    <n v="1"/>
    <m/>
    <m/>
  </r>
  <r>
    <n v="34"/>
    <s v="No"/>
    <s v="Travel_Rarely"/>
    <n v="404"/>
    <s v="Research &amp; Development"/>
    <n v="2"/>
    <n v="4"/>
    <s v="Technical Degree"/>
    <n v="1"/>
    <n v="1383"/>
    <n v="3"/>
    <s v="Female"/>
    <n v="98"/>
    <n v="3"/>
    <n v="2"/>
    <s v="Healthcare Representative"/>
    <n v="4"/>
    <s v="Single"/>
    <n v="6687"/>
    <n v="6163"/>
    <n v="1"/>
    <s v="Y"/>
    <s v="No"/>
    <n v="11"/>
    <n v="3"/>
    <n v="4"/>
    <n v="80"/>
    <n v="0"/>
    <n v="14"/>
    <n v="2"/>
    <n v="4"/>
    <n v="14"/>
    <n v="11"/>
    <n v="4"/>
    <n v="11"/>
    <x v="3"/>
    <n v="0"/>
    <n v="0"/>
    <n v="1"/>
    <m/>
    <m/>
  </r>
  <r>
    <n v="28"/>
    <s v="No"/>
    <s v="Travel_Rarely"/>
    <n v="736"/>
    <s v="Sales"/>
    <n v="26"/>
    <n v="3"/>
    <s v="Life Sciences"/>
    <n v="1"/>
    <n v="1387"/>
    <n v="3"/>
    <s v="Male"/>
    <n v="48"/>
    <n v="2"/>
    <n v="2"/>
    <s v="Sales Executive"/>
    <n v="1"/>
    <s v="Married"/>
    <n v="4724"/>
    <n v="24232"/>
    <n v="1"/>
    <s v="Y"/>
    <s v="No"/>
    <n v="11"/>
    <n v="3"/>
    <n v="3"/>
    <n v="80"/>
    <n v="1"/>
    <n v="5"/>
    <n v="0"/>
    <n v="3"/>
    <n v="5"/>
    <n v="3"/>
    <n v="0"/>
    <n v="4"/>
    <x v="0"/>
    <n v="0"/>
    <n v="0"/>
    <n v="1"/>
    <m/>
    <m/>
  </r>
  <r>
    <n v="31"/>
    <s v="Yes"/>
    <s v="Travel_Rarely"/>
    <n v="330"/>
    <s v="Research &amp; Development"/>
    <n v="22"/>
    <n v="4"/>
    <s v="Medical"/>
    <n v="1"/>
    <n v="1389"/>
    <n v="4"/>
    <s v="Male"/>
    <n v="98"/>
    <n v="3"/>
    <n v="2"/>
    <s v="Manufacturing Director"/>
    <n v="3"/>
    <s v="Married"/>
    <n v="6179"/>
    <n v="21057"/>
    <n v="1"/>
    <s v="Y"/>
    <s v="Yes"/>
    <n v="15"/>
    <n v="3"/>
    <n v="4"/>
    <n v="80"/>
    <n v="2"/>
    <n v="10"/>
    <n v="3"/>
    <n v="2"/>
    <n v="10"/>
    <n v="2"/>
    <n v="6"/>
    <n v="7"/>
    <x v="2"/>
    <n v="1"/>
    <n v="111222"/>
    <n v="1"/>
    <m/>
    <m/>
  </r>
  <r>
    <n v="39"/>
    <s v="No"/>
    <s v="Travel_Rarely"/>
    <n v="1498"/>
    <s v="Sales"/>
    <n v="21"/>
    <n v="4"/>
    <s v="Life Sciences"/>
    <n v="1"/>
    <n v="1390"/>
    <n v="1"/>
    <s v="Male"/>
    <n v="44"/>
    <n v="2"/>
    <n v="2"/>
    <s v="Sales Executive"/>
    <n v="4"/>
    <s v="Married"/>
    <n v="6120"/>
    <n v="3567"/>
    <n v="3"/>
    <s v="Y"/>
    <s v="Yes"/>
    <n v="12"/>
    <n v="3"/>
    <n v="4"/>
    <n v="80"/>
    <n v="2"/>
    <n v="8"/>
    <n v="2"/>
    <n v="4"/>
    <n v="5"/>
    <n v="4"/>
    <n v="1"/>
    <n v="4"/>
    <x v="0"/>
    <n v="0"/>
    <n v="0"/>
    <n v="1"/>
    <m/>
    <m/>
  </r>
  <r>
    <n v="51"/>
    <s v="No"/>
    <s v="Travel_Frequently"/>
    <n v="541"/>
    <s v="Sales"/>
    <n v="2"/>
    <n v="3"/>
    <s v="Marketing"/>
    <n v="1"/>
    <n v="1391"/>
    <n v="2"/>
    <s v="Male"/>
    <n v="52"/>
    <n v="3"/>
    <n v="3"/>
    <s v="Sales Executive"/>
    <n v="2"/>
    <s v="Married"/>
    <n v="10596"/>
    <n v="15395"/>
    <n v="2"/>
    <s v="Y"/>
    <s v="No"/>
    <n v="11"/>
    <n v="3"/>
    <n v="2"/>
    <n v="80"/>
    <n v="0"/>
    <n v="14"/>
    <n v="5"/>
    <n v="3"/>
    <n v="4"/>
    <n v="2"/>
    <n v="3"/>
    <n v="2"/>
    <x v="0"/>
    <n v="0"/>
    <n v="0"/>
    <n v="1"/>
    <m/>
    <m/>
  </r>
  <r>
    <n v="41"/>
    <s v="No"/>
    <s v="Travel_Frequently"/>
    <n v="1200"/>
    <s v="Research &amp; Development"/>
    <n v="22"/>
    <n v="3"/>
    <s v="Life Sciences"/>
    <n v="1"/>
    <n v="1392"/>
    <n v="4"/>
    <s v="Female"/>
    <n v="75"/>
    <n v="3"/>
    <n v="2"/>
    <s v="Research Scientist"/>
    <n v="4"/>
    <s v="Divorced"/>
    <n v="5467"/>
    <n v="13953"/>
    <n v="3"/>
    <s v="Y"/>
    <s v="Yes"/>
    <n v="14"/>
    <n v="3"/>
    <n v="1"/>
    <n v="80"/>
    <n v="2"/>
    <n v="12"/>
    <n v="4"/>
    <n v="2"/>
    <n v="6"/>
    <n v="2"/>
    <n v="3"/>
    <n v="3"/>
    <x v="1"/>
    <n v="0"/>
    <n v="0"/>
    <n v="1"/>
    <m/>
    <m/>
  </r>
  <r>
    <n v="37"/>
    <s v="No"/>
    <s v="Travel_Rarely"/>
    <n v="1439"/>
    <s v="Research &amp; Development"/>
    <n v="4"/>
    <n v="1"/>
    <s v="Life Sciences"/>
    <n v="1"/>
    <n v="1394"/>
    <n v="3"/>
    <s v="Male"/>
    <n v="54"/>
    <n v="3"/>
    <n v="1"/>
    <s v="Research Scientist"/>
    <n v="3"/>
    <s v="Married"/>
    <n v="2996"/>
    <n v="5182"/>
    <n v="7"/>
    <s v="Y"/>
    <s v="Yes"/>
    <n v="15"/>
    <n v="3"/>
    <n v="4"/>
    <n v="80"/>
    <n v="0"/>
    <n v="8"/>
    <n v="2"/>
    <n v="3"/>
    <n v="6"/>
    <n v="4"/>
    <n v="1"/>
    <n v="3"/>
    <x v="1"/>
    <n v="0"/>
    <n v="0"/>
    <n v="1"/>
    <m/>
    <m/>
  </r>
  <r>
    <n v="33"/>
    <s v="No"/>
    <s v="Travel_Frequently"/>
    <n v="1111"/>
    <s v="Sales"/>
    <n v="5"/>
    <n v="1"/>
    <s v="Life Sciences"/>
    <n v="1"/>
    <n v="1395"/>
    <n v="2"/>
    <s v="Male"/>
    <n v="61"/>
    <n v="3"/>
    <n v="2"/>
    <s v="Sales Executive"/>
    <n v="4"/>
    <s v="Married"/>
    <n v="9998"/>
    <n v="19293"/>
    <n v="6"/>
    <s v="Y"/>
    <s v="No"/>
    <n v="13"/>
    <n v="3"/>
    <n v="1"/>
    <n v="80"/>
    <n v="0"/>
    <n v="8"/>
    <n v="2"/>
    <n v="4"/>
    <n v="5"/>
    <n v="4"/>
    <n v="1"/>
    <n v="2"/>
    <x v="0"/>
    <n v="0"/>
    <n v="0"/>
    <n v="1"/>
    <m/>
    <m/>
  </r>
  <r>
    <n v="32"/>
    <s v="No"/>
    <s v="Travel_Rarely"/>
    <n v="499"/>
    <s v="Sales"/>
    <n v="2"/>
    <n v="1"/>
    <s v="Marketing"/>
    <n v="1"/>
    <n v="1396"/>
    <n v="3"/>
    <s v="Male"/>
    <n v="36"/>
    <n v="3"/>
    <n v="2"/>
    <s v="Sales Executive"/>
    <n v="2"/>
    <s v="Married"/>
    <n v="4078"/>
    <n v="20497"/>
    <n v="0"/>
    <s v="Y"/>
    <s v="Yes"/>
    <n v="13"/>
    <n v="3"/>
    <n v="1"/>
    <n v="80"/>
    <n v="3"/>
    <n v="4"/>
    <n v="3"/>
    <n v="2"/>
    <n v="3"/>
    <n v="2"/>
    <n v="1"/>
    <n v="2"/>
    <x v="0"/>
    <n v="0"/>
    <n v="0"/>
    <n v="1"/>
    <m/>
    <m/>
  </r>
  <r>
    <n v="39"/>
    <s v="No"/>
    <s v="Non-Travel"/>
    <n v="1485"/>
    <s v="Research &amp; Development"/>
    <n v="25"/>
    <n v="2"/>
    <s v="Life Sciences"/>
    <n v="1"/>
    <n v="1397"/>
    <n v="3"/>
    <s v="Male"/>
    <n v="71"/>
    <n v="3"/>
    <n v="3"/>
    <s v="Healthcare Representative"/>
    <n v="3"/>
    <s v="Married"/>
    <n v="10920"/>
    <n v="3449"/>
    <n v="3"/>
    <s v="Y"/>
    <s v="No"/>
    <n v="21"/>
    <n v="4"/>
    <n v="2"/>
    <n v="80"/>
    <n v="1"/>
    <n v="13"/>
    <n v="2"/>
    <n v="3"/>
    <n v="6"/>
    <n v="4"/>
    <n v="0"/>
    <n v="5"/>
    <x v="3"/>
    <n v="0"/>
    <n v="0"/>
    <n v="1"/>
    <m/>
    <m/>
  </r>
  <r>
    <n v="25"/>
    <s v="No"/>
    <s v="Travel_Rarely"/>
    <n v="1372"/>
    <s v="Sales"/>
    <n v="18"/>
    <n v="1"/>
    <s v="Life Sciences"/>
    <n v="1"/>
    <n v="1399"/>
    <n v="1"/>
    <s v="Male"/>
    <n v="93"/>
    <n v="4"/>
    <n v="2"/>
    <s v="Sales Executive"/>
    <n v="3"/>
    <s v="Married"/>
    <n v="6232"/>
    <n v="12477"/>
    <n v="2"/>
    <s v="Y"/>
    <s v="No"/>
    <n v="11"/>
    <n v="3"/>
    <n v="2"/>
    <n v="80"/>
    <n v="0"/>
    <n v="6"/>
    <n v="3"/>
    <n v="2"/>
    <n v="3"/>
    <n v="2"/>
    <n v="1"/>
    <n v="2"/>
    <x v="0"/>
    <n v="0"/>
    <n v="0"/>
    <n v="1"/>
    <m/>
    <m/>
  </r>
  <r>
    <n v="52"/>
    <s v="No"/>
    <s v="Travel_Frequently"/>
    <n v="322"/>
    <s v="Research &amp; Development"/>
    <n v="28"/>
    <n v="2"/>
    <s v="Medical"/>
    <n v="1"/>
    <n v="1401"/>
    <n v="4"/>
    <s v="Female"/>
    <n v="59"/>
    <n v="4"/>
    <n v="4"/>
    <s v="Manufacturing Director"/>
    <n v="3"/>
    <s v="Married"/>
    <n v="13247"/>
    <n v="9731"/>
    <n v="2"/>
    <s v="Y"/>
    <s v="Yes"/>
    <n v="11"/>
    <n v="3"/>
    <n v="2"/>
    <n v="80"/>
    <n v="1"/>
    <n v="24"/>
    <n v="3"/>
    <n v="2"/>
    <n v="5"/>
    <n v="3"/>
    <n v="0"/>
    <n v="2"/>
    <x v="2"/>
    <n v="0"/>
    <n v="0"/>
    <n v="1"/>
    <m/>
    <m/>
  </r>
  <r>
    <n v="43"/>
    <s v="No"/>
    <s v="Travel_Rarely"/>
    <n v="930"/>
    <s v="Research &amp; Development"/>
    <n v="6"/>
    <n v="3"/>
    <s v="Medical"/>
    <n v="1"/>
    <n v="1402"/>
    <n v="1"/>
    <s v="Female"/>
    <n v="73"/>
    <n v="2"/>
    <n v="2"/>
    <s v="Research Scientist"/>
    <n v="3"/>
    <s v="Single"/>
    <n v="4081"/>
    <n v="20003"/>
    <n v="1"/>
    <s v="Y"/>
    <s v="Yes"/>
    <n v="14"/>
    <n v="3"/>
    <n v="1"/>
    <n v="80"/>
    <n v="0"/>
    <n v="20"/>
    <n v="3"/>
    <n v="1"/>
    <n v="20"/>
    <n v="7"/>
    <n v="1"/>
    <n v="8"/>
    <x v="1"/>
    <n v="0"/>
    <n v="0"/>
    <n v="1"/>
    <m/>
    <m/>
  </r>
  <r>
    <n v="27"/>
    <s v="No"/>
    <s v="Travel_Rarely"/>
    <n v="205"/>
    <s v="Sales"/>
    <n v="10"/>
    <n v="3"/>
    <s v="Marketing"/>
    <n v="1"/>
    <n v="1403"/>
    <n v="4"/>
    <s v="Female"/>
    <n v="98"/>
    <n v="2"/>
    <n v="2"/>
    <s v="Sales Executive"/>
    <n v="4"/>
    <s v="Married"/>
    <n v="5769"/>
    <n v="7100"/>
    <n v="1"/>
    <s v="Y"/>
    <s v="Yes"/>
    <n v="11"/>
    <n v="3"/>
    <n v="4"/>
    <n v="80"/>
    <n v="0"/>
    <n v="6"/>
    <n v="3"/>
    <n v="3"/>
    <n v="6"/>
    <n v="2"/>
    <n v="4"/>
    <n v="4"/>
    <x v="0"/>
    <n v="0"/>
    <n v="0"/>
    <n v="1"/>
    <m/>
    <m/>
  </r>
  <r>
    <n v="27"/>
    <s v="Yes"/>
    <s v="Travel_Rarely"/>
    <n v="135"/>
    <s v="Research &amp; Development"/>
    <n v="17"/>
    <n v="4"/>
    <s v="Life Sciences"/>
    <n v="1"/>
    <n v="1405"/>
    <n v="4"/>
    <s v="Female"/>
    <n v="51"/>
    <n v="3"/>
    <n v="1"/>
    <s v="Research Scientist"/>
    <n v="3"/>
    <s v="Single"/>
    <n v="2394"/>
    <n v="25681"/>
    <n v="1"/>
    <s v="Y"/>
    <s v="Yes"/>
    <n v="13"/>
    <n v="3"/>
    <n v="4"/>
    <n v="80"/>
    <n v="0"/>
    <n v="8"/>
    <n v="2"/>
    <n v="3"/>
    <n v="8"/>
    <n v="2"/>
    <n v="7"/>
    <n v="7"/>
    <x v="1"/>
    <n v="1"/>
    <n v="43092"/>
    <n v="1"/>
    <m/>
    <m/>
  </r>
  <r>
    <n v="26"/>
    <s v="No"/>
    <s v="Travel_Rarely"/>
    <n v="683"/>
    <s v="Research &amp; Development"/>
    <n v="2"/>
    <n v="1"/>
    <s v="Medical"/>
    <n v="1"/>
    <n v="1407"/>
    <n v="1"/>
    <s v="Male"/>
    <n v="36"/>
    <n v="2"/>
    <n v="1"/>
    <s v="Research Scientist"/>
    <n v="4"/>
    <s v="Single"/>
    <n v="3904"/>
    <n v="4050"/>
    <n v="0"/>
    <s v="Y"/>
    <s v="No"/>
    <n v="12"/>
    <n v="3"/>
    <n v="4"/>
    <n v="80"/>
    <n v="0"/>
    <n v="5"/>
    <n v="2"/>
    <n v="3"/>
    <n v="4"/>
    <n v="3"/>
    <n v="1"/>
    <n v="1"/>
    <x v="1"/>
    <n v="0"/>
    <n v="0"/>
    <n v="1"/>
    <m/>
    <m/>
  </r>
  <r>
    <n v="42"/>
    <s v="No"/>
    <s v="Travel_Rarely"/>
    <n v="1147"/>
    <s v="Human Resources"/>
    <n v="10"/>
    <n v="3"/>
    <s v="Human Resources"/>
    <n v="1"/>
    <n v="1408"/>
    <n v="3"/>
    <s v="Female"/>
    <n v="31"/>
    <n v="3"/>
    <n v="4"/>
    <s v="Manager"/>
    <n v="1"/>
    <s v="Married"/>
    <n v="16799"/>
    <n v="16616"/>
    <n v="0"/>
    <s v="Y"/>
    <s v="No"/>
    <n v="14"/>
    <n v="3"/>
    <n v="3"/>
    <n v="80"/>
    <n v="1"/>
    <n v="21"/>
    <n v="5"/>
    <n v="3"/>
    <n v="20"/>
    <n v="7"/>
    <n v="0"/>
    <n v="9"/>
    <x v="4"/>
    <n v="0"/>
    <n v="0"/>
    <n v="1"/>
    <m/>
    <m/>
  </r>
  <r>
    <n v="52"/>
    <s v="No"/>
    <s v="Travel_Rarely"/>
    <n v="258"/>
    <s v="Research &amp; Development"/>
    <n v="8"/>
    <n v="4"/>
    <s v="Other"/>
    <n v="1"/>
    <n v="1409"/>
    <n v="3"/>
    <s v="Female"/>
    <n v="54"/>
    <n v="3"/>
    <n v="1"/>
    <s v="Laboratory Technician"/>
    <n v="1"/>
    <s v="Married"/>
    <n v="2950"/>
    <n v="17363"/>
    <n v="9"/>
    <s v="Y"/>
    <s v="No"/>
    <n v="13"/>
    <n v="3"/>
    <n v="3"/>
    <n v="80"/>
    <n v="0"/>
    <n v="12"/>
    <n v="2"/>
    <n v="1"/>
    <n v="5"/>
    <n v="4"/>
    <n v="0"/>
    <n v="4"/>
    <x v="1"/>
    <n v="0"/>
    <n v="0"/>
    <n v="1"/>
    <m/>
    <m/>
  </r>
  <r>
    <n v="37"/>
    <s v="No"/>
    <s v="Travel_Rarely"/>
    <n v="1462"/>
    <s v="Research &amp; Development"/>
    <n v="11"/>
    <n v="3"/>
    <s v="Medical"/>
    <n v="1"/>
    <n v="1411"/>
    <n v="1"/>
    <s v="Female"/>
    <n v="94"/>
    <n v="3"/>
    <n v="1"/>
    <s v="Laboratory Technician"/>
    <n v="3"/>
    <s v="Single"/>
    <n v="3629"/>
    <n v="19106"/>
    <n v="4"/>
    <s v="Y"/>
    <s v="No"/>
    <n v="18"/>
    <n v="3"/>
    <n v="1"/>
    <n v="80"/>
    <n v="0"/>
    <n v="8"/>
    <n v="6"/>
    <n v="3"/>
    <n v="3"/>
    <n v="2"/>
    <n v="0"/>
    <n v="2"/>
    <x v="1"/>
    <n v="0"/>
    <n v="0"/>
    <n v="1"/>
    <m/>
    <m/>
  </r>
  <r>
    <n v="35"/>
    <s v="No"/>
    <s v="Travel_Frequently"/>
    <n v="200"/>
    <s v="Research &amp; Development"/>
    <n v="18"/>
    <n v="2"/>
    <s v="Life Sciences"/>
    <n v="1"/>
    <n v="1412"/>
    <n v="3"/>
    <s v="Male"/>
    <n v="60"/>
    <n v="3"/>
    <n v="3"/>
    <s v="Manufacturing Director"/>
    <n v="4"/>
    <s v="Single"/>
    <n v="9362"/>
    <n v="19944"/>
    <n v="2"/>
    <s v="Y"/>
    <s v="No"/>
    <n v="11"/>
    <n v="3"/>
    <n v="3"/>
    <n v="80"/>
    <n v="0"/>
    <n v="10"/>
    <n v="2"/>
    <n v="3"/>
    <n v="2"/>
    <n v="2"/>
    <n v="2"/>
    <n v="2"/>
    <x v="2"/>
    <n v="0"/>
    <n v="0"/>
    <n v="1"/>
    <m/>
    <m/>
  </r>
  <r>
    <n v="25"/>
    <s v="No"/>
    <s v="Travel_Rarely"/>
    <n v="949"/>
    <s v="Research &amp; Development"/>
    <n v="1"/>
    <n v="3"/>
    <s v="Technical Degree"/>
    <n v="1"/>
    <n v="1415"/>
    <n v="1"/>
    <s v="Male"/>
    <n v="81"/>
    <n v="3"/>
    <n v="1"/>
    <s v="Laboratory Technician"/>
    <n v="4"/>
    <s v="Married"/>
    <n v="3229"/>
    <n v="4910"/>
    <n v="4"/>
    <s v="Y"/>
    <s v="No"/>
    <n v="11"/>
    <n v="3"/>
    <n v="2"/>
    <n v="80"/>
    <n v="1"/>
    <n v="7"/>
    <n v="2"/>
    <n v="2"/>
    <n v="3"/>
    <n v="2"/>
    <n v="0"/>
    <n v="2"/>
    <x v="1"/>
    <n v="0"/>
    <n v="0"/>
    <n v="1"/>
    <m/>
    <m/>
  </r>
  <r>
    <n v="26"/>
    <s v="No"/>
    <s v="Travel_Rarely"/>
    <n v="652"/>
    <s v="Research &amp; Development"/>
    <n v="7"/>
    <n v="3"/>
    <s v="Other"/>
    <n v="1"/>
    <n v="1417"/>
    <n v="3"/>
    <s v="Male"/>
    <n v="100"/>
    <n v="4"/>
    <n v="1"/>
    <s v="Laboratory Technician"/>
    <n v="1"/>
    <s v="Single"/>
    <n v="3578"/>
    <n v="23577"/>
    <n v="0"/>
    <s v="Y"/>
    <s v="No"/>
    <n v="12"/>
    <n v="3"/>
    <n v="4"/>
    <n v="80"/>
    <n v="0"/>
    <n v="8"/>
    <n v="2"/>
    <n v="3"/>
    <n v="7"/>
    <n v="7"/>
    <n v="0"/>
    <n v="7"/>
    <x v="1"/>
    <n v="0"/>
    <n v="0"/>
    <n v="1"/>
    <m/>
    <m/>
  </r>
  <r>
    <n v="29"/>
    <s v="No"/>
    <s v="Travel_Rarely"/>
    <n v="332"/>
    <s v="Human Resources"/>
    <n v="17"/>
    <n v="3"/>
    <s v="Other"/>
    <n v="1"/>
    <n v="1419"/>
    <n v="2"/>
    <s v="Male"/>
    <n v="51"/>
    <n v="2"/>
    <n v="3"/>
    <s v="Human Resources"/>
    <n v="1"/>
    <s v="Single"/>
    <n v="7988"/>
    <n v="9769"/>
    <n v="1"/>
    <s v="Y"/>
    <s v="No"/>
    <n v="13"/>
    <n v="3"/>
    <n v="1"/>
    <n v="80"/>
    <n v="0"/>
    <n v="10"/>
    <n v="3"/>
    <n v="2"/>
    <n v="10"/>
    <n v="9"/>
    <n v="0"/>
    <n v="9"/>
    <x v="5"/>
    <n v="0"/>
    <n v="0"/>
    <n v="1"/>
    <m/>
    <m/>
  </r>
  <r>
    <n v="49"/>
    <s v="Yes"/>
    <s v="Travel_Frequently"/>
    <n v="1475"/>
    <s v="Research &amp; Development"/>
    <n v="28"/>
    <n v="2"/>
    <s v="Life Sciences"/>
    <n v="1"/>
    <n v="1420"/>
    <n v="1"/>
    <s v="Male"/>
    <n v="97"/>
    <n v="2"/>
    <n v="2"/>
    <s v="Laboratory Technician"/>
    <n v="1"/>
    <s v="Single"/>
    <n v="4284"/>
    <n v="22710"/>
    <n v="3"/>
    <s v="Y"/>
    <s v="No"/>
    <n v="20"/>
    <n v="4"/>
    <n v="1"/>
    <n v="80"/>
    <n v="0"/>
    <n v="20"/>
    <n v="2"/>
    <n v="3"/>
    <n v="4"/>
    <n v="3"/>
    <n v="1"/>
    <n v="3"/>
    <x v="1"/>
    <n v="1"/>
    <n v="77112"/>
    <n v="1"/>
    <m/>
    <m/>
  </r>
  <r>
    <n v="29"/>
    <s v="Yes"/>
    <s v="Travel_Frequently"/>
    <n v="337"/>
    <s v="Research &amp; Development"/>
    <n v="14"/>
    <n v="1"/>
    <s v="Other"/>
    <n v="1"/>
    <n v="1421"/>
    <n v="3"/>
    <s v="Female"/>
    <n v="84"/>
    <n v="3"/>
    <n v="3"/>
    <s v="Healthcare Representative"/>
    <n v="4"/>
    <s v="Single"/>
    <n v="7553"/>
    <n v="22930"/>
    <n v="0"/>
    <s v="Y"/>
    <s v="Yes"/>
    <n v="12"/>
    <n v="3"/>
    <n v="1"/>
    <n v="80"/>
    <n v="0"/>
    <n v="9"/>
    <n v="1"/>
    <n v="3"/>
    <n v="8"/>
    <n v="7"/>
    <n v="7"/>
    <n v="7"/>
    <x v="3"/>
    <n v="1"/>
    <n v="135954"/>
    <n v="1"/>
    <m/>
    <m/>
  </r>
  <r>
    <n v="54"/>
    <s v="No"/>
    <s v="Travel_Rarely"/>
    <n v="971"/>
    <s v="Research &amp; Development"/>
    <n v="1"/>
    <n v="3"/>
    <s v="Medical"/>
    <n v="1"/>
    <n v="1422"/>
    <n v="4"/>
    <s v="Female"/>
    <n v="54"/>
    <n v="3"/>
    <n v="4"/>
    <s v="Research Director"/>
    <n v="4"/>
    <s v="Single"/>
    <n v="17328"/>
    <n v="5652"/>
    <n v="6"/>
    <s v="Y"/>
    <s v="No"/>
    <n v="19"/>
    <n v="3"/>
    <n v="4"/>
    <n v="80"/>
    <n v="0"/>
    <n v="29"/>
    <n v="3"/>
    <n v="2"/>
    <n v="20"/>
    <n v="7"/>
    <n v="12"/>
    <n v="7"/>
    <x v="1"/>
    <n v="0"/>
    <n v="0"/>
    <n v="1"/>
    <m/>
    <m/>
  </r>
  <r>
    <n v="58"/>
    <s v="No"/>
    <s v="Travel_Rarely"/>
    <n v="1055"/>
    <s v="Research &amp; Development"/>
    <n v="1"/>
    <n v="3"/>
    <s v="Medical"/>
    <n v="1"/>
    <n v="1423"/>
    <n v="4"/>
    <s v="Female"/>
    <n v="76"/>
    <n v="3"/>
    <n v="5"/>
    <s v="Research Director"/>
    <n v="1"/>
    <s v="Married"/>
    <n v="19701"/>
    <n v="22456"/>
    <n v="3"/>
    <s v="Y"/>
    <s v="Yes"/>
    <n v="21"/>
    <n v="4"/>
    <n v="3"/>
    <n v="80"/>
    <n v="1"/>
    <n v="32"/>
    <n v="3"/>
    <n v="3"/>
    <n v="9"/>
    <n v="8"/>
    <n v="1"/>
    <n v="5"/>
    <x v="1"/>
    <n v="0"/>
    <n v="0"/>
    <n v="1"/>
    <m/>
    <m/>
  </r>
  <r>
    <n v="55"/>
    <s v="No"/>
    <s v="Travel_Rarely"/>
    <n v="1136"/>
    <s v="Research &amp; Development"/>
    <n v="1"/>
    <n v="4"/>
    <s v="Medical"/>
    <n v="1"/>
    <n v="1424"/>
    <n v="2"/>
    <s v="Male"/>
    <n v="81"/>
    <n v="4"/>
    <n v="4"/>
    <s v="Research Director"/>
    <n v="4"/>
    <s v="Divorced"/>
    <n v="14732"/>
    <n v="12414"/>
    <n v="2"/>
    <s v="Y"/>
    <s v="No"/>
    <n v="13"/>
    <n v="3"/>
    <n v="4"/>
    <n v="80"/>
    <n v="2"/>
    <n v="31"/>
    <n v="4"/>
    <n v="4"/>
    <n v="7"/>
    <n v="7"/>
    <n v="0"/>
    <n v="0"/>
    <x v="1"/>
    <n v="0"/>
    <n v="0"/>
    <n v="1"/>
    <m/>
    <m/>
  </r>
  <r>
    <n v="36"/>
    <s v="No"/>
    <s v="Travel_Rarely"/>
    <n v="1174"/>
    <s v="Sales"/>
    <n v="3"/>
    <n v="4"/>
    <s v="Marketing"/>
    <n v="1"/>
    <n v="1425"/>
    <n v="1"/>
    <s v="Female"/>
    <n v="99"/>
    <n v="3"/>
    <n v="2"/>
    <s v="Sales Executive"/>
    <n v="2"/>
    <s v="Single"/>
    <n v="9278"/>
    <n v="20763"/>
    <n v="3"/>
    <s v="Y"/>
    <s v="Yes"/>
    <n v="16"/>
    <n v="3"/>
    <n v="4"/>
    <n v="80"/>
    <n v="0"/>
    <n v="15"/>
    <n v="3"/>
    <n v="3"/>
    <n v="5"/>
    <n v="4"/>
    <n v="0"/>
    <n v="1"/>
    <x v="0"/>
    <n v="0"/>
    <n v="0"/>
    <n v="1"/>
    <m/>
    <m/>
  </r>
  <r>
    <n v="31"/>
    <s v="Yes"/>
    <s v="Travel_Frequently"/>
    <n v="667"/>
    <s v="Sales"/>
    <n v="1"/>
    <n v="4"/>
    <s v="Life Sciences"/>
    <n v="1"/>
    <n v="1427"/>
    <n v="2"/>
    <s v="Female"/>
    <n v="50"/>
    <n v="1"/>
    <n v="1"/>
    <s v="Sales Representative"/>
    <n v="3"/>
    <s v="Single"/>
    <n v="1359"/>
    <n v="16154"/>
    <n v="1"/>
    <s v="Y"/>
    <s v="No"/>
    <n v="12"/>
    <n v="3"/>
    <n v="2"/>
    <n v="80"/>
    <n v="0"/>
    <n v="1"/>
    <n v="3"/>
    <n v="3"/>
    <n v="1"/>
    <n v="0"/>
    <n v="0"/>
    <n v="0"/>
    <x v="0"/>
    <n v="1"/>
    <n v="24462"/>
    <n v="1"/>
    <m/>
    <m/>
  </r>
  <r>
    <n v="30"/>
    <s v="No"/>
    <s v="Travel_Rarely"/>
    <n v="855"/>
    <s v="Sales"/>
    <n v="7"/>
    <n v="4"/>
    <s v="Marketing"/>
    <n v="1"/>
    <n v="1428"/>
    <n v="4"/>
    <s v="Female"/>
    <n v="73"/>
    <n v="3"/>
    <n v="2"/>
    <s v="Sales Executive"/>
    <n v="1"/>
    <s v="Divorced"/>
    <n v="4779"/>
    <n v="12761"/>
    <n v="7"/>
    <s v="Y"/>
    <s v="No"/>
    <n v="14"/>
    <n v="3"/>
    <n v="2"/>
    <n v="80"/>
    <n v="2"/>
    <n v="8"/>
    <n v="3"/>
    <n v="3"/>
    <n v="3"/>
    <n v="2"/>
    <n v="0"/>
    <n v="2"/>
    <x v="0"/>
    <n v="0"/>
    <n v="0"/>
    <n v="1"/>
    <m/>
    <m/>
  </r>
  <r>
    <n v="31"/>
    <s v="No"/>
    <s v="Travel_Rarely"/>
    <n v="182"/>
    <s v="Research &amp; Development"/>
    <n v="8"/>
    <n v="5"/>
    <s v="Life Sciences"/>
    <n v="1"/>
    <n v="1430"/>
    <n v="1"/>
    <s v="Female"/>
    <n v="93"/>
    <n v="3"/>
    <n v="4"/>
    <s v="Research Director"/>
    <n v="2"/>
    <s v="Single"/>
    <n v="16422"/>
    <n v="8847"/>
    <n v="3"/>
    <s v="Y"/>
    <s v="No"/>
    <n v="11"/>
    <n v="3"/>
    <n v="3"/>
    <n v="80"/>
    <n v="0"/>
    <n v="9"/>
    <n v="3"/>
    <n v="4"/>
    <n v="3"/>
    <n v="2"/>
    <n v="1"/>
    <n v="0"/>
    <x v="1"/>
    <n v="0"/>
    <n v="0"/>
    <n v="1"/>
    <m/>
    <m/>
  </r>
  <r>
    <n v="34"/>
    <s v="No"/>
    <s v="Travel_Frequently"/>
    <n v="560"/>
    <s v="Research &amp; Development"/>
    <n v="1"/>
    <n v="4"/>
    <s v="Other"/>
    <n v="1"/>
    <n v="1431"/>
    <n v="4"/>
    <s v="Male"/>
    <n v="91"/>
    <n v="3"/>
    <n v="1"/>
    <s v="Research Scientist"/>
    <n v="1"/>
    <s v="Divorced"/>
    <n v="2996"/>
    <n v="20284"/>
    <n v="5"/>
    <s v="Y"/>
    <s v="No"/>
    <n v="14"/>
    <n v="3"/>
    <n v="3"/>
    <n v="80"/>
    <n v="2"/>
    <n v="10"/>
    <n v="2"/>
    <n v="3"/>
    <n v="4"/>
    <n v="3"/>
    <n v="1"/>
    <n v="3"/>
    <x v="1"/>
    <n v="0"/>
    <n v="0"/>
    <n v="1"/>
    <m/>
    <m/>
  </r>
  <r>
    <n v="31"/>
    <s v="Yes"/>
    <s v="Travel_Rarely"/>
    <n v="202"/>
    <s v="Research &amp; Development"/>
    <n v="8"/>
    <n v="3"/>
    <s v="Life Sciences"/>
    <n v="1"/>
    <n v="1433"/>
    <n v="1"/>
    <s v="Female"/>
    <n v="34"/>
    <n v="2"/>
    <n v="1"/>
    <s v="Research Scientist"/>
    <n v="2"/>
    <s v="Single"/>
    <n v="1261"/>
    <n v="22262"/>
    <n v="1"/>
    <s v="Y"/>
    <s v="No"/>
    <n v="12"/>
    <n v="3"/>
    <n v="3"/>
    <n v="80"/>
    <n v="0"/>
    <n v="1"/>
    <n v="3"/>
    <n v="4"/>
    <n v="1"/>
    <n v="0"/>
    <n v="0"/>
    <n v="0"/>
    <x v="1"/>
    <n v="1"/>
    <n v="22698"/>
    <n v="1"/>
    <m/>
    <m/>
  </r>
  <r>
    <n v="27"/>
    <s v="No"/>
    <s v="Travel_Rarely"/>
    <n v="1377"/>
    <s v="Research &amp; Development"/>
    <n v="11"/>
    <n v="1"/>
    <s v="Life Sciences"/>
    <n v="1"/>
    <n v="1434"/>
    <n v="2"/>
    <s v="Male"/>
    <n v="91"/>
    <n v="3"/>
    <n v="1"/>
    <s v="Laboratory Technician"/>
    <n v="1"/>
    <s v="Married"/>
    <n v="2099"/>
    <n v="7679"/>
    <n v="0"/>
    <s v="Y"/>
    <s v="No"/>
    <n v="14"/>
    <n v="3"/>
    <n v="2"/>
    <n v="80"/>
    <n v="0"/>
    <n v="6"/>
    <n v="3"/>
    <n v="4"/>
    <n v="5"/>
    <n v="0"/>
    <n v="1"/>
    <n v="4"/>
    <x v="1"/>
    <n v="0"/>
    <n v="0"/>
    <n v="1"/>
    <m/>
    <m/>
  </r>
  <r>
    <n v="36"/>
    <s v="No"/>
    <s v="Travel_Rarely"/>
    <n v="172"/>
    <s v="Research &amp; Development"/>
    <n v="4"/>
    <n v="4"/>
    <s v="Life Sciences"/>
    <n v="1"/>
    <n v="1435"/>
    <n v="1"/>
    <s v="Male"/>
    <n v="37"/>
    <n v="2"/>
    <n v="2"/>
    <s v="Laboratory Technician"/>
    <n v="4"/>
    <s v="Single"/>
    <n v="5810"/>
    <n v="22604"/>
    <n v="1"/>
    <s v="Y"/>
    <s v="No"/>
    <n v="16"/>
    <n v="3"/>
    <n v="3"/>
    <n v="80"/>
    <n v="0"/>
    <n v="10"/>
    <n v="2"/>
    <n v="2"/>
    <n v="10"/>
    <n v="4"/>
    <n v="1"/>
    <n v="8"/>
    <x v="1"/>
    <n v="0"/>
    <n v="0"/>
    <n v="1"/>
    <m/>
    <m/>
  </r>
  <r>
    <n v="36"/>
    <s v="No"/>
    <s v="Travel_Rarely"/>
    <n v="329"/>
    <s v="Sales"/>
    <n v="16"/>
    <n v="4"/>
    <s v="Marketing"/>
    <n v="1"/>
    <n v="1436"/>
    <n v="3"/>
    <s v="Female"/>
    <n v="98"/>
    <n v="2"/>
    <n v="2"/>
    <s v="Sales Executive"/>
    <n v="1"/>
    <s v="Married"/>
    <n v="5647"/>
    <n v="13494"/>
    <n v="4"/>
    <s v="Y"/>
    <s v="No"/>
    <n v="13"/>
    <n v="3"/>
    <n v="1"/>
    <n v="80"/>
    <n v="2"/>
    <n v="11"/>
    <n v="3"/>
    <n v="2"/>
    <n v="3"/>
    <n v="2"/>
    <n v="0"/>
    <n v="2"/>
    <x v="0"/>
    <n v="0"/>
    <n v="0"/>
    <n v="1"/>
    <m/>
    <m/>
  </r>
  <r>
    <n v="47"/>
    <s v="No"/>
    <s v="Travel_Rarely"/>
    <n v="465"/>
    <s v="Research &amp; Development"/>
    <n v="1"/>
    <n v="3"/>
    <s v="Technical Degree"/>
    <n v="1"/>
    <n v="1438"/>
    <n v="1"/>
    <s v="Male"/>
    <n v="74"/>
    <n v="3"/>
    <n v="1"/>
    <s v="Research Scientist"/>
    <n v="4"/>
    <s v="Married"/>
    <n v="3420"/>
    <n v="10205"/>
    <n v="7"/>
    <s v="Y"/>
    <s v="No"/>
    <n v="12"/>
    <n v="3"/>
    <n v="3"/>
    <n v="80"/>
    <n v="1"/>
    <n v="17"/>
    <n v="2"/>
    <n v="2"/>
    <n v="6"/>
    <n v="5"/>
    <n v="1"/>
    <n v="2"/>
    <x v="1"/>
    <n v="0"/>
    <n v="0"/>
    <n v="1"/>
    <m/>
    <m/>
  </r>
  <r>
    <n v="25"/>
    <s v="Yes"/>
    <s v="Travel_Rarely"/>
    <n v="383"/>
    <s v="Sales"/>
    <n v="9"/>
    <n v="2"/>
    <s v="Life Sciences"/>
    <n v="1"/>
    <n v="1439"/>
    <n v="1"/>
    <s v="Male"/>
    <n v="68"/>
    <n v="2"/>
    <n v="1"/>
    <s v="Sales Representative"/>
    <n v="1"/>
    <s v="Married"/>
    <n v="4400"/>
    <n v="15182"/>
    <n v="3"/>
    <s v="Y"/>
    <s v="No"/>
    <n v="12"/>
    <n v="3"/>
    <n v="1"/>
    <n v="80"/>
    <n v="0"/>
    <n v="6"/>
    <n v="2"/>
    <n v="3"/>
    <n v="3"/>
    <n v="2"/>
    <n v="2"/>
    <n v="2"/>
    <x v="0"/>
    <n v="1"/>
    <n v="79200"/>
    <n v="1"/>
    <m/>
    <m/>
  </r>
  <r>
    <n v="37"/>
    <s v="No"/>
    <s v="Non-Travel"/>
    <n v="1413"/>
    <s v="Research &amp; Development"/>
    <n v="5"/>
    <n v="2"/>
    <s v="Technical Degree"/>
    <n v="1"/>
    <n v="1440"/>
    <n v="3"/>
    <s v="Male"/>
    <n v="84"/>
    <n v="4"/>
    <n v="1"/>
    <s v="Laboratory Technician"/>
    <n v="3"/>
    <s v="Single"/>
    <n v="3500"/>
    <n v="25470"/>
    <n v="0"/>
    <s v="Y"/>
    <s v="No"/>
    <n v="14"/>
    <n v="3"/>
    <n v="1"/>
    <n v="80"/>
    <n v="0"/>
    <n v="7"/>
    <n v="2"/>
    <n v="1"/>
    <n v="6"/>
    <n v="5"/>
    <n v="1"/>
    <n v="3"/>
    <x v="1"/>
    <n v="0"/>
    <n v="0"/>
    <n v="1"/>
    <m/>
    <m/>
  </r>
  <r>
    <n v="56"/>
    <s v="No"/>
    <s v="Travel_Rarely"/>
    <n v="1255"/>
    <s v="Research &amp; Development"/>
    <n v="1"/>
    <n v="2"/>
    <s v="Life Sciences"/>
    <n v="1"/>
    <n v="1441"/>
    <n v="1"/>
    <s v="Female"/>
    <n v="90"/>
    <n v="3"/>
    <n v="1"/>
    <s v="Research Scientist"/>
    <n v="1"/>
    <s v="Married"/>
    <n v="2066"/>
    <n v="10494"/>
    <n v="2"/>
    <s v="Y"/>
    <s v="No"/>
    <n v="22"/>
    <n v="4"/>
    <n v="4"/>
    <n v="80"/>
    <n v="1"/>
    <n v="5"/>
    <n v="3"/>
    <n v="4"/>
    <n v="3"/>
    <n v="2"/>
    <n v="1"/>
    <n v="0"/>
    <x v="1"/>
    <n v="0"/>
    <n v="0"/>
    <n v="1"/>
    <m/>
    <m/>
  </r>
  <r>
    <n v="47"/>
    <s v="No"/>
    <s v="Travel_Rarely"/>
    <n v="359"/>
    <s v="Research &amp; Development"/>
    <n v="2"/>
    <n v="4"/>
    <s v="Medical"/>
    <n v="1"/>
    <n v="1443"/>
    <n v="1"/>
    <s v="Female"/>
    <n v="82"/>
    <n v="3"/>
    <n v="4"/>
    <s v="Research Director"/>
    <n v="3"/>
    <s v="Married"/>
    <n v="17169"/>
    <n v="26703"/>
    <n v="3"/>
    <s v="Y"/>
    <s v="No"/>
    <n v="19"/>
    <n v="3"/>
    <n v="2"/>
    <n v="80"/>
    <n v="2"/>
    <n v="26"/>
    <n v="2"/>
    <n v="4"/>
    <n v="20"/>
    <n v="17"/>
    <n v="5"/>
    <n v="6"/>
    <x v="1"/>
    <n v="0"/>
    <n v="0"/>
    <n v="1"/>
    <m/>
    <m/>
  </r>
  <r>
    <n v="24"/>
    <s v="No"/>
    <s v="Travel_Rarely"/>
    <n v="1476"/>
    <s v="Sales"/>
    <n v="4"/>
    <n v="1"/>
    <s v="Medical"/>
    <n v="1"/>
    <n v="1445"/>
    <n v="4"/>
    <s v="Female"/>
    <n v="42"/>
    <n v="3"/>
    <n v="2"/>
    <s v="Sales Executive"/>
    <n v="3"/>
    <s v="Married"/>
    <n v="4162"/>
    <n v="15211"/>
    <n v="1"/>
    <s v="Y"/>
    <s v="Yes"/>
    <n v="12"/>
    <n v="3"/>
    <n v="3"/>
    <n v="80"/>
    <n v="2"/>
    <n v="5"/>
    <n v="3"/>
    <n v="3"/>
    <n v="5"/>
    <n v="4"/>
    <n v="0"/>
    <n v="3"/>
    <x v="0"/>
    <n v="0"/>
    <n v="0"/>
    <n v="1"/>
    <m/>
    <m/>
  </r>
  <r>
    <n v="32"/>
    <s v="No"/>
    <s v="Travel_Rarely"/>
    <n v="601"/>
    <s v="Sales"/>
    <n v="7"/>
    <n v="5"/>
    <s v="Marketing"/>
    <n v="1"/>
    <n v="1446"/>
    <n v="4"/>
    <s v="Male"/>
    <n v="97"/>
    <n v="3"/>
    <n v="2"/>
    <s v="Sales Executive"/>
    <n v="4"/>
    <s v="Married"/>
    <n v="9204"/>
    <n v="23343"/>
    <n v="4"/>
    <s v="Y"/>
    <s v="No"/>
    <n v="12"/>
    <n v="3"/>
    <n v="3"/>
    <n v="80"/>
    <n v="1"/>
    <n v="7"/>
    <n v="3"/>
    <n v="2"/>
    <n v="4"/>
    <n v="3"/>
    <n v="0"/>
    <n v="3"/>
    <x v="0"/>
    <n v="0"/>
    <n v="0"/>
    <n v="1"/>
    <m/>
    <m/>
  </r>
  <r>
    <n v="34"/>
    <s v="No"/>
    <s v="Travel_Rarely"/>
    <n v="401"/>
    <s v="Research &amp; Development"/>
    <n v="1"/>
    <n v="3"/>
    <s v="Life Sciences"/>
    <n v="1"/>
    <n v="1447"/>
    <n v="4"/>
    <s v="Female"/>
    <n v="86"/>
    <n v="2"/>
    <n v="1"/>
    <s v="Laboratory Technician"/>
    <n v="2"/>
    <s v="Married"/>
    <n v="3294"/>
    <n v="3708"/>
    <n v="5"/>
    <s v="Y"/>
    <s v="No"/>
    <n v="17"/>
    <n v="3"/>
    <n v="1"/>
    <n v="80"/>
    <n v="1"/>
    <n v="7"/>
    <n v="2"/>
    <n v="2"/>
    <n v="5"/>
    <n v="4"/>
    <n v="0"/>
    <n v="2"/>
    <x v="1"/>
    <n v="0"/>
    <n v="0"/>
    <n v="1"/>
    <m/>
    <m/>
  </r>
  <r>
    <n v="41"/>
    <s v="No"/>
    <s v="Travel_Rarely"/>
    <n v="1283"/>
    <s v="Research &amp; Development"/>
    <n v="5"/>
    <n v="5"/>
    <s v="Medical"/>
    <n v="1"/>
    <n v="1448"/>
    <n v="2"/>
    <s v="Male"/>
    <n v="90"/>
    <n v="4"/>
    <n v="1"/>
    <s v="Research Scientist"/>
    <n v="3"/>
    <s v="Married"/>
    <n v="2127"/>
    <n v="5561"/>
    <n v="2"/>
    <s v="Y"/>
    <s v="Yes"/>
    <n v="12"/>
    <n v="3"/>
    <n v="1"/>
    <n v="80"/>
    <n v="0"/>
    <n v="7"/>
    <n v="5"/>
    <n v="2"/>
    <n v="4"/>
    <n v="2"/>
    <n v="0"/>
    <n v="3"/>
    <x v="1"/>
    <n v="0"/>
    <n v="0"/>
    <n v="1"/>
    <m/>
    <m/>
  </r>
  <r>
    <n v="40"/>
    <s v="No"/>
    <s v="Non-Travel"/>
    <n v="663"/>
    <s v="Research &amp; Development"/>
    <n v="9"/>
    <n v="4"/>
    <s v="Other"/>
    <n v="1"/>
    <n v="1449"/>
    <n v="3"/>
    <s v="Male"/>
    <n v="81"/>
    <n v="3"/>
    <n v="2"/>
    <s v="Laboratory Technician"/>
    <n v="3"/>
    <s v="Divorced"/>
    <n v="3975"/>
    <n v="23099"/>
    <n v="3"/>
    <s v="Y"/>
    <s v="No"/>
    <n v="11"/>
    <n v="3"/>
    <n v="3"/>
    <n v="80"/>
    <n v="2"/>
    <n v="11"/>
    <n v="2"/>
    <n v="4"/>
    <n v="8"/>
    <n v="7"/>
    <n v="0"/>
    <n v="7"/>
    <x v="1"/>
    <n v="0"/>
    <n v="0"/>
    <n v="1"/>
    <m/>
    <m/>
  </r>
  <r>
    <n v="31"/>
    <s v="No"/>
    <s v="Travel_Rarely"/>
    <n v="326"/>
    <s v="Sales"/>
    <n v="8"/>
    <n v="2"/>
    <s v="Life Sciences"/>
    <n v="1"/>
    <n v="1453"/>
    <n v="1"/>
    <s v="Male"/>
    <n v="31"/>
    <n v="3"/>
    <n v="3"/>
    <s v="Sales Executive"/>
    <n v="4"/>
    <s v="Divorced"/>
    <n v="10793"/>
    <n v="8386"/>
    <n v="1"/>
    <s v="Y"/>
    <s v="No"/>
    <n v="18"/>
    <n v="3"/>
    <n v="1"/>
    <n v="80"/>
    <n v="1"/>
    <n v="13"/>
    <n v="5"/>
    <n v="3"/>
    <n v="13"/>
    <n v="7"/>
    <n v="9"/>
    <n v="9"/>
    <x v="0"/>
    <n v="0"/>
    <n v="0"/>
    <n v="1"/>
    <m/>
    <m/>
  </r>
  <r>
    <n v="46"/>
    <s v="Yes"/>
    <s v="Travel_Rarely"/>
    <n v="377"/>
    <s v="Sales"/>
    <n v="9"/>
    <n v="3"/>
    <s v="Marketing"/>
    <n v="1"/>
    <n v="1457"/>
    <n v="1"/>
    <s v="Male"/>
    <n v="52"/>
    <n v="3"/>
    <n v="3"/>
    <s v="Sales Executive"/>
    <n v="4"/>
    <s v="Divorced"/>
    <n v="10096"/>
    <n v="15986"/>
    <n v="4"/>
    <s v="Y"/>
    <s v="No"/>
    <n v="11"/>
    <n v="3"/>
    <n v="1"/>
    <n v="80"/>
    <n v="1"/>
    <n v="28"/>
    <n v="1"/>
    <n v="4"/>
    <n v="7"/>
    <n v="7"/>
    <n v="4"/>
    <n v="3"/>
    <x v="0"/>
    <n v="1"/>
    <n v="181728"/>
    <n v="1"/>
    <m/>
    <m/>
  </r>
  <r>
    <n v="39"/>
    <s v="Yes"/>
    <s v="Non-Travel"/>
    <n v="592"/>
    <s v="Research &amp; Development"/>
    <n v="2"/>
    <n v="3"/>
    <s v="Life Sciences"/>
    <n v="1"/>
    <n v="1458"/>
    <n v="1"/>
    <s v="Female"/>
    <n v="54"/>
    <n v="2"/>
    <n v="1"/>
    <s v="Laboratory Technician"/>
    <n v="1"/>
    <s v="Single"/>
    <n v="3646"/>
    <n v="17181"/>
    <n v="2"/>
    <s v="Y"/>
    <s v="Yes"/>
    <n v="23"/>
    <n v="4"/>
    <n v="2"/>
    <n v="80"/>
    <n v="0"/>
    <n v="11"/>
    <n v="2"/>
    <n v="4"/>
    <n v="1"/>
    <n v="0"/>
    <n v="0"/>
    <n v="0"/>
    <x v="1"/>
    <n v="1"/>
    <n v="65628"/>
    <n v="1"/>
    <m/>
    <m/>
  </r>
  <r>
    <n v="31"/>
    <s v="Yes"/>
    <s v="Travel_Frequently"/>
    <n v="1445"/>
    <s v="Research &amp; Development"/>
    <n v="1"/>
    <n v="5"/>
    <s v="Life Sciences"/>
    <n v="1"/>
    <n v="1459"/>
    <n v="3"/>
    <s v="Female"/>
    <n v="100"/>
    <n v="4"/>
    <n v="3"/>
    <s v="Manufacturing Director"/>
    <n v="2"/>
    <s v="Single"/>
    <n v="7446"/>
    <n v="8931"/>
    <n v="1"/>
    <s v="Y"/>
    <s v="No"/>
    <n v="11"/>
    <n v="3"/>
    <n v="1"/>
    <n v="80"/>
    <n v="0"/>
    <n v="10"/>
    <n v="2"/>
    <n v="3"/>
    <n v="10"/>
    <n v="8"/>
    <n v="4"/>
    <n v="7"/>
    <x v="2"/>
    <n v="1"/>
    <n v="134028"/>
    <n v="1"/>
    <m/>
    <m/>
  </r>
  <r>
    <n v="45"/>
    <s v="No"/>
    <s v="Travel_Rarely"/>
    <n v="1038"/>
    <s v="Research &amp; Development"/>
    <n v="20"/>
    <n v="3"/>
    <s v="Medical"/>
    <n v="1"/>
    <n v="1460"/>
    <n v="2"/>
    <s v="Male"/>
    <n v="95"/>
    <n v="1"/>
    <n v="3"/>
    <s v="Healthcare Representative"/>
    <n v="1"/>
    <s v="Divorced"/>
    <n v="10851"/>
    <n v="19863"/>
    <n v="2"/>
    <s v="Y"/>
    <s v="Yes"/>
    <n v="18"/>
    <n v="3"/>
    <n v="2"/>
    <n v="80"/>
    <n v="1"/>
    <n v="24"/>
    <n v="2"/>
    <n v="3"/>
    <n v="7"/>
    <n v="7"/>
    <n v="0"/>
    <n v="7"/>
    <x v="3"/>
    <n v="0"/>
    <n v="0"/>
    <n v="1"/>
    <m/>
    <m/>
  </r>
  <r>
    <n v="31"/>
    <s v="No"/>
    <s v="Travel_Rarely"/>
    <n v="1398"/>
    <s v="Human Resources"/>
    <n v="8"/>
    <n v="2"/>
    <s v="Medical"/>
    <n v="1"/>
    <n v="1461"/>
    <n v="4"/>
    <s v="Female"/>
    <n v="96"/>
    <n v="4"/>
    <n v="1"/>
    <s v="Human Resources"/>
    <n v="2"/>
    <s v="Single"/>
    <n v="2109"/>
    <n v="24609"/>
    <n v="9"/>
    <s v="Y"/>
    <s v="No"/>
    <n v="18"/>
    <n v="3"/>
    <n v="4"/>
    <n v="80"/>
    <n v="0"/>
    <n v="8"/>
    <n v="3"/>
    <n v="3"/>
    <n v="3"/>
    <n v="2"/>
    <n v="0"/>
    <n v="2"/>
    <x v="5"/>
    <n v="0"/>
    <n v="0"/>
    <n v="1"/>
    <m/>
    <m/>
  </r>
  <r>
    <n v="31"/>
    <s v="Yes"/>
    <s v="Travel_Frequently"/>
    <n v="523"/>
    <s v="Research &amp; Development"/>
    <n v="2"/>
    <n v="3"/>
    <s v="Life Sciences"/>
    <n v="1"/>
    <n v="1464"/>
    <n v="2"/>
    <s v="Male"/>
    <n v="94"/>
    <n v="3"/>
    <n v="1"/>
    <s v="Laboratory Technician"/>
    <n v="4"/>
    <s v="Married"/>
    <n v="3722"/>
    <n v="21081"/>
    <n v="6"/>
    <s v="Y"/>
    <s v="Yes"/>
    <n v="13"/>
    <n v="3"/>
    <n v="3"/>
    <n v="80"/>
    <n v="1"/>
    <n v="7"/>
    <n v="2"/>
    <n v="1"/>
    <n v="2"/>
    <n v="2"/>
    <n v="2"/>
    <n v="2"/>
    <x v="1"/>
    <n v="1"/>
    <n v="66996"/>
    <n v="1"/>
    <m/>
    <m/>
  </r>
  <r>
    <n v="45"/>
    <s v="No"/>
    <s v="Travel_Rarely"/>
    <n v="1448"/>
    <s v="Research &amp; Development"/>
    <n v="29"/>
    <n v="3"/>
    <s v="Technical Degree"/>
    <n v="1"/>
    <n v="1465"/>
    <n v="2"/>
    <s v="Male"/>
    <n v="55"/>
    <n v="3"/>
    <n v="3"/>
    <s v="Manufacturing Director"/>
    <n v="4"/>
    <s v="Married"/>
    <n v="9380"/>
    <n v="14720"/>
    <n v="4"/>
    <s v="Y"/>
    <s v="Yes"/>
    <n v="18"/>
    <n v="3"/>
    <n v="4"/>
    <n v="80"/>
    <n v="2"/>
    <n v="10"/>
    <n v="4"/>
    <n v="4"/>
    <n v="3"/>
    <n v="1"/>
    <n v="1"/>
    <n v="2"/>
    <x v="2"/>
    <n v="0"/>
    <n v="0"/>
    <n v="1"/>
    <m/>
    <m/>
  </r>
  <r>
    <n v="48"/>
    <s v="No"/>
    <s v="Travel_Rarely"/>
    <n v="1221"/>
    <s v="Sales"/>
    <n v="7"/>
    <n v="3"/>
    <s v="Marketing"/>
    <n v="1"/>
    <n v="1466"/>
    <n v="3"/>
    <s v="Male"/>
    <n v="96"/>
    <n v="3"/>
    <n v="2"/>
    <s v="Sales Executive"/>
    <n v="1"/>
    <s v="Divorced"/>
    <n v="5486"/>
    <n v="24795"/>
    <n v="4"/>
    <s v="Y"/>
    <s v="No"/>
    <n v="11"/>
    <n v="3"/>
    <n v="1"/>
    <n v="80"/>
    <n v="3"/>
    <n v="15"/>
    <n v="3"/>
    <n v="3"/>
    <n v="2"/>
    <n v="2"/>
    <n v="2"/>
    <n v="2"/>
    <x v="0"/>
    <n v="0"/>
    <n v="0"/>
    <n v="1"/>
    <m/>
    <m/>
  </r>
  <r>
    <n v="34"/>
    <s v="Yes"/>
    <s v="Travel_Rarely"/>
    <n v="1107"/>
    <s v="Human Resources"/>
    <n v="9"/>
    <n v="4"/>
    <s v="Technical Degree"/>
    <n v="1"/>
    <n v="1467"/>
    <n v="1"/>
    <s v="Female"/>
    <n v="52"/>
    <n v="3"/>
    <n v="1"/>
    <s v="Human Resources"/>
    <n v="3"/>
    <s v="Married"/>
    <n v="2742"/>
    <n v="3072"/>
    <n v="1"/>
    <s v="Y"/>
    <s v="No"/>
    <n v="15"/>
    <n v="3"/>
    <n v="4"/>
    <n v="80"/>
    <n v="0"/>
    <n v="2"/>
    <n v="0"/>
    <n v="3"/>
    <n v="2"/>
    <n v="2"/>
    <n v="2"/>
    <n v="2"/>
    <x v="5"/>
    <n v="1"/>
    <n v="49356"/>
    <n v="1"/>
    <m/>
    <m/>
  </r>
  <r>
    <n v="40"/>
    <s v="No"/>
    <s v="Non-Travel"/>
    <n v="218"/>
    <s v="Research &amp; Development"/>
    <n v="8"/>
    <n v="1"/>
    <s v="Medical"/>
    <n v="1"/>
    <n v="1468"/>
    <n v="4"/>
    <s v="Male"/>
    <n v="55"/>
    <n v="2"/>
    <n v="3"/>
    <s v="Research Director"/>
    <n v="2"/>
    <s v="Divorced"/>
    <n v="13757"/>
    <n v="25178"/>
    <n v="2"/>
    <s v="Y"/>
    <s v="No"/>
    <n v="11"/>
    <n v="3"/>
    <n v="3"/>
    <n v="80"/>
    <n v="1"/>
    <n v="16"/>
    <n v="5"/>
    <n v="3"/>
    <n v="9"/>
    <n v="8"/>
    <n v="4"/>
    <n v="8"/>
    <x v="1"/>
    <n v="0"/>
    <n v="0"/>
    <n v="1"/>
    <m/>
    <m/>
  </r>
  <r>
    <n v="28"/>
    <s v="No"/>
    <s v="Travel_Rarely"/>
    <n v="866"/>
    <s v="Sales"/>
    <n v="5"/>
    <n v="3"/>
    <s v="Medical"/>
    <n v="1"/>
    <n v="1469"/>
    <n v="4"/>
    <s v="Male"/>
    <n v="84"/>
    <n v="3"/>
    <n v="2"/>
    <s v="Sales Executive"/>
    <n v="1"/>
    <s v="Single"/>
    <n v="8463"/>
    <n v="23490"/>
    <n v="0"/>
    <s v="Y"/>
    <s v="No"/>
    <n v="18"/>
    <n v="3"/>
    <n v="4"/>
    <n v="80"/>
    <n v="0"/>
    <n v="6"/>
    <n v="4"/>
    <n v="3"/>
    <n v="5"/>
    <n v="4"/>
    <n v="1"/>
    <n v="3"/>
    <x v="0"/>
    <n v="0"/>
    <n v="0"/>
    <n v="1"/>
    <m/>
    <m/>
  </r>
  <r>
    <n v="44"/>
    <s v="No"/>
    <s v="Non-Travel"/>
    <n v="981"/>
    <s v="Research &amp; Development"/>
    <n v="5"/>
    <n v="3"/>
    <s v="Life Sciences"/>
    <n v="1"/>
    <n v="1471"/>
    <n v="3"/>
    <s v="Male"/>
    <n v="90"/>
    <n v="2"/>
    <n v="1"/>
    <s v="Laboratory Technician"/>
    <n v="3"/>
    <s v="Single"/>
    <n v="3162"/>
    <n v="7973"/>
    <n v="3"/>
    <s v="Y"/>
    <s v="No"/>
    <n v="14"/>
    <n v="3"/>
    <n v="4"/>
    <n v="80"/>
    <n v="0"/>
    <n v="7"/>
    <n v="5"/>
    <n v="3"/>
    <n v="5"/>
    <n v="2"/>
    <n v="0"/>
    <n v="3"/>
    <x v="1"/>
    <n v="0"/>
    <n v="0"/>
    <n v="1"/>
    <m/>
    <m/>
  </r>
  <r>
    <n v="53"/>
    <s v="No"/>
    <s v="Travel_Rarely"/>
    <n v="447"/>
    <s v="Research &amp; Development"/>
    <n v="2"/>
    <n v="3"/>
    <s v="Medical"/>
    <n v="1"/>
    <n v="1472"/>
    <n v="4"/>
    <s v="Male"/>
    <n v="39"/>
    <n v="4"/>
    <n v="4"/>
    <s v="Research Director"/>
    <n v="2"/>
    <s v="Single"/>
    <n v="16598"/>
    <n v="19764"/>
    <n v="4"/>
    <s v="Y"/>
    <s v="No"/>
    <n v="12"/>
    <n v="3"/>
    <n v="2"/>
    <n v="80"/>
    <n v="0"/>
    <n v="35"/>
    <n v="2"/>
    <n v="2"/>
    <n v="9"/>
    <n v="8"/>
    <n v="8"/>
    <n v="8"/>
    <x v="1"/>
    <n v="0"/>
    <n v="0"/>
    <n v="1"/>
    <m/>
    <m/>
  </r>
  <r>
    <n v="49"/>
    <s v="No"/>
    <s v="Travel_Rarely"/>
    <n v="1495"/>
    <s v="Research &amp; Development"/>
    <n v="5"/>
    <n v="4"/>
    <s v="Technical Degree"/>
    <n v="1"/>
    <n v="1473"/>
    <n v="1"/>
    <s v="Male"/>
    <n v="96"/>
    <n v="3"/>
    <n v="2"/>
    <s v="Healthcare Representative"/>
    <n v="3"/>
    <s v="Married"/>
    <n v="6651"/>
    <n v="21534"/>
    <n v="2"/>
    <s v="Y"/>
    <s v="No"/>
    <n v="14"/>
    <n v="3"/>
    <n v="2"/>
    <n v="80"/>
    <n v="1"/>
    <n v="20"/>
    <n v="0"/>
    <n v="2"/>
    <n v="3"/>
    <n v="2"/>
    <n v="1"/>
    <n v="2"/>
    <x v="3"/>
    <n v="0"/>
    <n v="0"/>
    <n v="1"/>
    <m/>
    <m/>
  </r>
  <r>
    <n v="40"/>
    <s v="No"/>
    <s v="Travel_Rarely"/>
    <n v="896"/>
    <s v="Research &amp; Development"/>
    <n v="2"/>
    <n v="3"/>
    <s v="Medical"/>
    <n v="1"/>
    <n v="1474"/>
    <n v="3"/>
    <s v="Male"/>
    <n v="68"/>
    <n v="3"/>
    <n v="1"/>
    <s v="Research Scientist"/>
    <n v="3"/>
    <s v="Divorced"/>
    <n v="2345"/>
    <n v="8045"/>
    <n v="2"/>
    <s v="Y"/>
    <s v="No"/>
    <n v="14"/>
    <n v="3"/>
    <n v="3"/>
    <n v="80"/>
    <n v="1"/>
    <n v="8"/>
    <n v="3"/>
    <n v="4"/>
    <n v="3"/>
    <n v="1"/>
    <n v="1"/>
    <n v="2"/>
    <x v="1"/>
    <n v="0"/>
    <n v="0"/>
    <n v="1"/>
    <m/>
    <m/>
  </r>
  <r>
    <n v="44"/>
    <s v="No"/>
    <s v="Travel_Rarely"/>
    <n v="1467"/>
    <s v="Research &amp; Development"/>
    <n v="20"/>
    <n v="3"/>
    <s v="Life Sciences"/>
    <n v="1"/>
    <n v="1475"/>
    <n v="4"/>
    <s v="Male"/>
    <n v="49"/>
    <n v="3"/>
    <n v="1"/>
    <s v="Research Scientist"/>
    <n v="2"/>
    <s v="Single"/>
    <n v="3420"/>
    <n v="21158"/>
    <n v="1"/>
    <s v="Y"/>
    <s v="No"/>
    <n v="13"/>
    <n v="3"/>
    <n v="3"/>
    <n v="80"/>
    <n v="0"/>
    <n v="6"/>
    <n v="3"/>
    <n v="2"/>
    <n v="5"/>
    <n v="2"/>
    <n v="1"/>
    <n v="3"/>
    <x v="1"/>
    <n v="0"/>
    <n v="0"/>
    <n v="1"/>
    <m/>
    <m/>
  </r>
  <r>
    <n v="33"/>
    <s v="No"/>
    <s v="Travel_Frequently"/>
    <n v="430"/>
    <s v="Sales"/>
    <n v="7"/>
    <n v="3"/>
    <s v="Medical"/>
    <n v="1"/>
    <n v="1477"/>
    <n v="4"/>
    <s v="Male"/>
    <n v="54"/>
    <n v="3"/>
    <n v="2"/>
    <s v="Sales Executive"/>
    <n v="1"/>
    <s v="Married"/>
    <n v="4373"/>
    <n v="17456"/>
    <n v="0"/>
    <s v="Y"/>
    <s v="No"/>
    <n v="14"/>
    <n v="3"/>
    <n v="1"/>
    <n v="80"/>
    <n v="2"/>
    <n v="5"/>
    <n v="2"/>
    <n v="3"/>
    <n v="4"/>
    <n v="3"/>
    <n v="0"/>
    <n v="3"/>
    <x v="0"/>
    <n v="0"/>
    <n v="0"/>
    <n v="1"/>
    <m/>
    <m/>
  </r>
  <r>
    <n v="34"/>
    <s v="No"/>
    <s v="Travel_Rarely"/>
    <n v="1326"/>
    <s v="Sales"/>
    <n v="3"/>
    <n v="3"/>
    <s v="Other"/>
    <n v="1"/>
    <n v="1478"/>
    <n v="4"/>
    <s v="Male"/>
    <n v="81"/>
    <n v="1"/>
    <n v="2"/>
    <s v="Sales Executive"/>
    <n v="1"/>
    <s v="Single"/>
    <n v="4759"/>
    <n v="15891"/>
    <n v="3"/>
    <s v="Y"/>
    <s v="No"/>
    <n v="18"/>
    <n v="3"/>
    <n v="4"/>
    <n v="80"/>
    <n v="0"/>
    <n v="15"/>
    <n v="2"/>
    <n v="3"/>
    <n v="13"/>
    <n v="9"/>
    <n v="3"/>
    <n v="12"/>
    <x v="0"/>
    <n v="0"/>
    <n v="0"/>
    <n v="1"/>
    <m/>
    <m/>
  </r>
  <r>
    <n v="30"/>
    <s v="No"/>
    <s v="Travel_Rarely"/>
    <n v="1358"/>
    <s v="Sales"/>
    <n v="16"/>
    <n v="1"/>
    <s v="Life Sciences"/>
    <n v="1"/>
    <n v="1479"/>
    <n v="4"/>
    <s v="Male"/>
    <n v="96"/>
    <n v="3"/>
    <n v="2"/>
    <s v="Sales Executive"/>
    <n v="3"/>
    <s v="Married"/>
    <n v="5301"/>
    <n v="2939"/>
    <n v="8"/>
    <s v="Y"/>
    <s v="No"/>
    <n v="15"/>
    <n v="3"/>
    <n v="3"/>
    <n v="80"/>
    <n v="2"/>
    <n v="4"/>
    <n v="2"/>
    <n v="2"/>
    <n v="2"/>
    <n v="1"/>
    <n v="2"/>
    <n v="2"/>
    <x v="0"/>
    <n v="0"/>
    <n v="0"/>
    <n v="1"/>
    <m/>
    <m/>
  </r>
  <r>
    <n v="42"/>
    <s v="No"/>
    <s v="Travel_Frequently"/>
    <n v="748"/>
    <s v="Research &amp; Development"/>
    <n v="9"/>
    <n v="2"/>
    <s v="Medical"/>
    <n v="1"/>
    <n v="1480"/>
    <n v="1"/>
    <s v="Female"/>
    <n v="74"/>
    <n v="3"/>
    <n v="1"/>
    <s v="Laboratory Technician"/>
    <n v="4"/>
    <s v="Single"/>
    <n v="3673"/>
    <n v="16458"/>
    <n v="1"/>
    <s v="Y"/>
    <s v="No"/>
    <n v="13"/>
    <n v="3"/>
    <n v="3"/>
    <n v="80"/>
    <n v="0"/>
    <n v="12"/>
    <n v="3"/>
    <n v="3"/>
    <n v="12"/>
    <n v="9"/>
    <n v="5"/>
    <n v="8"/>
    <x v="1"/>
    <n v="0"/>
    <n v="0"/>
    <n v="1"/>
    <m/>
    <m/>
  </r>
  <r>
    <n v="44"/>
    <s v="No"/>
    <s v="Travel_Frequently"/>
    <n v="383"/>
    <s v="Sales"/>
    <n v="1"/>
    <n v="5"/>
    <s v="Marketing"/>
    <n v="1"/>
    <n v="1481"/>
    <n v="1"/>
    <s v="Female"/>
    <n v="79"/>
    <n v="3"/>
    <n v="2"/>
    <s v="Sales Executive"/>
    <n v="3"/>
    <s v="Married"/>
    <n v="4768"/>
    <n v="9282"/>
    <n v="7"/>
    <s v="Y"/>
    <s v="No"/>
    <n v="12"/>
    <n v="3"/>
    <n v="3"/>
    <n v="80"/>
    <n v="1"/>
    <n v="11"/>
    <n v="4"/>
    <n v="2"/>
    <n v="1"/>
    <n v="0"/>
    <n v="0"/>
    <n v="0"/>
    <x v="0"/>
    <n v="0"/>
    <n v="0"/>
    <n v="1"/>
    <m/>
    <m/>
  </r>
  <r>
    <n v="30"/>
    <s v="No"/>
    <s v="Non-Travel"/>
    <n v="990"/>
    <s v="Research &amp; Development"/>
    <n v="7"/>
    <n v="3"/>
    <s v="Technical Degree"/>
    <n v="1"/>
    <n v="1482"/>
    <n v="3"/>
    <s v="Male"/>
    <n v="64"/>
    <n v="3"/>
    <n v="1"/>
    <s v="Research Scientist"/>
    <n v="3"/>
    <s v="Divorced"/>
    <n v="1274"/>
    <n v="7152"/>
    <n v="1"/>
    <s v="Y"/>
    <s v="No"/>
    <n v="13"/>
    <n v="3"/>
    <n v="2"/>
    <n v="80"/>
    <n v="2"/>
    <n v="1"/>
    <n v="2"/>
    <n v="2"/>
    <n v="1"/>
    <n v="0"/>
    <n v="0"/>
    <n v="0"/>
    <x v="1"/>
    <n v="0"/>
    <n v="0"/>
    <n v="1"/>
    <m/>
    <m/>
  </r>
  <r>
    <n v="57"/>
    <s v="No"/>
    <s v="Travel_Rarely"/>
    <n v="405"/>
    <s v="Research &amp; Development"/>
    <n v="1"/>
    <n v="2"/>
    <s v="Life Sciences"/>
    <n v="1"/>
    <n v="1483"/>
    <n v="2"/>
    <s v="Male"/>
    <n v="93"/>
    <n v="4"/>
    <n v="2"/>
    <s v="Research Scientist"/>
    <n v="3"/>
    <s v="Married"/>
    <n v="4900"/>
    <n v="2721"/>
    <n v="0"/>
    <s v="Y"/>
    <s v="No"/>
    <n v="24"/>
    <n v="4"/>
    <n v="1"/>
    <n v="80"/>
    <n v="1"/>
    <n v="13"/>
    <n v="2"/>
    <n v="2"/>
    <n v="12"/>
    <n v="9"/>
    <n v="2"/>
    <n v="8"/>
    <x v="1"/>
    <n v="0"/>
    <n v="0"/>
    <n v="1"/>
    <m/>
    <m/>
  </r>
  <r>
    <n v="49"/>
    <s v="No"/>
    <s v="Travel_Rarely"/>
    <n v="1490"/>
    <s v="Research &amp; Development"/>
    <n v="7"/>
    <n v="4"/>
    <s v="Life Sciences"/>
    <n v="1"/>
    <n v="1484"/>
    <n v="3"/>
    <s v="Male"/>
    <n v="35"/>
    <n v="3"/>
    <n v="3"/>
    <s v="Healthcare Representative"/>
    <n v="2"/>
    <s v="Divorced"/>
    <n v="10466"/>
    <n v="20948"/>
    <n v="3"/>
    <s v="Y"/>
    <s v="No"/>
    <n v="14"/>
    <n v="3"/>
    <n v="2"/>
    <n v="80"/>
    <n v="2"/>
    <n v="29"/>
    <n v="3"/>
    <n v="3"/>
    <n v="8"/>
    <n v="7"/>
    <n v="0"/>
    <n v="7"/>
    <x v="3"/>
    <n v="0"/>
    <n v="0"/>
    <n v="1"/>
    <m/>
    <m/>
  </r>
  <r>
    <n v="34"/>
    <s v="No"/>
    <s v="Travel_Frequently"/>
    <n v="829"/>
    <s v="Research &amp; Development"/>
    <n v="15"/>
    <n v="3"/>
    <s v="Medical"/>
    <n v="1"/>
    <n v="1485"/>
    <n v="2"/>
    <s v="Male"/>
    <n v="71"/>
    <n v="3"/>
    <n v="4"/>
    <s v="Research Director"/>
    <n v="1"/>
    <s v="Divorced"/>
    <n v="17007"/>
    <n v="11929"/>
    <n v="7"/>
    <s v="Y"/>
    <s v="No"/>
    <n v="14"/>
    <n v="3"/>
    <n v="4"/>
    <n v="80"/>
    <n v="2"/>
    <n v="16"/>
    <n v="3"/>
    <n v="2"/>
    <n v="14"/>
    <n v="8"/>
    <n v="6"/>
    <n v="9"/>
    <x v="1"/>
    <n v="0"/>
    <n v="0"/>
    <n v="1"/>
    <m/>
    <m/>
  </r>
  <r>
    <n v="28"/>
    <s v="Yes"/>
    <s v="Travel_Frequently"/>
    <n v="1496"/>
    <s v="Sales"/>
    <n v="1"/>
    <n v="3"/>
    <s v="Technical Degree"/>
    <n v="1"/>
    <n v="1486"/>
    <n v="1"/>
    <s v="Male"/>
    <n v="92"/>
    <n v="3"/>
    <n v="1"/>
    <s v="Sales Representative"/>
    <n v="3"/>
    <s v="Married"/>
    <n v="2909"/>
    <n v="15747"/>
    <n v="3"/>
    <s v="Y"/>
    <s v="No"/>
    <n v="15"/>
    <n v="3"/>
    <n v="4"/>
    <n v="80"/>
    <n v="1"/>
    <n v="5"/>
    <n v="3"/>
    <n v="4"/>
    <n v="3"/>
    <n v="2"/>
    <n v="1"/>
    <n v="2"/>
    <x v="0"/>
    <n v="1"/>
    <n v="52362"/>
    <n v="1"/>
    <m/>
    <m/>
  </r>
  <r>
    <n v="29"/>
    <s v="Yes"/>
    <s v="Travel_Frequently"/>
    <n v="115"/>
    <s v="Sales"/>
    <n v="13"/>
    <n v="3"/>
    <s v="Technical Degree"/>
    <n v="1"/>
    <n v="1487"/>
    <n v="1"/>
    <s v="Female"/>
    <n v="51"/>
    <n v="3"/>
    <n v="2"/>
    <s v="Sales Executive"/>
    <n v="2"/>
    <s v="Single"/>
    <n v="5765"/>
    <n v="17485"/>
    <n v="5"/>
    <s v="Y"/>
    <s v="No"/>
    <n v="11"/>
    <n v="3"/>
    <n v="1"/>
    <n v="80"/>
    <n v="0"/>
    <n v="7"/>
    <n v="4"/>
    <n v="1"/>
    <n v="5"/>
    <n v="3"/>
    <n v="0"/>
    <n v="0"/>
    <x v="0"/>
    <n v="1"/>
    <n v="103770"/>
    <n v="1"/>
    <m/>
    <m/>
  </r>
  <r>
    <n v="34"/>
    <s v="Yes"/>
    <s v="Travel_Rarely"/>
    <n v="790"/>
    <s v="Sales"/>
    <n v="24"/>
    <n v="4"/>
    <s v="Medical"/>
    <n v="1"/>
    <n v="1489"/>
    <n v="1"/>
    <s v="Female"/>
    <n v="40"/>
    <n v="2"/>
    <n v="2"/>
    <s v="Sales Executive"/>
    <n v="2"/>
    <s v="Single"/>
    <n v="4599"/>
    <n v="7815"/>
    <n v="0"/>
    <s v="Y"/>
    <s v="Yes"/>
    <n v="23"/>
    <n v="4"/>
    <n v="3"/>
    <n v="80"/>
    <n v="0"/>
    <n v="16"/>
    <n v="2"/>
    <n v="4"/>
    <n v="15"/>
    <n v="9"/>
    <n v="10"/>
    <n v="10"/>
    <x v="0"/>
    <n v="1"/>
    <n v="82782"/>
    <n v="1"/>
    <m/>
    <m/>
  </r>
  <r>
    <n v="35"/>
    <s v="No"/>
    <s v="Travel_Rarely"/>
    <n v="660"/>
    <s v="Sales"/>
    <n v="7"/>
    <n v="1"/>
    <s v="Life Sciences"/>
    <n v="1"/>
    <n v="1492"/>
    <n v="4"/>
    <s v="Male"/>
    <n v="76"/>
    <n v="3"/>
    <n v="1"/>
    <s v="Sales Representative"/>
    <n v="3"/>
    <s v="Married"/>
    <n v="2404"/>
    <n v="16192"/>
    <n v="1"/>
    <s v="Y"/>
    <s v="No"/>
    <n v="13"/>
    <n v="3"/>
    <n v="1"/>
    <n v="80"/>
    <n v="1"/>
    <n v="1"/>
    <n v="3"/>
    <n v="3"/>
    <n v="1"/>
    <n v="0"/>
    <n v="0"/>
    <n v="0"/>
    <x v="0"/>
    <n v="0"/>
    <n v="0"/>
    <n v="1"/>
    <m/>
    <m/>
  </r>
  <r>
    <n v="24"/>
    <s v="Yes"/>
    <s v="Travel_Frequently"/>
    <n v="381"/>
    <s v="Research &amp; Development"/>
    <n v="9"/>
    <n v="3"/>
    <s v="Medical"/>
    <n v="1"/>
    <n v="1494"/>
    <n v="2"/>
    <s v="Male"/>
    <n v="89"/>
    <n v="3"/>
    <n v="1"/>
    <s v="Laboratory Technician"/>
    <n v="1"/>
    <s v="Single"/>
    <n v="3172"/>
    <n v="16998"/>
    <n v="2"/>
    <s v="Y"/>
    <s v="Yes"/>
    <n v="11"/>
    <n v="3"/>
    <n v="3"/>
    <n v="80"/>
    <n v="0"/>
    <n v="4"/>
    <n v="2"/>
    <n v="2"/>
    <n v="0"/>
    <n v="0"/>
    <n v="0"/>
    <n v="0"/>
    <x v="1"/>
    <n v="1"/>
    <n v="57096"/>
    <n v="1"/>
    <m/>
    <m/>
  </r>
  <r>
    <n v="24"/>
    <s v="No"/>
    <s v="Non-Travel"/>
    <n v="830"/>
    <s v="Sales"/>
    <n v="13"/>
    <n v="2"/>
    <s v="Life Sciences"/>
    <n v="1"/>
    <n v="1495"/>
    <n v="4"/>
    <s v="Female"/>
    <n v="78"/>
    <n v="3"/>
    <n v="1"/>
    <s v="Sales Representative"/>
    <n v="2"/>
    <s v="Married"/>
    <n v="2033"/>
    <n v="7103"/>
    <n v="1"/>
    <s v="Y"/>
    <s v="No"/>
    <n v="13"/>
    <n v="3"/>
    <n v="3"/>
    <n v="80"/>
    <n v="1"/>
    <n v="1"/>
    <n v="2"/>
    <n v="3"/>
    <n v="1"/>
    <n v="0"/>
    <n v="0"/>
    <n v="0"/>
    <x v="0"/>
    <n v="0"/>
    <n v="0"/>
    <n v="1"/>
    <m/>
    <m/>
  </r>
  <r>
    <n v="44"/>
    <s v="No"/>
    <s v="Travel_Frequently"/>
    <n v="1193"/>
    <s v="Research &amp; Development"/>
    <n v="2"/>
    <n v="1"/>
    <s v="Medical"/>
    <n v="1"/>
    <n v="1496"/>
    <n v="2"/>
    <s v="Male"/>
    <n v="86"/>
    <n v="3"/>
    <n v="3"/>
    <s v="Manufacturing Director"/>
    <n v="3"/>
    <s v="Single"/>
    <n v="10209"/>
    <n v="19719"/>
    <n v="5"/>
    <s v="Y"/>
    <s v="Yes"/>
    <n v="18"/>
    <n v="3"/>
    <n v="2"/>
    <n v="80"/>
    <n v="0"/>
    <n v="16"/>
    <n v="2"/>
    <n v="2"/>
    <n v="2"/>
    <n v="2"/>
    <n v="2"/>
    <n v="2"/>
    <x v="2"/>
    <n v="0"/>
    <n v="0"/>
    <n v="1"/>
    <m/>
    <m/>
  </r>
  <r>
    <n v="29"/>
    <s v="No"/>
    <s v="Travel_Rarely"/>
    <n v="1246"/>
    <s v="Sales"/>
    <n v="19"/>
    <n v="3"/>
    <s v="Life Sciences"/>
    <n v="1"/>
    <n v="1497"/>
    <n v="3"/>
    <s v="Male"/>
    <n v="77"/>
    <n v="2"/>
    <n v="2"/>
    <s v="Sales Executive"/>
    <n v="3"/>
    <s v="Divorced"/>
    <n v="8620"/>
    <n v="23757"/>
    <n v="1"/>
    <s v="Y"/>
    <s v="No"/>
    <n v="14"/>
    <n v="3"/>
    <n v="3"/>
    <n v="80"/>
    <n v="2"/>
    <n v="10"/>
    <n v="3"/>
    <n v="3"/>
    <n v="10"/>
    <n v="7"/>
    <n v="0"/>
    <n v="4"/>
    <x v="0"/>
    <n v="0"/>
    <n v="0"/>
    <n v="1"/>
    <m/>
    <m/>
  </r>
  <r>
    <n v="30"/>
    <s v="No"/>
    <s v="Travel_Rarely"/>
    <n v="330"/>
    <s v="Human Resources"/>
    <n v="1"/>
    <n v="3"/>
    <s v="Life Sciences"/>
    <n v="1"/>
    <n v="1499"/>
    <n v="3"/>
    <s v="Male"/>
    <n v="46"/>
    <n v="3"/>
    <n v="1"/>
    <s v="Human Resources"/>
    <n v="3"/>
    <s v="Divorced"/>
    <n v="2064"/>
    <n v="15428"/>
    <n v="0"/>
    <s v="Y"/>
    <s v="No"/>
    <n v="21"/>
    <n v="4"/>
    <n v="1"/>
    <n v="80"/>
    <n v="1"/>
    <n v="6"/>
    <n v="3"/>
    <n v="4"/>
    <n v="5"/>
    <n v="3"/>
    <n v="1"/>
    <n v="3"/>
    <x v="5"/>
    <n v="0"/>
    <n v="0"/>
    <n v="1"/>
    <m/>
    <m/>
  </r>
  <r>
    <n v="55"/>
    <s v="No"/>
    <s v="Travel_Rarely"/>
    <n v="1229"/>
    <s v="Research &amp; Development"/>
    <n v="4"/>
    <n v="4"/>
    <s v="Life Sciences"/>
    <n v="1"/>
    <n v="1501"/>
    <n v="4"/>
    <s v="Male"/>
    <n v="30"/>
    <n v="3"/>
    <n v="2"/>
    <s v="Healthcare Representative"/>
    <n v="3"/>
    <s v="Married"/>
    <n v="4035"/>
    <n v="16143"/>
    <n v="0"/>
    <s v="Y"/>
    <s v="Yes"/>
    <n v="16"/>
    <n v="3"/>
    <n v="2"/>
    <n v="80"/>
    <n v="0"/>
    <n v="4"/>
    <n v="2"/>
    <n v="3"/>
    <n v="3"/>
    <n v="2"/>
    <n v="1"/>
    <n v="2"/>
    <x v="3"/>
    <n v="0"/>
    <n v="0"/>
    <n v="1"/>
    <m/>
    <m/>
  </r>
  <r>
    <n v="33"/>
    <s v="No"/>
    <s v="Travel_Rarely"/>
    <n v="1099"/>
    <s v="Research &amp; Development"/>
    <n v="4"/>
    <n v="4"/>
    <s v="Medical"/>
    <n v="1"/>
    <n v="1502"/>
    <n v="1"/>
    <s v="Female"/>
    <n v="82"/>
    <n v="2"/>
    <n v="1"/>
    <s v="Laboratory Technician"/>
    <n v="2"/>
    <s v="Married"/>
    <n v="3838"/>
    <n v="8192"/>
    <n v="8"/>
    <s v="Y"/>
    <s v="No"/>
    <n v="11"/>
    <n v="3"/>
    <n v="4"/>
    <n v="80"/>
    <n v="0"/>
    <n v="8"/>
    <n v="5"/>
    <n v="3"/>
    <n v="5"/>
    <n v="4"/>
    <n v="0"/>
    <n v="2"/>
    <x v="1"/>
    <n v="0"/>
    <n v="0"/>
    <n v="1"/>
    <m/>
    <m/>
  </r>
  <r>
    <n v="47"/>
    <s v="No"/>
    <s v="Travel_Rarely"/>
    <n v="571"/>
    <s v="Sales"/>
    <n v="14"/>
    <n v="3"/>
    <s v="Medical"/>
    <n v="1"/>
    <n v="1503"/>
    <n v="3"/>
    <s v="Female"/>
    <n v="78"/>
    <n v="3"/>
    <n v="2"/>
    <s v="Sales Executive"/>
    <n v="3"/>
    <s v="Married"/>
    <n v="4591"/>
    <n v="24200"/>
    <n v="3"/>
    <s v="Y"/>
    <s v="Yes"/>
    <n v="17"/>
    <n v="3"/>
    <n v="3"/>
    <n v="80"/>
    <n v="1"/>
    <n v="11"/>
    <n v="4"/>
    <n v="2"/>
    <n v="5"/>
    <n v="4"/>
    <n v="1"/>
    <n v="2"/>
    <x v="0"/>
    <n v="0"/>
    <n v="0"/>
    <n v="1"/>
    <m/>
    <m/>
  </r>
  <r>
    <n v="28"/>
    <s v="Yes"/>
    <s v="Travel_Frequently"/>
    <n v="289"/>
    <s v="Research &amp; Development"/>
    <n v="2"/>
    <n v="2"/>
    <s v="Medical"/>
    <n v="1"/>
    <n v="1504"/>
    <n v="3"/>
    <s v="Male"/>
    <n v="38"/>
    <n v="2"/>
    <n v="1"/>
    <s v="Laboratory Technician"/>
    <n v="1"/>
    <s v="Single"/>
    <n v="2561"/>
    <n v="5355"/>
    <n v="7"/>
    <s v="Y"/>
    <s v="No"/>
    <n v="11"/>
    <n v="3"/>
    <n v="3"/>
    <n v="80"/>
    <n v="0"/>
    <n v="8"/>
    <n v="2"/>
    <n v="2"/>
    <n v="0"/>
    <n v="0"/>
    <n v="0"/>
    <n v="0"/>
    <x v="1"/>
    <n v="1"/>
    <n v="46098"/>
    <n v="1"/>
    <m/>
    <m/>
  </r>
  <r>
    <n v="28"/>
    <s v="No"/>
    <s v="Travel_Rarely"/>
    <n v="1423"/>
    <s v="Research &amp; Development"/>
    <n v="1"/>
    <n v="3"/>
    <s v="Life Sciences"/>
    <n v="1"/>
    <n v="1506"/>
    <n v="1"/>
    <s v="Male"/>
    <n v="72"/>
    <n v="2"/>
    <n v="1"/>
    <s v="Research Scientist"/>
    <n v="3"/>
    <s v="Divorced"/>
    <n v="1563"/>
    <n v="12530"/>
    <n v="1"/>
    <s v="Y"/>
    <s v="No"/>
    <n v="14"/>
    <n v="3"/>
    <n v="4"/>
    <n v="80"/>
    <n v="1"/>
    <n v="1"/>
    <n v="2"/>
    <n v="1"/>
    <n v="1"/>
    <n v="0"/>
    <n v="0"/>
    <n v="0"/>
    <x v="1"/>
    <n v="0"/>
    <n v="0"/>
    <n v="1"/>
    <m/>
    <m/>
  </r>
  <r>
    <n v="28"/>
    <s v="No"/>
    <s v="Travel_Frequently"/>
    <n v="467"/>
    <s v="Sales"/>
    <n v="7"/>
    <n v="3"/>
    <s v="Life Sciences"/>
    <n v="1"/>
    <n v="1507"/>
    <n v="3"/>
    <s v="Male"/>
    <n v="55"/>
    <n v="3"/>
    <n v="2"/>
    <s v="Sales Executive"/>
    <n v="1"/>
    <s v="Single"/>
    <n v="4898"/>
    <n v="11827"/>
    <n v="0"/>
    <s v="Y"/>
    <s v="No"/>
    <n v="14"/>
    <n v="3"/>
    <n v="4"/>
    <n v="80"/>
    <n v="0"/>
    <n v="5"/>
    <n v="5"/>
    <n v="3"/>
    <n v="4"/>
    <n v="2"/>
    <n v="1"/>
    <n v="3"/>
    <x v="0"/>
    <n v="0"/>
    <n v="0"/>
    <n v="1"/>
    <m/>
    <m/>
  </r>
  <r>
    <n v="49"/>
    <s v="No"/>
    <s v="Travel_Rarely"/>
    <n v="271"/>
    <s v="Research &amp; Development"/>
    <n v="3"/>
    <n v="2"/>
    <s v="Medical"/>
    <n v="1"/>
    <n v="1509"/>
    <n v="3"/>
    <s v="Female"/>
    <n v="43"/>
    <n v="2"/>
    <n v="2"/>
    <s v="Laboratory Technician"/>
    <n v="1"/>
    <s v="Married"/>
    <n v="4789"/>
    <n v="23070"/>
    <n v="4"/>
    <s v="Y"/>
    <s v="No"/>
    <n v="25"/>
    <n v="4"/>
    <n v="1"/>
    <n v="80"/>
    <n v="1"/>
    <n v="10"/>
    <n v="3"/>
    <n v="3"/>
    <n v="3"/>
    <n v="2"/>
    <n v="1"/>
    <n v="2"/>
    <x v="1"/>
    <n v="0"/>
    <n v="0"/>
    <n v="1"/>
    <m/>
    <m/>
  </r>
  <r>
    <n v="29"/>
    <s v="No"/>
    <s v="Travel_Frequently"/>
    <n v="410"/>
    <s v="Research &amp; Development"/>
    <n v="2"/>
    <n v="1"/>
    <s v="Life Sciences"/>
    <n v="1"/>
    <n v="1513"/>
    <n v="4"/>
    <s v="Female"/>
    <n v="97"/>
    <n v="3"/>
    <n v="1"/>
    <s v="Laboratory Technician"/>
    <n v="2"/>
    <s v="Married"/>
    <n v="3180"/>
    <n v="4668"/>
    <n v="0"/>
    <s v="Y"/>
    <s v="No"/>
    <n v="13"/>
    <n v="3"/>
    <n v="3"/>
    <n v="80"/>
    <n v="3"/>
    <n v="4"/>
    <n v="3"/>
    <n v="3"/>
    <n v="3"/>
    <n v="2"/>
    <n v="0"/>
    <n v="2"/>
    <x v="1"/>
    <n v="0"/>
    <n v="0"/>
    <n v="1"/>
    <m/>
    <m/>
  </r>
  <r>
    <n v="28"/>
    <s v="No"/>
    <s v="Travel_Rarely"/>
    <n v="1083"/>
    <s v="Research &amp; Development"/>
    <n v="29"/>
    <n v="1"/>
    <s v="Life Sciences"/>
    <n v="1"/>
    <n v="1514"/>
    <n v="3"/>
    <s v="Male"/>
    <n v="96"/>
    <n v="1"/>
    <n v="2"/>
    <s v="Manufacturing Director"/>
    <n v="2"/>
    <s v="Married"/>
    <n v="6549"/>
    <n v="3173"/>
    <n v="1"/>
    <s v="Y"/>
    <s v="No"/>
    <n v="14"/>
    <n v="3"/>
    <n v="2"/>
    <n v="80"/>
    <n v="2"/>
    <n v="8"/>
    <n v="2"/>
    <n v="2"/>
    <n v="8"/>
    <n v="6"/>
    <n v="1"/>
    <n v="7"/>
    <x v="2"/>
    <n v="0"/>
    <n v="0"/>
    <n v="1"/>
    <m/>
    <m/>
  </r>
  <r>
    <n v="33"/>
    <s v="No"/>
    <s v="Travel_Rarely"/>
    <n v="516"/>
    <s v="Research &amp; Development"/>
    <n v="8"/>
    <n v="5"/>
    <s v="Life Sciences"/>
    <n v="1"/>
    <n v="1515"/>
    <n v="4"/>
    <s v="Male"/>
    <n v="69"/>
    <n v="3"/>
    <n v="2"/>
    <s v="Healthcare Representative"/>
    <n v="3"/>
    <s v="Single"/>
    <n v="6388"/>
    <n v="22049"/>
    <n v="2"/>
    <s v="Y"/>
    <s v="Yes"/>
    <n v="17"/>
    <n v="3"/>
    <n v="1"/>
    <n v="80"/>
    <n v="0"/>
    <n v="14"/>
    <n v="6"/>
    <n v="3"/>
    <n v="0"/>
    <n v="0"/>
    <n v="0"/>
    <n v="0"/>
    <x v="3"/>
    <n v="0"/>
    <n v="0"/>
    <n v="1"/>
    <m/>
    <m/>
  </r>
  <r>
    <n v="32"/>
    <s v="No"/>
    <s v="Travel_Rarely"/>
    <n v="495"/>
    <s v="Research &amp; Development"/>
    <n v="10"/>
    <n v="3"/>
    <s v="Medical"/>
    <n v="1"/>
    <n v="1516"/>
    <n v="3"/>
    <s v="Male"/>
    <n v="64"/>
    <n v="3"/>
    <n v="3"/>
    <s v="Manager"/>
    <n v="4"/>
    <s v="Single"/>
    <n v="11244"/>
    <n v="21072"/>
    <n v="2"/>
    <s v="Y"/>
    <s v="No"/>
    <n v="25"/>
    <n v="4"/>
    <n v="2"/>
    <n v="80"/>
    <n v="0"/>
    <n v="10"/>
    <n v="5"/>
    <n v="4"/>
    <n v="5"/>
    <n v="2"/>
    <n v="0"/>
    <n v="0"/>
    <x v="4"/>
    <n v="0"/>
    <n v="0"/>
    <n v="1"/>
    <m/>
    <m/>
  </r>
  <r>
    <n v="54"/>
    <s v="No"/>
    <s v="Travel_Frequently"/>
    <n v="1050"/>
    <s v="Research &amp; Development"/>
    <n v="11"/>
    <n v="4"/>
    <s v="Medical"/>
    <n v="1"/>
    <n v="1520"/>
    <n v="2"/>
    <s v="Female"/>
    <n v="87"/>
    <n v="3"/>
    <n v="4"/>
    <s v="Manager"/>
    <n v="4"/>
    <s v="Divorced"/>
    <n v="16032"/>
    <n v="24456"/>
    <n v="3"/>
    <s v="Y"/>
    <s v="No"/>
    <n v="20"/>
    <n v="4"/>
    <n v="1"/>
    <n v="80"/>
    <n v="1"/>
    <n v="26"/>
    <n v="2"/>
    <n v="3"/>
    <n v="14"/>
    <n v="9"/>
    <n v="1"/>
    <n v="12"/>
    <x v="4"/>
    <n v="0"/>
    <n v="0"/>
    <n v="1"/>
    <m/>
    <m/>
  </r>
  <r>
    <n v="29"/>
    <s v="Yes"/>
    <s v="Travel_Rarely"/>
    <n v="224"/>
    <s v="Research &amp; Development"/>
    <n v="1"/>
    <n v="4"/>
    <s v="Technical Degree"/>
    <n v="1"/>
    <n v="1522"/>
    <n v="1"/>
    <s v="Male"/>
    <n v="100"/>
    <n v="2"/>
    <n v="1"/>
    <s v="Research Scientist"/>
    <n v="1"/>
    <s v="Single"/>
    <n v="2362"/>
    <n v="7568"/>
    <n v="6"/>
    <s v="Y"/>
    <s v="No"/>
    <n v="13"/>
    <n v="3"/>
    <n v="3"/>
    <n v="80"/>
    <n v="0"/>
    <n v="11"/>
    <n v="2"/>
    <n v="1"/>
    <n v="9"/>
    <n v="7"/>
    <n v="0"/>
    <n v="7"/>
    <x v="1"/>
    <n v="1"/>
    <n v="42516"/>
    <n v="1"/>
    <m/>
    <m/>
  </r>
  <r>
    <n v="44"/>
    <s v="No"/>
    <s v="Travel_Rarely"/>
    <n v="136"/>
    <s v="Research &amp; Development"/>
    <n v="28"/>
    <n v="3"/>
    <s v="Life Sciences"/>
    <n v="1"/>
    <n v="1523"/>
    <n v="4"/>
    <s v="Male"/>
    <n v="32"/>
    <n v="3"/>
    <n v="4"/>
    <s v="Research Director"/>
    <n v="1"/>
    <s v="Married"/>
    <n v="16328"/>
    <n v="22074"/>
    <n v="3"/>
    <s v="Y"/>
    <s v="No"/>
    <n v="13"/>
    <n v="3"/>
    <n v="3"/>
    <n v="80"/>
    <n v="1"/>
    <n v="24"/>
    <n v="1"/>
    <n v="4"/>
    <n v="20"/>
    <n v="6"/>
    <n v="14"/>
    <n v="17"/>
    <x v="1"/>
    <n v="0"/>
    <n v="0"/>
    <n v="1"/>
    <m/>
    <m/>
  </r>
  <r>
    <n v="39"/>
    <s v="No"/>
    <s v="Travel_Rarely"/>
    <n v="1089"/>
    <s v="Research &amp; Development"/>
    <n v="6"/>
    <n v="3"/>
    <s v="Life Sciences"/>
    <n v="1"/>
    <n v="1525"/>
    <n v="2"/>
    <s v="Female"/>
    <n v="32"/>
    <n v="3"/>
    <n v="3"/>
    <s v="Manufacturing Director"/>
    <n v="2"/>
    <s v="Single"/>
    <n v="8376"/>
    <n v="9150"/>
    <n v="4"/>
    <s v="Y"/>
    <s v="No"/>
    <n v="18"/>
    <n v="3"/>
    <n v="4"/>
    <n v="80"/>
    <n v="0"/>
    <n v="9"/>
    <n v="3"/>
    <n v="3"/>
    <n v="2"/>
    <n v="0"/>
    <n v="2"/>
    <n v="2"/>
    <x v="2"/>
    <n v="0"/>
    <n v="0"/>
    <n v="1"/>
    <m/>
    <m/>
  </r>
  <r>
    <n v="46"/>
    <s v="No"/>
    <s v="Travel_Rarely"/>
    <n v="228"/>
    <s v="Sales"/>
    <n v="3"/>
    <n v="3"/>
    <s v="Life Sciences"/>
    <n v="1"/>
    <n v="1527"/>
    <n v="3"/>
    <s v="Female"/>
    <n v="51"/>
    <n v="3"/>
    <n v="4"/>
    <s v="Manager"/>
    <n v="2"/>
    <s v="Married"/>
    <n v="16606"/>
    <n v="11380"/>
    <n v="8"/>
    <s v="Y"/>
    <s v="No"/>
    <n v="12"/>
    <n v="3"/>
    <n v="4"/>
    <n v="80"/>
    <n v="1"/>
    <n v="23"/>
    <n v="2"/>
    <n v="4"/>
    <n v="13"/>
    <n v="12"/>
    <n v="5"/>
    <n v="1"/>
    <x v="4"/>
    <n v="0"/>
    <n v="0"/>
    <n v="1"/>
    <m/>
    <m/>
  </r>
  <r>
    <n v="35"/>
    <s v="No"/>
    <s v="Travel_Rarely"/>
    <n v="1029"/>
    <s v="Research &amp; Development"/>
    <n v="16"/>
    <n v="3"/>
    <s v="Life Sciences"/>
    <n v="1"/>
    <n v="1529"/>
    <n v="4"/>
    <s v="Female"/>
    <n v="91"/>
    <n v="2"/>
    <n v="3"/>
    <s v="Healthcare Representative"/>
    <n v="2"/>
    <s v="Single"/>
    <n v="8606"/>
    <n v="21195"/>
    <n v="1"/>
    <s v="Y"/>
    <s v="No"/>
    <n v="19"/>
    <n v="3"/>
    <n v="4"/>
    <n v="80"/>
    <n v="0"/>
    <n v="11"/>
    <n v="3"/>
    <n v="1"/>
    <n v="11"/>
    <n v="8"/>
    <n v="3"/>
    <n v="3"/>
    <x v="3"/>
    <n v="0"/>
    <n v="0"/>
    <n v="1"/>
    <m/>
    <m/>
  </r>
  <r>
    <n v="23"/>
    <s v="No"/>
    <s v="Travel_Rarely"/>
    <n v="507"/>
    <s v="Research &amp; Development"/>
    <n v="20"/>
    <n v="1"/>
    <s v="Life Sciences"/>
    <n v="1"/>
    <n v="1533"/>
    <n v="1"/>
    <s v="Male"/>
    <n v="97"/>
    <n v="3"/>
    <n v="2"/>
    <s v="Laboratory Technician"/>
    <n v="3"/>
    <s v="Single"/>
    <n v="2272"/>
    <n v="24812"/>
    <n v="0"/>
    <s v="Y"/>
    <s v="No"/>
    <n v="14"/>
    <n v="3"/>
    <n v="2"/>
    <n v="80"/>
    <n v="0"/>
    <n v="5"/>
    <n v="2"/>
    <n v="3"/>
    <n v="4"/>
    <n v="3"/>
    <n v="1"/>
    <n v="2"/>
    <x v="1"/>
    <n v="0"/>
    <n v="0"/>
    <n v="1"/>
    <m/>
    <m/>
  </r>
  <r>
    <n v="40"/>
    <s v="Yes"/>
    <s v="Travel_Rarely"/>
    <n v="676"/>
    <s v="Research &amp; Development"/>
    <n v="9"/>
    <n v="4"/>
    <s v="Life Sciences"/>
    <n v="1"/>
    <n v="1534"/>
    <n v="4"/>
    <s v="Male"/>
    <n v="86"/>
    <n v="3"/>
    <n v="1"/>
    <s v="Laboratory Technician"/>
    <n v="1"/>
    <s v="Single"/>
    <n v="2018"/>
    <n v="21831"/>
    <n v="3"/>
    <s v="Y"/>
    <s v="No"/>
    <n v="14"/>
    <n v="3"/>
    <n v="2"/>
    <n v="80"/>
    <n v="0"/>
    <n v="15"/>
    <n v="3"/>
    <n v="1"/>
    <n v="5"/>
    <n v="4"/>
    <n v="1"/>
    <n v="0"/>
    <x v="1"/>
    <n v="1"/>
    <n v="36324"/>
    <n v="1"/>
    <m/>
    <m/>
  </r>
  <r>
    <n v="34"/>
    <s v="No"/>
    <s v="Travel_Rarely"/>
    <n v="971"/>
    <s v="Sales"/>
    <n v="1"/>
    <n v="3"/>
    <s v="Technical Degree"/>
    <n v="1"/>
    <n v="1535"/>
    <n v="4"/>
    <s v="Male"/>
    <n v="64"/>
    <n v="2"/>
    <n v="3"/>
    <s v="Sales Executive"/>
    <n v="3"/>
    <s v="Married"/>
    <n v="7083"/>
    <n v="12288"/>
    <n v="1"/>
    <s v="Y"/>
    <s v="Yes"/>
    <n v="14"/>
    <n v="3"/>
    <n v="4"/>
    <n v="80"/>
    <n v="0"/>
    <n v="10"/>
    <n v="3"/>
    <n v="3"/>
    <n v="10"/>
    <n v="9"/>
    <n v="8"/>
    <n v="6"/>
    <x v="0"/>
    <n v="0"/>
    <n v="0"/>
    <n v="1"/>
    <m/>
    <m/>
  </r>
  <r>
    <n v="31"/>
    <s v="Yes"/>
    <s v="Travel_Frequently"/>
    <n v="561"/>
    <s v="Research &amp; Development"/>
    <n v="3"/>
    <n v="3"/>
    <s v="Life Sciences"/>
    <n v="1"/>
    <n v="1537"/>
    <n v="4"/>
    <s v="Female"/>
    <n v="33"/>
    <n v="3"/>
    <n v="1"/>
    <s v="Research Scientist"/>
    <n v="3"/>
    <s v="Single"/>
    <n v="4084"/>
    <n v="4156"/>
    <n v="1"/>
    <s v="Y"/>
    <s v="No"/>
    <n v="12"/>
    <n v="3"/>
    <n v="1"/>
    <n v="80"/>
    <n v="0"/>
    <n v="7"/>
    <n v="2"/>
    <n v="1"/>
    <n v="7"/>
    <n v="2"/>
    <n v="7"/>
    <n v="7"/>
    <x v="1"/>
    <n v="1"/>
    <n v="73512"/>
    <n v="1"/>
    <m/>
    <m/>
  </r>
  <r>
    <n v="50"/>
    <s v="No"/>
    <s v="Travel_Frequently"/>
    <n v="333"/>
    <s v="Research &amp; Development"/>
    <n v="22"/>
    <n v="5"/>
    <s v="Medical"/>
    <n v="1"/>
    <n v="1539"/>
    <n v="3"/>
    <s v="Male"/>
    <n v="88"/>
    <n v="1"/>
    <n v="4"/>
    <s v="Research Director"/>
    <n v="4"/>
    <s v="Single"/>
    <n v="14411"/>
    <n v="24450"/>
    <n v="1"/>
    <s v="Y"/>
    <s v="Yes"/>
    <n v="13"/>
    <n v="3"/>
    <n v="4"/>
    <n v="80"/>
    <n v="0"/>
    <n v="32"/>
    <n v="2"/>
    <n v="3"/>
    <n v="32"/>
    <n v="6"/>
    <n v="13"/>
    <n v="9"/>
    <x v="1"/>
    <n v="0"/>
    <n v="0"/>
    <n v="1"/>
    <m/>
    <m/>
  </r>
  <r>
    <n v="34"/>
    <s v="No"/>
    <s v="Travel_Rarely"/>
    <n v="1440"/>
    <s v="Sales"/>
    <n v="7"/>
    <n v="2"/>
    <s v="Technical Degree"/>
    <n v="1"/>
    <n v="1541"/>
    <n v="2"/>
    <s v="Male"/>
    <n v="55"/>
    <n v="3"/>
    <n v="1"/>
    <s v="Sales Representative"/>
    <n v="3"/>
    <s v="Married"/>
    <n v="2308"/>
    <n v="4944"/>
    <n v="0"/>
    <s v="Y"/>
    <s v="Yes"/>
    <n v="25"/>
    <n v="4"/>
    <n v="2"/>
    <n v="80"/>
    <n v="1"/>
    <n v="12"/>
    <n v="4"/>
    <n v="3"/>
    <n v="11"/>
    <n v="10"/>
    <n v="5"/>
    <n v="7"/>
    <x v="0"/>
    <n v="0"/>
    <n v="0"/>
    <n v="1"/>
    <m/>
    <m/>
  </r>
  <r>
    <n v="42"/>
    <s v="No"/>
    <s v="Travel_Rarely"/>
    <n v="1210"/>
    <s v="Research &amp; Development"/>
    <n v="2"/>
    <n v="3"/>
    <s v="Medical"/>
    <n v="1"/>
    <n v="1542"/>
    <n v="3"/>
    <s v="Male"/>
    <n v="68"/>
    <n v="2"/>
    <n v="1"/>
    <s v="Laboratory Technician"/>
    <n v="2"/>
    <s v="Married"/>
    <n v="4841"/>
    <n v="24052"/>
    <n v="4"/>
    <s v="Y"/>
    <s v="No"/>
    <n v="14"/>
    <n v="3"/>
    <n v="2"/>
    <n v="80"/>
    <n v="1"/>
    <n v="4"/>
    <n v="3"/>
    <n v="3"/>
    <n v="1"/>
    <n v="0"/>
    <n v="0"/>
    <n v="0"/>
    <x v="1"/>
    <n v="0"/>
    <n v="0"/>
    <n v="1"/>
    <m/>
    <m/>
  </r>
  <r>
    <n v="37"/>
    <s v="No"/>
    <s v="Travel_Rarely"/>
    <n v="674"/>
    <s v="Research &amp; Development"/>
    <n v="13"/>
    <n v="3"/>
    <s v="Medical"/>
    <n v="1"/>
    <n v="1543"/>
    <n v="1"/>
    <s v="Male"/>
    <n v="47"/>
    <n v="3"/>
    <n v="2"/>
    <s v="Research Scientist"/>
    <n v="4"/>
    <s v="Married"/>
    <n v="4285"/>
    <n v="3031"/>
    <n v="1"/>
    <s v="Y"/>
    <s v="No"/>
    <n v="17"/>
    <n v="3"/>
    <n v="1"/>
    <n v="80"/>
    <n v="0"/>
    <n v="10"/>
    <n v="2"/>
    <n v="3"/>
    <n v="10"/>
    <n v="8"/>
    <n v="3"/>
    <n v="7"/>
    <x v="1"/>
    <n v="0"/>
    <n v="0"/>
    <n v="1"/>
    <m/>
    <m/>
  </r>
  <r>
    <n v="29"/>
    <s v="No"/>
    <s v="Travel_Rarely"/>
    <n v="441"/>
    <s v="Research &amp; Development"/>
    <n v="8"/>
    <n v="1"/>
    <s v="Other"/>
    <n v="1"/>
    <n v="1544"/>
    <n v="3"/>
    <s v="Female"/>
    <n v="39"/>
    <n v="1"/>
    <n v="2"/>
    <s v="Healthcare Representative"/>
    <n v="1"/>
    <s v="Married"/>
    <n v="9715"/>
    <n v="7288"/>
    <n v="3"/>
    <s v="Y"/>
    <s v="No"/>
    <n v="13"/>
    <n v="3"/>
    <n v="3"/>
    <n v="80"/>
    <n v="1"/>
    <n v="9"/>
    <n v="3"/>
    <n v="3"/>
    <n v="7"/>
    <n v="7"/>
    <n v="0"/>
    <n v="7"/>
    <x v="3"/>
    <n v="0"/>
    <n v="0"/>
    <n v="1"/>
    <m/>
    <m/>
  </r>
  <r>
    <n v="33"/>
    <s v="No"/>
    <s v="Travel_Rarely"/>
    <n v="575"/>
    <s v="Research &amp; Development"/>
    <n v="25"/>
    <n v="3"/>
    <s v="Life Sciences"/>
    <n v="1"/>
    <n v="1545"/>
    <n v="4"/>
    <s v="Male"/>
    <n v="44"/>
    <n v="2"/>
    <n v="2"/>
    <s v="Manufacturing Director"/>
    <n v="2"/>
    <s v="Single"/>
    <n v="4320"/>
    <n v="24152"/>
    <n v="1"/>
    <s v="Y"/>
    <s v="No"/>
    <n v="13"/>
    <n v="3"/>
    <n v="4"/>
    <n v="80"/>
    <n v="0"/>
    <n v="5"/>
    <n v="2"/>
    <n v="3"/>
    <n v="5"/>
    <n v="3"/>
    <n v="0"/>
    <n v="2"/>
    <x v="2"/>
    <n v="0"/>
    <n v="0"/>
    <n v="1"/>
    <m/>
    <m/>
  </r>
  <r>
    <n v="45"/>
    <s v="No"/>
    <s v="Travel_Rarely"/>
    <n v="950"/>
    <s v="Research &amp; Development"/>
    <n v="28"/>
    <n v="3"/>
    <s v="Technical Degree"/>
    <n v="1"/>
    <n v="1546"/>
    <n v="4"/>
    <s v="Male"/>
    <n v="97"/>
    <n v="3"/>
    <n v="1"/>
    <s v="Research Scientist"/>
    <n v="4"/>
    <s v="Married"/>
    <n v="2132"/>
    <n v="4585"/>
    <n v="4"/>
    <s v="Y"/>
    <s v="No"/>
    <n v="20"/>
    <n v="4"/>
    <n v="4"/>
    <n v="80"/>
    <n v="1"/>
    <n v="8"/>
    <n v="3"/>
    <n v="3"/>
    <n v="5"/>
    <n v="4"/>
    <n v="0"/>
    <n v="3"/>
    <x v="1"/>
    <n v="0"/>
    <n v="0"/>
    <n v="1"/>
    <m/>
    <m/>
  </r>
  <r>
    <n v="42"/>
    <s v="No"/>
    <s v="Travel_Frequently"/>
    <n v="288"/>
    <s v="Research &amp; Development"/>
    <n v="2"/>
    <n v="3"/>
    <s v="Life Sciences"/>
    <n v="1"/>
    <n v="1547"/>
    <n v="4"/>
    <s v="Male"/>
    <n v="40"/>
    <n v="3"/>
    <n v="3"/>
    <s v="Healthcare Representative"/>
    <n v="4"/>
    <s v="Married"/>
    <n v="10124"/>
    <n v="18611"/>
    <n v="2"/>
    <s v="Y"/>
    <s v="Yes"/>
    <n v="14"/>
    <n v="3"/>
    <n v="3"/>
    <n v="80"/>
    <n v="1"/>
    <n v="24"/>
    <n v="3"/>
    <n v="1"/>
    <n v="20"/>
    <n v="8"/>
    <n v="13"/>
    <n v="9"/>
    <x v="3"/>
    <n v="0"/>
    <n v="0"/>
    <n v="1"/>
    <m/>
    <m/>
  </r>
  <r>
    <n v="40"/>
    <s v="No"/>
    <s v="Travel_Rarely"/>
    <n v="1342"/>
    <s v="Sales"/>
    <n v="9"/>
    <n v="2"/>
    <s v="Medical"/>
    <n v="1"/>
    <n v="1548"/>
    <n v="1"/>
    <s v="Male"/>
    <n v="47"/>
    <n v="3"/>
    <n v="2"/>
    <s v="Sales Executive"/>
    <n v="1"/>
    <s v="Married"/>
    <n v="5473"/>
    <n v="19345"/>
    <n v="0"/>
    <s v="Y"/>
    <s v="No"/>
    <n v="12"/>
    <n v="3"/>
    <n v="4"/>
    <n v="80"/>
    <n v="0"/>
    <n v="9"/>
    <n v="5"/>
    <n v="4"/>
    <n v="8"/>
    <n v="4"/>
    <n v="7"/>
    <n v="1"/>
    <x v="0"/>
    <n v="0"/>
    <n v="0"/>
    <n v="1"/>
    <m/>
    <m/>
  </r>
  <r>
    <n v="33"/>
    <s v="No"/>
    <s v="Travel_Rarely"/>
    <n v="589"/>
    <s v="Research &amp; Development"/>
    <n v="28"/>
    <n v="4"/>
    <s v="Life Sciences"/>
    <n v="1"/>
    <n v="1549"/>
    <n v="2"/>
    <s v="Male"/>
    <n v="79"/>
    <n v="3"/>
    <n v="2"/>
    <s v="Laboratory Technician"/>
    <n v="3"/>
    <s v="Married"/>
    <n v="5207"/>
    <n v="22949"/>
    <n v="1"/>
    <s v="Y"/>
    <s v="Yes"/>
    <n v="12"/>
    <n v="3"/>
    <n v="2"/>
    <n v="80"/>
    <n v="1"/>
    <n v="15"/>
    <n v="3"/>
    <n v="3"/>
    <n v="15"/>
    <n v="14"/>
    <n v="5"/>
    <n v="7"/>
    <x v="1"/>
    <n v="0"/>
    <n v="0"/>
    <n v="1"/>
    <m/>
    <m/>
  </r>
  <r>
    <n v="40"/>
    <s v="No"/>
    <s v="Travel_Rarely"/>
    <n v="898"/>
    <s v="Human Resources"/>
    <n v="6"/>
    <n v="2"/>
    <s v="Medical"/>
    <n v="1"/>
    <n v="1550"/>
    <n v="3"/>
    <s v="Male"/>
    <n v="38"/>
    <n v="3"/>
    <n v="4"/>
    <s v="Manager"/>
    <n v="4"/>
    <s v="Single"/>
    <n v="16437"/>
    <n v="17381"/>
    <n v="1"/>
    <s v="Y"/>
    <s v="Yes"/>
    <n v="21"/>
    <n v="4"/>
    <n v="4"/>
    <n v="80"/>
    <n v="0"/>
    <n v="21"/>
    <n v="2"/>
    <n v="3"/>
    <n v="21"/>
    <n v="7"/>
    <n v="7"/>
    <n v="7"/>
    <x v="4"/>
    <n v="0"/>
    <n v="0"/>
    <n v="1"/>
    <m/>
    <m/>
  </r>
  <r>
    <n v="24"/>
    <s v="No"/>
    <s v="Travel_Rarely"/>
    <n v="350"/>
    <s v="Research &amp; Development"/>
    <n v="21"/>
    <n v="2"/>
    <s v="Technical Degree"/>
    <n v="1"/>
    <n v="1551"/>
    <n v="3"/>
    <s v="Male"/>
    <n v="57"/>
    <n v="2"/>
    <n v="1"/>
    <s v="Laboratory Technician"/>
    <n v="1"/>
    <s v="Divorced"/>
    <n v="2296"/>
    <n v="10036"/>
    <n v="0"/>
    <s v="Y"/>
    <s v="No"/>
    <n v="14"/>
    <n v="3"/>
    <n v="2"/>
    <n v="80"/>
    <n v="3"/>
    <n v="2"/>
    <n v="3"/>
    <n v="3"/>
    <n v="1"/>
    <n v="1"/>
    <n v="0"/>
    <n v="0"/>
    <x v="1"/>
    <n v="0"/>
    <n v="0"/>
    <n v="1"/>
    <m/>
    <m/>
  </r>
  <r>
    <n v="40"/>
    <s v="No"/>
    <s v="Non-Travel"/>
    <n v="1142"/>
    <s v="Research &amp; Development"/>
    <n v="8"/>
    <n v="2"/>
    <s v="Life Sciences"/>
    <n v="1"/>
    <n v="1552"/>
    <n v="4"/>
    <s v="Male"/>
    <n v="72"/>
    <n v="3"/>
    <n v="2"/>
    <s v="Healthcare Representative"/>
    <n v="4"/>
    <s v="Divorced"/>
    <n v="4069"/>
    <n v="8841"/>
    <n v="3"/>
    <s v="Y"/>
    <s v="Yes"/>
    <n v="18"/>
    <n v="3"/>
    <n v="3"/>
    <n v="80"/>
    <n v="0"/>
    <n v="8"/>
    <n v="2"/>
    <n v="3"/>
    <n v="2"/>
    <n v="2"/>
    <n v="2"/>
    <n v="2"/>
    <x v="3"/>
    <n v="0"/>
    <n v="0"/>
    <n v="1"/>
    <m/>
    <m/>
  </r>
  <r>
    <n v="45"/>
    <s v="No"/>
    <s v="Travel_Rarely"/>
    <n v="538"/>
    <s v="Research &amp; Development"/>
    <n v="1"/>
    <n v="4"/>
    <s v="Technical Degree"/>
    <n v="1"/>
    <n v="1553"/>
    <n v="1"/>
    <s v="Male"/>
    <n v="66"/>
    <n v="3"/>
    <n v="3"/>
    <s v="Healthcare Representative"/>
    <n v="2"/>
    <s v="Divorced"/>
    <n v="7441"/>
    <n v="20933"/>
    <n v="1"/>
    <s v="Y"/>
    <s v="No"/>
    <n v="12"/>
    <n v="3"/>
    <n v="1"/>
    <n v="80"/>
    <n v="3"/>
    <n v="10"/>
    <n v="4"/>
    <n v="3"/>
    <n v="10"/>
    <n v="8"/>
    <n v="7"/>
    <n v="7"/>
    <x v="3"/>
    <n v="0"/>
    <n v="0"/>
    <n v="1"/>
    <m/>
    <m/>
  </r>
  <r>
    <n v="35"/>
    <s v="No"/>
    <s v="Travel_Rarely"/>
    <n v="1402"/>
    <s v="Sales"/>
    <n v="28"/>
    <n v="4"/>
    <s v="Life Sciences"/>
    <n v="1"/>
    <n v="1554"/>
    <n v="2"/>
    <s v="Female"/>
    <n v="98"/>
    <n v="2"/>
    <n v="1"/>
    <s v="Sales Representative"/>
    <n v="3"/>
    <s v="Married"/>
    <n v="2430"/>
    <n v="26204"/>
    <n v="0"/>
    <s v="Y"/>
    <s v="No"/>
    <n v="23"/>
    <n v="4"/>
    <n v="1"/>
    <n v="80"/>
    <n v="2"/>
    <n v="6"/>
    <n v="5"/>
    <n v="3"/>
    <n v="5"/>
    <n v="3"/>
    <n v="4"/>
    <n v="2"/>
    <x v="0"/>
    <n v="0"/>
    <n v="0"/>
    <n v="1"/>
    <m/>
    <m/>
  </r>
  <r>
    <n v="32"/>
    <s v="No"/>
    <s v="Travel_Rarely"/>
    <n v="824"/>
    <s v="Research &amp; Development"/>
    <n v="5"/>
    <n v="2"/>
    <s v="Life Sciences"/>
    <n v="1"/>
    <n v="1555"/>
    <n v="4"/>
    <s v="Female"/>
    <n v="67"/>
    <n v="2"/>
    <n v="2"/>
    <s v="Research Scientist"/>
    <n v="2"/>
    <s v="Married"/>
    <n v="5878"/>
    <n v="15624"/>
    <n v="3"/>
    <s v="Y"/>
    <s v="No"/>
    <n v="12"/>
    <n v="3"/>
    <n v="1"/>
    <n v="80"/>
    <n v="1"/>
    <n v="12"/>
    <n v="2"/>
    <n v="3"/>
    <n v="7"/>
    <n v="1"/>
    <n v="2"/>
    <n v="5"/>
    <x v="1"/>
    <n v="0"/>
    <n v="0"/>
    <n v="1"/>
    <m/>
    <m/>
  </r>
  <r>
    <n v="36"/>
    <s v="No"/>
    <s v="Travel_Rarely"/>
    <n v="1157"/>
    <s v="Sales"/>
    <n v="2"/>
    <n v="4"/>
    <s v="Life Sciences"/>
    <n v="1"/>
    <n v="1556"/>
    <n v="3"/>
    <s v="Male"/>
    <n v="70"/>
    <n v="3"/>
    <n v="1"/>
    <s v="Sales Representative"/>
    <n v="4"/>
    <s v="Single"/>
    <n v="2644"/>
    <n v="17001"/>
    <n v="3"/>
    <s v="Y"/>
    <s v="Yes"/>
    <n v="21"/>
    <n v="4"/>
    <n v="4"/>
    <n v="80"/>
    <n v="0"/>
    <n v="7"/>
    <n v="3"/>
    <n v="2"/>
    <n v="3"/>
    <n v="2"/>
    <n v="1"/>
    <n v="2"/>
    <x v="0"/>
    <n v="0"/>
    <n v="0"/>
    <n v="1"/>
    <m/>
    <m/>
  </r>
  <r>
    <n v="48"/>
    <s v="No"/>
    <s v="Travel_Rarely"/>
    <n v="492"/>
    <s v="Sales"/>
    <n v="16"/>
    <n v="4"/>
    <s v="Life Sciences"/>
    <n v="1"/>
    <n v="1557"/>
    <n v="3"/>
    <s v="Female"/>
    <n v="96"/>
    <n v="3"/>
    <n v="2"/>
    <s v="Sales Executive"/>
    <n v="3"/>
    <s v="Divorced"/>
    <n v="6439"/>
    <n v="13693"/>
    <n v="8"/>
    <s v="Y"/>
    <s v="No"/>
    <n v="14"/>
    <n v="3"/>
    <n v="3"/>
    <n v="80"/>
    <n v="1"/>
    <n v="18"/>
    <n v="2"/>
    <n v="3"/>
    <n v="8"/>
    <n v="7"/>
    <n v="7"/>
    <n v="7"/>
    <x v="0"/>
    <n v="0"/>
    <n v="0"/>
    <n v="1"/>
    <m/>
    <m/>
  </r>
  <r>
    <n v="29"/>
    <s v="No"/>
    <s v="Travel_Rarely"/>
    <n v="598"/>
    <s v="Research &amp; Development"/>
    <n v="9"/>
    <n v="3"/>
    <s v="Life Sciences"/>
    <n v="1"/>
    <n v="1558"/>
    <n v="3"/>
    <s v="Male"/>
    <n v="91"/>
    <n v="4"/>
    <n v="1"/>
    <s v="Research Scientist"/>
    <n v="3"/>
    <s v="Married"/>
    <n v="2451"/>
    <n v="22376"/>
    <n v="6"/>
    <s v="Y"/>
    <s v="No"/>
    <n v="18"/>
    <n v="3"/>
    <n v="1"/>
    <n v="80"/>
    <n v="2"/>
    <n v="5"/>
    <n v="2"/>
    <n v="2"/>
    <n v="1"/>
    <n v="0"/>
    <n v="0"/>
    <n v="0"/>
    <x v="1"/>
    <n v="0"/>
    <n v="0"/>
    <n v="1"/>
    <m/>
    <m/>
  </r>
  <r>
    <n v="33"/>
    <s v="No"/>
    <s v="Travel_Rarely"/>
    <n v="1242"/>
    <s v="Sales"/>
    <n v="8"/>
    <n v="4"/>
    <s v="Life Sciences"/>
    <n v="1"/>
    <n v="1560"/>
    <n v="1"/>
    <s v="Male"/>
    <n v="46"/>
    <n v="3"/>
    <n v="2"/>
    <s v="Sales Executive"/>
    <n v="1"/>
    <s v="Married"/>
    <n v="6392"/>
    <n v="10589"/>
    <n v="2"/>
    <s v="Y"/>
    <s v="No"/>
    <n v="13"/>
    <n v="3"/>
    <n v="4"/>
    <n v="80"/>
    <n v="1"/>
    <n v="8"/>
    <n v="6"/>
    <n v="1"/>
    <n v="2"/>
    <n v="2"/>
    <n v="2"/>
    <n v="2"/>
    <x v="0"/>
    <n v="0"/>
    <n v="0"/>
    <n v="1"/>
    <m/>
    <m/>
  </r>
  <r>
    <n v="30"/>
    <s v="Yes"/>
    <s v="Travel_Rarely"/>
    <n v="740"/>
    <s v="Sales"/>
    <n v="1"/>
    <n v="3"/>
    <s v="Life Sciences"/>
    <n v="1"/>
    <n v="1562"/>
    <n v="2"/>
    <s v="Male"/>
    <n v="64"/>
    <n v="2"/>
    <n v="2"/>
    <s v="Sales Executive"/>
    <n v="1"/>
    <s v="Married"/>
    <n v="9714"/>
    <n v="5323"/>
    <n v="1"/>
    <s v="Y"/>
    <s v="No"/>
    <n v="11"/>
    <n v="3"/>
    <n v="4"/>
    <n v="80"/>
    <n v="1"/>
    <n v="10"/>
    <n v="4"/>
    <n v="3"/>
    <n v="10"/>
    <n v="8"/>
    <n v="6"/>
    <n v="7"/>
    <x v="0"/>
    <n v="1"/>
    <n v="174852"/>
    <n v="1"/>
    <m/>
    <m/>
  </r>
  <r>
    <n v="38"/>
    <s v="No"/>
    <s v="Travel_Frequently"/>
    <n v="888"/>
    <s v="Human Resources"/>
    <n v="10"/>
    <n v="4"/>
    <s v="Human Resources"/>
    <n v="1"/>
    <n v="1563"/>
    <n v="3"/>
    <s v="Male"/>
    <n v="71"/>
    <n v="3"/>
    <n v="2"/>
    <s v="Human Resources"/>
    <n v="3"/>
    <s v="Married"/>
    <n v="6077"/>
    <n v="14814"/>
    <n v="3"/>
    <s v="Y"/>
    <s v="No"/>
    <n v="11"/>
    <n v="3"/>
    <n v="3"/>
    <n v="80"/>
    <n v="0"/>
    <n v="10"/>
    <n v="2"/>
    <n v="3"/>
    <n v="6"/>
    <n v="3"/>
    <n v="1"/>
    <n v="2"/>
    <x v="5"/>
    <n v="0"/>
    <n v="0"/>
    <n v="1"/>
    <m/>
    <m/>
  </r>
  <r>
    <n v="35"/>
    <s v="No"/>
    <s v="Travel_Rarely"/>
    <n v="992"/>
    <s v="Research &amp; Development"/>
    <n v="1"/>
    <n v="3"/>
    <s v="Medical"/>
    <n v="1"/>
    <n v="1564"/>
    <n v="4"/>
    <s v="Male"/>
    <n v="68"/>
    <n v="2"/>
    <n v="1"/>
    <s v="Laboratory Technician"/>
    <n v="1"/>
    <s v="Single"/>
    <n v="2450"/>
    <n v="21731"/>
    <n v="1"/>
    <s v="Y"/>
    <s v="No"/>
    <n v="19"/>
    <n v="3"/>
    <n v="2"/>
    <n v="80"/>
    <n v="0"/>
    <n v="3"/>
    <n v="3"/>
    <n v="3"/>
    <n v="3"/>
    <n v="0"/>
    <n v="1"/>
    <n v="2"/>
    <x v="1"/>
    <n v="0"/>
    <n v="0"/>
    <n v="1"/>
    <m/>
    <m/>
  </r>
  <r>
    <n v="30"/>
    <s v="No"/>
    <s v="Travel_Rarely"/>
    <n v="1288"/>
    <s v="Sales"/>
    <n v="29"/>
    <n v="4"/>
    <s v="Technical Degree"/>
    <n v="1"/>
    <n v="1568"/>
    <n v="3"/>
    <s v="Male"/>
    <n v="33"/>
    <n v="3"/>
    <n v="3"/>
    <s v="Sales Executive"/>
    <n v="2"/>
    <s v="Married"/>
    <n v="9250"/>
    <n v="17799"/>
    <n v="3"/>
    <s v="Y"/>
    <s v="No"/>
    <n v="12"/>
    <n v="3"/>
    <n v="2"/>
    <n v="80"/>
    <n v="1"/>
    <n v="9"/>
    <n v="3"/>
    <n v="3"/>
    <n v="4"/>
    <n v="2"/>
    <n v="1"/>
    <n v="3"/>
    <x v="0"/>
    <n v="0"/>
    <n v="0"/>
    <n v="1"/>
    <m/>
    <m/>
  </r>
  <r>
    <n v="35"/>
    <s v="Yes"/>
    <s v="Travel_Rarely"/>
    <n v="104"/>
    <s v="Research &amp; Development"/>
    <n v="2"/>
    <n v="3"/>
    <s v="Life Sciences"/>
    <n v="1"/>
    <n v="1569"/>
    <n v="1"/>
    <s v="Female"/>
    <n v="69"/>
    <n v="3"/>
    <n v="1"/>
    <s v="Laboratory Technician"/>
    <n v="1"/>
    <s v="Divorced"/>
    <n v="2074"/>
    <n v="26619"/>
    <n v="1"/>
    <s v="Y"/>
    <s v="Yes"/>
    <n v="12"/>
    <n v="3"/>
    <n v="4"/>
    <n v="80"/>
    <n v="1"/>
    <n v="1"/>
    <n v="2"/>
    <n v="3"/>
    <n v="1"/>
    <n v="0"/>
    <n v="0"/>
    <n v="0"/>
    <x v="1"/>
    <n v="1"/>
    <n v="37332"/>
    <n v="1"/>
    <m/>
    <m/>
  </r>
  <r>
    <n v="53"/>
    <s v="Yes"/>
    <s v="Travel_Rarely"/>
    <n v="607"/>
    <s v="Research &amp; Development"/>
    <n v="2"/>
    <n v="5"/>
    <s v="Technical Degree"/>
    <n v="1"/>
    <n v="1572"/>
    <n v="3"/>
    <s v="Female"/>
    <n v="78"/>
    <n v="2"/>
    <n v="3"/>
    <s v="Manufacturing Director"/>
    <n v="4"/>
    <s v="Married"/>
    <n v="10169"/>
    <n v="14618"/>
    <n v="0"/>
    <s v="Y"/>
    <s v="No"/>
    <n v="16"/>
    <n v="3"/>
    <n v="2"/>
    <n v="80"/>
    <n v="1"/>
    <n v="34"/>
    <n v="4"/>
    <n v="3"/>
    <n v="33"/>
    <n v="7"/>
    <n v="1"/>
    <n v="9"/>
    <x v="2"/>
    <n v="1"/>
    <n v="183042"/>
    <n v="1"/>
    <m/>
    <m/>
  </r>
  <r>
    <n v="38"/>
    <s v="Yes"/>
    <s v="Travel_Rarely"/>
    <n v="903"/>
    <s v="Research &amp; Development"/>
    <n v="2"/>
    <n v="3"/>
    <s v="Medical"/>
    <n v="1"/>
    <n v="1573"/>
    <n v="3"/>
    <s v="Male"/>
    <n v="81"/>
    <n v="3"/>
    <n v="2"/>
    <s v="Manufacturing Director"/>
    <n v="2"/>
    <s v="Married"/>
    <n v="4855"/>
    <n v="7653"/>
    <n v="4"/>
    <s v="Y"/>
    <s v="No"/>
    <n v="11"/>
    <n v="3"/>
    <n v="1"/>
    <n v="80"/>
    <n v="2"/>
    <n v="7"/>
    <n v="2"/>
    <n v="3"/>
    <n v="5"/>
    <n v="2"/>
    <n v="1"/>
    <n v="4"/>
    <x v="2"/>
    <n v="1"/>
    <n v="87390"/>
    <n v="1"/>
    <m/>
    <m/>
  </r>
  <r>
    <n v="32"/>
    <s v="No"/>
    <s v="Non-Travel"/>
    <n v="1200"/>
    <s v="Research &amp; Development"/>
    <n v="1"/>
    <n v="4"/>
    <s v="Technical Degree"/>
    <n v="1"/>
    <n v="1574"/>
    <n v="4"/>
    <s v="Male"/>
    <n v="62"/>
    <n v="3"/>
    <n v="2"/>
    <s v="Research Scientist"/>
    <n v="1"/>
    <s v="Married"/>
    <n v="4087"/>
    <n v="25174"/>
    <n v="4"/>
    <s v="Y"/>
    <s v="No"/>
    <n v="14"/>
    <n v="3"/>
    <n v="2"/>
    <n v="80"/>
    <n v="1"/>
    <n v="9"/>
    <n v="3"/>
    <n v="2"/>
    <n v="6"/>
    <n v="5"/>
    <n v="1"/>
    <n v="2"/>
    <x v="1"/>
    <n v="0"/>
    <n v="0"/>
    <n v="1"/>
    <m/>
    <m/>
  </r>
  <r>
    <n v="48"/>
    <s v="No"/>
    <s v="Travel_Rarely"/>
    <n v="1108"/>
    <s v="Research &amp; Development"/>
    <n v="15"/>
    <n v="4"/>
    <s v="Other"/>
    <n v="1"/>
    <n v="1576"/>
    <n v="3"/>
    <s v="Female"/>
    <n v="65"/>
    <n v="3"/>
    <n v="1"/>
    <s v="Research Scientist"/>
    <n v="1"/>
    <s v="Married"/>
    <n v="2367"/>
    <n v="16530"/>
    <n v="8"/>
    <s v="Y"/>
    <s v="No"/>
    <n v="12"/>
    <n v="3"/>
    <n v="4"/>
    <n v="80"/>
    <n v="1"/>
    <n v="10"/>
    <n v="3"/>
    <n v="2"/>
    <n v="8"/>
    <n v="2"/>
    <n v="7"/>
    <n v="6"/>
    <x v="1"/>
    <n v="0"/>
    <n v="0"/>
    <n v="1"/>
    <m/>
    <m/>
  </r>
  <r>
    <n v="34"/>
    <s v="No"/>
    <s v="Travel_Rarely"/>
    <n v="479"/>
    <s v="Research &amp; Development"/>
    <n v="7"/>
    <n v="4"/>
    <s v="Medical"/>
    <n v="1"/>
    <n v="1577"/>
    <n v="1"/>
    <s v="Male"/>
    <n v="35"/>
    <n v="3"/>
    <n v="1"/>
    <s v="Research Scientist"/>
    <n v="4"/>
    <s v="Single"/>
    <n v="2972"/>
    <n v="22061"/>
    <n v="1"/>
    <s v="Y"/>
    <s v="No"/>
    <n v="13"/>
    <n v="3"/>
    <n v="3"/>
    <n v="80"/>
    <n v="0"/>
    <n v="1"/>
    <n v="4"/>
    <n v="1"/>
    <n v="1"/>
    <n v="0"/>
    <n v="0"/>
    <n v="0"/>
    <x v="1"/>
    <n v="0"/>
    <n v="0"/>
    <n v="1"/>
    <m/>
    <m/>
  </r>
  <r>
    <n v="55"/>
    <s v="No"/>
    <s v="Travel_Rarely"/>
    <n v="685"/>
    <s v="Sales"/>
    <n v="26"/>
    <n v="5"/>
    <s v="Marketing"/>
    <n v="1"/>
    <n v="1578"/>
    <n v="3"/>
    <s v="Male"/>
    <n v="60"/>
    <n v="2"/>
    <n v="5"/>
    <s v="Manager"/>
    <n v="4"/>
    <s v="Married"/>
    <n v="19586"/>
    <n v="23037"/>
    <n v="1"/>
    <s v="Y"/>
    <s v="No"/>
    <n v="21"/>
    <n v="4"/>
    <n v="3"/>
    <n v="80"/>
    <n v="1"/>
    <n v="36"/>
    <n v="3"/>
    <n v="3"/>
    <n v="36"/>
    <n v="6"/>
    <n v="2"/>
    <n v="13"/>
    <x v="4"/>
    <n v="0"/>
    <n v="0"/>
    <n v="1"/>
    <m/>
    <m/>
  </r>
  <r>
    <n v="34"/>
    <s v="No"/>
    <s v="Travel_Rarely"/>
    <n v="1351"/>
    <s v="Research &amp; Development"/>
    <n v="1"/>
    <n v="4"/>
    <s v="Life Sciences"/>
    <n v="1"/>
    <n v="1580"/>
    <n v="2"/>
    <s v="Male"/>
    <n v="45"/>
    <n v="3"/>
    <n v="2"/>
    <s v="Research Scientist"/>
    <n v="4"/>
    <s v="Married"/>
    <n v="5484"/>
    <n v="13008"/>
    <n v="9"/>
    <s v="Y"/>
    <s v="No"/>
    <n v="17"/>
    <n v="3"/>
    <n v="2"/>
    <n v="80"/>
    <n v="1"/>
    <n v="9"/>
    <n v="3"/>
    <n v="2"/>
    <n v="2"/>
    <n v="2"/>
    <n v="2"/>
    <n v="1"/>
    <x v="1"/>
    <n v="0"/>
    <n v="0"/>
    <n v="1"/>
    <m/>
    <m/>
  </r>
  <r>
    <n v="26"/>
    <s v="No"/>
    <s v="Travel_Rarely"/>
    <n v="474"/>
    <s v="Research &amp; Development"/>
    <n v="3"/>
    <n v="3"/>
    <s v="Life Sciences"/>
    <n v="1"/>
    <n v="1581"/>
    <n v="1"/>
    <s v="Female"/>
    <n v="89"/>
    <n v="3"/>
    <n v="1"/>
    <s v="Research Scientist"/>
    <n v="4"/>
    <s v="Married"/>
    <n v="2061"/>
    <n v="11133"/>
    <n v="1"/>
    <s v="Y"/>
    <s v="No"/>
    <n v="21"/>
    <n v="4"/>
    <n v="1"/>
    <n v="80"/>
    <n v="0"/>
    <n v="1"/>
    <n v="5"/>
    <n v="3"/>
    <n v="1"/>
    <n v="0"/>
    <n v="0"/>
    <n v="0"/>
    <x v="1"/>
    <n v="0"/>
    <n v="0"/>
    <n v="1"/>
    <m/>
    <m/>
  </r>
  <r>
    <n v="38"/>
    <s v="No"/>
    <s v="Travel_Rarely"/>
    <n v="1245"/>
    <s v="Sales"/>
    <n v="14"/>
    <n v="3"/>
    <s v="Life Sciences"/>
    <n v="1"/>
    <n v="1582"/>
    <n v="3"/>
    <s v="Male"/>
    <n v="80"/>
    <n v="3"/>
    <n v="2"/>
    <s v="Sales Executive"/>
    <n v="2"/>
    <s v="Married"/>
    <n v="9924"/>
    <n v="12355"/>
    <n v="0"/>
    <s v="Y"/>
    <s v="No"/>
    <n v="11"/>
    <n v="3"/>
    <n v="4"/>
    <n v="80"/>
    <n v="1"/>
    <n v="10"/>
    <n v="3"/>
    <n v="3"/>
    <n v="9"/>
    <n v="8"/>
    <n v="7"/>
    <n v="7"/>
    <x v="0"/>
    <n v="0"/>
    <n v="0"/>
    <n v="1"/>
    <m/>
    <m/>
  </r>
  <r>
    <n v="38"/>
    <s v="No"/>
    <s v="Travel_Rarely"/>
    <n v="437"/>
    <s v="Sales"/>
    <n v="16"/>
    <n v="3"/>
    <s v="Life Sciences"/>
    <n v="1"/>
    <n v="1583"/>
    <n v="2"/>
    <s v="Female"/>
    <n v="90"/>
    <n v="3"/>
    <n v="2"/>
    <s v="Sales Executive"/>
    <n v="2"/>
    <s v="Single"/>
    <n v="4198"/>
    <n v="16379"/>
    <n v="2"/>
    <s v="Y"/>
    <s v="No"/>
    <n v="12"/>
    <n v="3"/>
    <n v="2"/>
    <n v="80"/>
    <n v="0"/>
    <n v="8"/>
    <n v="5"/>
    <n v="4"/>
    <n v="3"/>
    <n v="2"/>
    <n v="1"/>
    <n v="2"/>
    <x v="0"/>
    <n v="0"/>
    <n v="0"/>
    <n v="1"/>
    <m/>
    <m/>
  </r>
  <r>
    <n v="36"/>
    <s v="No"/>
    <s v="Travel_Rarely"/>
    <n v="884"/>
    <s v="Sales"/>
    <n v="1"/>
    <n v="4"/>
    <s v="Life Sciences"/>
    <n v="1"/>
    <n v="1585"/>
    <n v="2"/>
    <s v="Female"/>
    <n v="73"/>
    <n v="3"/>
    <n v="2"/>
    <s v="Sales Executive"/>
    <n v="3"/>
    <s v="Single"/>
    <n v="6815"/>
    <n v="21447"/>
    <n v="6"/>
    <s v="Y"/>
    <s v="No"/>
    <n v="13"/>
    <n v="3"/>
    <n v="1"/>
    <n v="80"/>
    <n v="0"/>
    <n v="15"/>
    <n v="5"/>
    <n v="3"/>
    <n v="1"/>
    <n v="0"/>
    <n v="0"/>
    <n v="0"/>
    <x v="0"/>
    <n v="0"/>
    <n v="0"/>
    <n v="1"/>
    <m/>
    <m/>
  </r>
  <r>
    <n v="29"/>
    <s v="No"/>
    <s v="Travel_Rarely"/>
    <n v="1370"/>
    <s v="Research &amp; Development"/>
    <n v="3"/>
    <n v="1"/>
    <s v="Medical"/>
    <n v="1"/>
    <n v="1586"/>
    <n v="2"/>
    <s v="Male"/>
    <n v="87"/>
    <n v="3"/>
    <n v="1"/>
    <s v="Laboratory Technician"/>
    <n v="1"/>
    <s v="Single"/>
    <n v="4723"/>
    <n v="16213"/>
    <n v="1"/>
    <s v="Y"/>
    <s v="Yes"/>
    <n v="18"/>
    <n v="3"/>
    <n v="4"/>
    <n v="80"/>
    <n v="0"/>
    <n v="10"/>
    <n v="3"/>
    <n v="3"/>
    <n v="10"/>
    <n v="9"/>
    <n v="1"/>
    <n v="5"/>
    <x v="1"/>
    <n v="0"/>
    <n v="0"/>
    <n v="1"/>
    <m/>
    <m/>
  </r>
  <r>
    <n v="35"/>
    <s v="No"/>
    <s v="Travel_Rarely"/>
    <n v="670"/>
    <s v="Research &amp; Development"/>
    <n v="10"/>
    <n v="4"/>
    <s v="Medical"/>
    <n v="1"/>
    <n v="1587"/>
    <n v="1"/>
    <s v="Female"/>
    <n v="51"/>
    <n v="3"/>
    <n v="2"/>
    <s v="Healthcare Representative"/>
    <n v="3"/>
    <s v="Single"/>
    <n v="6142"/>
    <n v="4223"/>
    <n v="3"/>
    <s v="Y"/>
    <s v="Yes"/>
    <n v="16"/>
    <n v="3"/>
    <n v="3"/>
    <n v="80"/>
    <n v="0"/>
    <n v="10"/>
    <n v="4"/>
    <n v="3"/>
    <n v="5"/>
    <n v="2"/>
    <n v="0"/>
    <n v="4"/>
    <x v="3"/>
    <n v="0"/>
    <n v="0"/>
    <n v="1"/>
    <m/>
    <m/>
  </r>
  <r>
    <n v="39"/>
    <s v="No"/>
    <s v="Travel_Rarely"/>
    <n v="1462"/>
    <s v="Sales"/>
    <n v="6"/>
    <n v="3"/>
    <s v="Medical"/>
    <n v="1"/>
    <n v="1588"/>
    <n v="4"/>
    <s v="Male"/>
    <n v="38"/>
    <n v="4"/>
    <n v="3"/>
    <s v="Sales Executive"/>
    <n v="3"/>
    <s v="Married"/>
    <n v="8237"/>
    <n v="4658"/>
    <n v="2"/>
    <s v="Y"/>
    <s v="No"/>
    <n v="11"/>
    <n v="3"/>
    <n v="1"/>
    <n v="80"/>
    <n v="1"/>
    <n v="11"/>
    <n v="3"/>
    <n v="3"/>
    <n v="7"/>
    <n v="6"/>
    <n v="7"/>
    <n v="6"/>
    <x v="0"/>
    <n v="0"/>
    <n v="0"/>
    <n v="1"/>
    <m/>
    <m/>
  </r>
  <r>
    <n v="29"/>
    <s v="No"/>
    <s v="Travel_Frequently"/>
    <n v="995"/>
    <s v="Research &amp; Development"/>
    <n v="2"/>
    <n v="1"/>
    <s v="Life Sciences"/>
    <n v="1"/>
    <n v="1590"/>
    <n v="1"/>
    <s v="Male"/>
    <n v="87"/>
    <n v="3"/>
    <n v="2"/>
    <s v="Healthcare Representative"/>
    <n v="4"/>
    <s v="Divorced"/>
    <n v="8853"/>
    <n v="24483"/>
    <n v="1"/>
    <s v="Y"/>
    <s v="No"/>
    <n v="19"/>
    <n v="3"/>
    <n v="4"/>
    <n v="80"/>
    <n v="1"/>
    <n v="6"/>
    <n v="0"/>
    <n v="4"/>
    <n v="6"/>
    <n v="4"/>
    <n v="1"/>
    <n v="3"/>
    <x v="3"/>
    <n v="0"/>
    <n v="0"/>
    <n v="1"/>
    <m/>
    <m/>
  </r>
  <r>
    <n v="50"/>
    <s v="No"/>
    <s v="Travel_Rarely"/>
    <n v="264"/>
    <s v="Sales"/>
    <n v="9"/>
    <n v="3"/>
    <s v="Marketing"/>
    <n v="1"/>
    <n v="1591"/>
    <n v="3"/>
    <s v="Male"/>
    <n v="59"/>
    <n v="3"/>
    <n v="5"/>
    <s v="Manager"/>
    <n v="3"/>
    <s v="Married"/>
    <n v="19331"/>
    <n v="19519"/>
    <n v="4"/>
    <s v="Y"/>
    <s v="Yes"/>
    <n v="16"/>
    <n v="3"/>
    <n v="3"/>
    <n v="80"/>
    <n v="1"/>
    <n v="27"/>
    <n v="2"/>
    <n v="3"/>
    <n v="1"/>
    <n v="0"/>
    <n v="0"/>
    <n v="0"/>
    <x v="4"/>
    <n v="0"/>
    <n v="0"/>
    <n v="1"/>
    <m/>
    <m/>
  </r>
  <r>
    <n v="23"/>
    <s v="No"/>
    <s v="Travel_Rarely"/>
    <n v="977"/>
    <s v="Research &amp; Development"/>
    <n v="10"/>
    <n v="3"/>
    <s v="Technical Degree"/>
    <n v="1"/>
    <n v="1592"/>
    <n v="4"/>
    <s v="Male"/>
    <n v="45"/>
    <n v="4"/>
    <n v="1"/>
    <s v="Research Scientist"/>
    <n v="3"/>
    <s v="Married"/>
    <n v="2073"/>
    <n v="12826"/>
    <n v="2"/>
    <s v="Y"/>
    <s v="No"/>
    <n v="16"/>
    <n v="3"/>
    <n v="4"/>
    <n v="80"/>
    <n v="1"/>
    <n v="4"/>
    <n v="2"/>
    <n v="3"/>
    <n v="2"/>
    <n v="2"/>
    <n v="2"/>
    <n v="2"/>
    <x v="1"/>
    <n v="0"/>
    <n v="0"/>
    <n v="1"/>
    <m/>
    <m/>
  </r>
  <r>
    <n v="36"/>
    <s v="No"/>
    <s v="Travel_Frequently"/>
    <n v="1302"/>
    <s v="Research &amp; Development"/>
    <n v="6"/>
    <n v="4"/>
    <s v="Life Sciences"/>
    <n v="1"/>
    <n v="1594"/>
    <n v="1"/>
    <s v="Male"/>
    <n v="80"/>
    <n v="4"/>
    <n v="2"/>
    <s v="Laboratory Technician"/>
    <n v="1"/>
    <s v="Married"/>
    <n v="5562"/>
    <n v="19711"/>
    <n v="3"/>
    <s v="Y"/>
    <s v="Yes"/>
    <n v="13"/>
    <n v="3"/>
    <n v="4"/>
    <n v="80"/>
    <n v="1"/>
    <n v="9"/>
    <n v="3"/>
    <n v="3"/>
    <n v="3"/>
    <n v="2"/>
    <n v="0"/>
    <n v="2"/>
    <x v="1"/>
    <n v="0"/>
    <n v="0"/>
    <n v="1"/>
    <m/>
    <m/>
  </r>
  <r>
    <n v="42"/>
    <s v="No"/>
    <s v="Travel_Rarely"/>
    <n v="1059"/>
    <s v="Research &amp; Development"/>
    <n v="9"/>
    <n v="2"/>
    <s v="Other"/>
    <n v="1"/>
    <n v="1595"/>
    <n v="4"/>
    <s v="Male"/>
    <n v="93"/>
    <n v="2"/>
    <n v="5"/>
    <s v="Manager"/>
    <n v="4"/>
    <s v="Single"/>
    <n v="19613"/>
    <n v="26362"/>
    <n v="8"/>
    <s v="Y"/>
    <s v="No"/>
    <n v="22"/>
    <n v="4"/>
    <n v="4"/>
    <n v="80"/>
    <n v="0"/>
    <n v="24"/>
    <n v="2"/>
    <n v="3"/>
    <n v="1"/>
    <n v="0"/>
    <n v="0"/>
    <n v="1"/>
    <x v="4"/>
    <n v="0"/>
    <n v="0"/>
    <n v="1"/>
    <m/>
    <m/>
  </r>
  <r>
    <n v="35"/>
    <s v="No"/>
    <s v="Travel_Rarely"/>
    <n v="750"/>
    <s v="Research &amp; Development"/>
    <n v="28"/>
    <n v="3"/>
    <s v="Life Sciences"/>
    <n v="1"/>
    <n v="1596"/>
    <n v="2"/>
    <s v="Male"/>
    <n v="46"/>
    <n v="4"/>
    <n v="2"/>
    <s v="Laboratory Technician"/>
    <n v="3"/>
    <s v="Married"/>
    <n v="3407"/>
    <n v="25348"/>
    <n v="1"/>
    <s v="Y"/>
    <s v="No"/>
    <n v="17"/>
    <n v="3"/>
    <n v="4"/>
    <n v="80"/>
    <n v="2"/>
    <n v="10"/>
    <n v="3"/>
    <n v="2"/>
    <n v="10"/>
    <n v="9"/>
    <n v="6"/>
    <n v="8"/>
    <x v="1"/>
    <n v="0"/>
    <n v="0"/>
    <n v="1"/>
    <m/>
    <m/>
  </r>
  <r>
    <n v="34"/>
    <s v="No"/>
    <s v="Travel_Frequently"/>
    <n v="653"/>
    <s v="Research &amp; Development"/>
    <n v="10"/>
    <n v="4"/>
    <s v="Technical Degree"/>
    <n v="1"/>
    <n v="1597"/>
    <n v="4"/>
    <s v="Male"/>
    <n v="92"/>
    <n v="2"/>
    <n v="2"/>
    <s v="Healthcare Representative"/>
    <n v="3"/>
    <s v="Married"/>
    <n v="5063"/>
    <n v="15332"/>
    <n v="1"/>
    <s v="Y"/>
    <s v="No"/>
    <n v="14"/>
    <n v="3"/>
    <n v="2"/>
    <n v="80"/>
    <n v="1"/>
    <n v="8"/>
    <n v="3"/>
    <n v="2"/>
    <n v="8"/>
    <n v="2"/>
    <n v="7"/>
    <n v="7"/>
    <x v="3"/>
    <n v="0"/>
    <n v="0"/>
    <n v="1"/>
    <m/>
    <m/>
  </r>
  <r>
    <n v="40"/>
    <s v="No"/>
    <s v="Travel_Rarely"/>
    <n v="118"/>
    <s v="Sales"/>
    <n v="14"/>
    <n v="2"/>
    <s v="Life Sciences"/>
    <n v="1"/>
    <n v="1598"/>
    <n v="4"/>
    <s v="Female"/>
    <n v="84"/>
    <n v="3"/>
    <n v="2"/>
    <s v="Sales Executive"/>
    <n v="1"/>
    <s v="Married"/>
    <n v="4639"/>
    <n v="11262"/>
    <n v="1"/>
    <s v="Y"/>
    <s v="No"/>
    <n v="15"/>
    <n v="3"/>
    <n v="3"/>
    <n v="80"/>
    <n v="1"/>
    <n v="5"/>
    <n v="2"/>
    <n v="3"/>
    <n v="5"/>
    <n v="4"/>
    <n v="1"/>
    <n v="2"/>
    <x v="0"/>
    <n v="0"/>
    <n v="0"/>
    <n v="1"/>
    <m/>
    <m/>
  </r>
  <r>
    <n v="43"/>
    <s v="No"/>
    <s v="Travel_Rarely"/>
    <n v="990"/>
    <s v="Research &amp; Development"/>
    <n v="27"/>
    <n v="3"/>
    <s v="Technical Degree"/>
    <n v="1"/>
    <n v="1599"/>
    <n v="4"/>
    <s v="Male"/>
    <n v="87"/>
    <n v="4"/>
    <n v="1"/>
    <s v="Laboratory Technician"/>
    <n v="2"/>
    <s v="Divorced"/>
    <n v="4876"/>
    <n v="5855"/>
    <n v="5"/>
    <s v="Y"/>
    <s v="No"/>
    <n v="12"/>
    <n v="3"/>
    <n v="3"/>
    <n v="80"/>
    <n v="1"/>
    <n v="8"/>
    <n v="0"/>
    <n v="3"/>
    <n v="6"/>
    <n v="4"/>
    <n v="0"/>
    <n v="2"/>
    <x v="1"/>
    <n v="0"/>
    <n v="0"/>
    <n v="1"/>
    <m/>
    <m/>
  </r>
  <r>
    <n v="35"/>
    <s v="No"/>
    <s v="Travel_Rarely"/>
    <n v="1349"/>
    <s v="Research &amp; Development"/>
    <n v="7"/>
    <n v="2"/>
    <s v="Life Sciences"/>
    <n v="1"/>
    <n v="1601"/>
    <n v="3"/>
    <s v="Male"/>
    <n v="63"/>
    <n v="2"/>
    <n v="1"/>
    <s v="Laboratory Technician"/>
    <n v="4"/>
    <s v="Married"/>
    <n v="2690"/>
    <n v="7713"/>
    <n v="1"/>
    <s v="Y"/>
    <s v="No"/>
    <n v="18"/>
    <n v="3"/>
    <n v="4"/>
    <n v="80"/>
    <n v="1"/>
    <n v="1"/>
    <n v="5"/>
    <n v="2"/>
    <n v="1"/>
    <n v="0"/>
    <n v="0"/>
    <n v="1"/>
    <x v="1"/>
    <n v="0"/>
    <n v="0"/>
    <n v="1"/>
    <m/>
    <m/>
  </r>
  <r>
    <n v="46"/>
    <s v="No"/>
    <s v="Travel_Rarely"/>
    <n v="563"/>
    <s v="Sales"/>
    <n v="1"/>
    <n v="4"/>
    <s v="Life Sciences"/>
    <n v="1"/>
    <n v="1602"/>
    <n v="4"/>
    <s v="Male"/>
    <n v="56"/>
    <n v="4"/>
    <n v="4"/>
    <s v="Manager"/>
    <n v="1"/>
    <s v="Single"/>
    <n v="17567"/>
    <n v="3156"/>
    <n v="1"/>
    <s v="Y"/>
    <s v="No"/>
    <n v="15"/>
    <n v="3"/>
    <n v="2"/>
    <n v="80"/>
    <n v="0"/>
    <n v="27"/>
    <n v="5"/>
    <n v="1"/>
    <n v="26"/>
    <n v="0"/>
    <n v="0"/>
    <n v="12"/>
    <x v="4"/>
    <n v="0"/>
    <n v="0"/>
    <n v="1"/>
    <m/>
    <m/>
  </r>
  <r>
    <n v="28"/>
    <s v="Yes"/>
    <s v="Travel_Rarely"/>
    <n v="329"/>
    <s v="Research &amp; Development"/>
    <n v="24"/>
    <n v="3"/>
    <s v="Medical"/>
    <n v="1"/>
    <n v="1604"/>
    <n v="3"/>
    <s v="Male"/>
    <n v="51"/>
    <n v="3"/>
    <n v="1"/>
    <s v="Laboratory Technician"/>
    <n v="2"/>
    <s v="Married"/>
    <n v="2408"/>
    <n v="7324"/>
    <n v="1"/>
    <s v="Y"/>
    <s v="Yes"/>
    <n v="17"/>
    <n v="3"/>
    <n v="3"/>
    <n v="80"/>
    <n v="3"/>
    <n v="1"/>
    <n v="3"/>
    <n v="3"/>
    <n v="1"/>
    <n v="1"/>
    <n v="0"/>
    <n v="0"/>
    <x v="1"/>
    <n v="1"/>
    <n v="43344"/>
    <n v="1"/>
    <m/>
    <m/>
  </r>
  <r>
    <n v="22"/>
    <s v="No"/>
    <s v="Non-Travel"/>
    <n v="457"/>
    <s v="Research &amp; Development"/>
    <n v="26"/>
    <n v="2"/>
    <s v="Other"/>
    <n v="1"/>
    <n v="1605"/>
    <n v="2"/>
    <s v="Female"/>
    <n v="85"/>
    <n v="2"/>
    <n v="1"/>
    <s v="Research Scientist"/>
    <n v="3"/>
    <s v="Married"/>
    <n v="2814"/>
    <n v="10293"/>
    <n v="1"/>
    <s v="Y"/>
    <s v="Yes"/>
    <n v="14"/>
    <n v="3"/>
    <n v="2"/>
    <n v="80"/>
    <n v="0"/>
    <n v="4"/>
    <n v="2"/>
    <n v="2"/>
    <n v="4"/>
    <n v="2"/>
    <n v="1"/>
    <n v="3"/>
    <x v="1"/>
    <n v="0"/>
    <n v="0"/>
    <n v="1"/>
    <m/>
    <m/>
  </r>
  <r>
    <n v="50"/>
    <s v="No"/>
    <s v="Travel_Frequently"/>
    <n v="1234"/>
    <s v="Research &amp; Development"/>
    <n v="20"/>
    <n v="5"/>
    <s v="Medical"/>
    <n v="1"/>
    <n v="1606"/>
    <n v="2"/>
    <s v="Male"/>
    <n v="41"/>
    <n v="3"/>
    <n v="4"/>
    <s v="Healthcare Representative"/>
    <n v="3"/>
    <s v="Married"/>
    <n v="11245"/>
    <n v="20689"/>
    <n v="2"/>
    <s v="Y"/>
    <s v="Yes"/>
    <n v="15"/>
    <n v="3"/>
    <n v="3"/>
    <n v="80"/>
    <n v="1"/>
    <n v="32"/>
    <n v="3"/>
    <n v="3"/>
    <n v="30"/>
    <n v="8"/>
    <n v="12"/>
    <n v="13"/>
    <x v="3"/>
    <n v="0"/>
    <n v="0"/>
    <n v="1"/>
    <m/>
    <m/>
  </r>
  <r>
    <n v="32"/>
    <s v="No"/>
    <s v="Travel_Rarely"/>
    <n v="634"/>
    <s v="Research &amp; Development"/>
    <n v="5"/>
    <n v="4"/>
    <s v="Other"/>
    <n v="1"/>
    <n v="1607"/>
    <n v="2"/>
    <s v="Female"/>
    <n v="35"/>
    <n v="4"/>
    <n v="1"/>
    <s v="Research Scientist"/>
    <n v="4"/>
    <s v="Married"/>
    <n v="3312"/>
    <n v="18783"/>
    <n v="3"/>
    <s v="Y"/>
    <s v="No"/>
    <n v="17"/>
    <n v="3"/>
    <n v="4"/>
    <n v="80"/>
    <n v="2"/>
    <n v="6"/>
    <n v="3"/>
    <n v="3"/>
    <n v="3"/>
    <n v="2"/>
    <n v="0"/>
    <n v="2"/>
    <x v="1"/>
    <n v="0"/>
    <n v="0"/>
    <n v="1"/>
    <m/>
    <m/>
  </r>
  <r>
    <n v="44"/>
    <s v="No"/>
    <s v="Travel_Rarely"/>
    <n v="1313"/>
    <s v="Research &amp; Development"/>
    <n v="7"/>
    <n v="3"/>
    <s v="Medical"/>
    <n v="1"/>
    <n v="1608"/>
    <n v="2"/>
    <s v="Female"/>
    <n v="31"/>
    <n v="3"/>
    <n v="5"/>
    <s v="Research Director"/>
    <n v="4"/>
    <s v="Divorced"/>
    <n v="19049"/>
    <n v="3549"/>
    <n v="0"/>
    <s v="Y"/>
    <s v="Yes"/>
    <n v="14"/>
    <n v="3"/>
    <n v="4"/>
    <n v="80"/>
    <n v="1"/>
    <n v="23"/>
    <n v="4"/>
    <n v="2"/>
    <n v="22"/>
    <n v="7"/>
    <n v="1"/>
    <n v="10"/>
    <x v="1"/>
    <n v="0"/>
    <n v="0"/>
    <n v="1"/>
    <m/>
    <m/>
  </r>
  <r>
    <n v="30"/>
    <s v="No"/>
    <s v="Travel_Rarely"/>
    <n v="241"/>
    <s v="Research &amp; Development"/>
    <n v="7"/>
    <n v="3"/>
    <s v="Medical"/>
    <n v="1"/>
    <n v="1609"/>
    <n v="2"/>
    <s v="Male"/>
    <n v="48"/>
    <n v="2"/>
    <n v="1"/>
    <s v="Research Scientist"/>
    <n v="2"/>
    <s v="Married"/>
    <n v="2141"/>
    <n v="5348"/>
    <n v="1"/>
    <s v="Y"/>
    <s v="No"/>
    <n v="12"/>
    <n v="3"/>
    <n v="2"/>
    <n v="80"/>
    <n v="1"/>
    <n v="6"/>
    <n v="3"/>
    <n v="2"/>
    <n v="6"/>
    <n v="4"/>
    <n v="1"/>
    <n v="1"/>
    <x v="1"/>
    <n v="0"/>
    <n v="0"/>
    <n v="1"/>
    <m/>
    <m/>
  </r>
  <r>
    <n v="45"/>
    <s v="No"/>
    <s v="Travel_Rarely"/>
    <n v="1015"/>
    <s v="Research &amp; Development"/>
    <n v="5"/>
    <n v="5"/>
    <s v="Medical"/>
    <n v="1"/>
    <n v="1611"/>
    <n v="3"/>
    <s v="Female"/>
    <n v="50"/>
    <n v="1"/>
    <n v="2"/>
    <s v="Laboratory Technician"/>
    <n v="1"/>
    <s v="Single"/>
    <n v="5769"/>
    <n v="23447"/>
    <n v="1"/>
    <s v="Y"/>
    <s v="Yes"/>
    <n v="14"/>
    <n v="3"/>
    <n v="1"/>
    <n v="80"/>
    <n v="0"/>
    <n v="10"/>
    <n v="3"/>
    <n v="3"/>
    <n v="10"/>
    <n v="7"/>
    <n v="1"/>
    <n v="4"/>
    <x v="1"/>
    <n v="0"/>
    <n v="0"/>
    <n v="1"/>
    <m/>
    <m/>
  </r>
  <r>
    <n v="45"/>
    <s v="No"/>
    <s v="Non-Travel"/>
    <n v="336"/>
    <s v="Sales"/>
    <n v="26"/>
    <n v="3"/>
    <s v="Marketing"/>
    <n v="1"/>
    <n v="1612"/>
    <n v="1"/>
    <s v="Male"/>
    <n v="52"/>
    <n v="2"/>
    <n v="2"/>
    <s v="Sales Executive"/>
    <n v="1"/>
    <s v="Married"/>
    <n v="4385"/>
    <n v="24162"/>
    <n v="1"/>
    <s v="Y"/>
    <s v="No"/>
    <n v="15"/>
    <n v="3"/>
    <n v="1"/>
    <n v="80"/>
    <n v="1"/>
    <n v="10"/>
    <n v="2"/>
    <n v="3"/>
    <n v="10"/>
    <n v="7"/>
    <n v="4"/>
    <n v="5"/>
    <x v="0"/>
    <n v="0"/>
    <n v="0"/>
    <n v="1"/>
    <m/>
    <m/>
  </r>
  <r>
    <n v="31"/>
    <s v="No"/>
    <s v="Travel_Frequently"/>
    <n v="715"/>
    <s v="Sales"/>
    <n v="2"/>
    <n v="4"/>
    <s v="Other"/>
    <n v="1"/>
    <n v="1613"/>
    <n v="4"/>
    <s v="Male"/>
    <n v="54"/>
    <n v="3"/>
    <n v="2"/>
    <s v="Sales Executive"/>
    <n v="1"/>
    <s v="Single"/>
    <n v="5332"/>
    <n v="21602"/>
    <n v="7"/>
    <s v="Y"/>
    <s v="No"/>
    <n v="13"/>
    <n v="3"/>
    <n v="4"/>
    <n v="80"/>
    <n v="0"/>
    <n v="10"/>
    <n v="3"/>
    <n v="3"/>
    <n v="5"/>
    <n v="2"/>
    <n v="0"/>
    <n v="3"/>
    <x v="0"/>
    <n v="0"/>
    <n v="0"/>
    <n v="1"/>
    <m/>
    <m/>
  </r>
  <r>
    <n v="36"/>
    <s v="No"/>
    <s v="Travel_Rarely"/>
    <n v="559"/>
    <s v="Research &amp; Development"/>
    <n v="12"/>
    <n v="4"/>
    <s v="Life Sciences"/>
    <n v="1"/>
    <n v="1614"/>
    <n v="3"/>
    <s v="Female"/>
    <n v="76"/>
    <n v="3"/>
    <n v="2"/>
    <s v="Manufacturing Director"/>
    <n v="3"/>
    <s v="Married"/>
    <n v="4663"/>
    <n v="12421"/>
    <n v="9"/>
    <s v="Y"/>
    <s v="Yes"/>
    <n v="12"/>
    <n v="3"/>
    <n v="2"/>
    <n v="80"/>
    <n v="2"/>
    <n v="7"/>
    <n v="2"/>
    <n v="3"/>
    <n v="3"/>
    <n v="2"/>
    <n v="1"/>
    <n v="1"/>
    <x v="2"/>
    <n v="0"/>
    <n v="0"/>
    <n v="1"/>
    <m/>
    <m/>
  </r>
  <r>
    <n v="34"/>
    <s v="No"/>
    <s v="Travel_Frequently"/>
    <n v="426"/>
    <s v="Research &amp; Development"/>
    <n v="10"/>
    <n v="4"/>
    <s v="Life Sciences"/>
    <n v="1"/>
    <n v="1615"/>
    <n v="3"/>
    <s v="Male"/>
    <n v="42"/>
    <n v="4"/>
    <n v="2"/>
    <s v="Manufacturing Director"/>
    <n v="4"/>
    <s v="Divorced"/>
    <n v="4724"/>
    <n v="17000"/>
    <n v="1"/>
    <s v="Y"/>
    <s v="No"/>
    <n v="13"/>
    <n v="3"/>
    <n v="1"/>
    <n v="80"/>
    <n v="1"/>
    <n v="9"/>
    <n v="3"/>
    <n v="3"/>
    <n v="9"/>
    <n v="7"/>
    <n v="7"/>
    <n v="2"/>
    <x v="2"/>
    <n v="0"/>
    <n v="0"/>
    <n v="1"/>
    <m/>
    <m/>
  </r>
  <r>
    <n v="49"/>
    <s v="No"/>
    <s v="Travel_Rarely"/>
    <n v="722"/>
    <s v="Research &amp; Development"/>
    <n v="25"/>
    <n v="4"/>
    <s v="Life Sciences"/>
    <n v="1"/>
    <n v="1617"/>
    <n v="3"/>
    <s v="Female"/>
    <n v="84"/>
    <n v="3"/>
    <n v="1"/>
    <s v="Laboratory Technician"/>
    <n v="1"/>
    <s v="Married"/>
    <n v="3211"/>
    <n v="22102"/>
    <n v="1"/>
    <s v="Y"/>
    <s v="No"/>
    <n v="14"/>
    <n v="3"/>
    <n v="4"/>
    <n v="80"/>
    <n v="1"/>
    <n v="10"/>
    <n v="3"/>
    <n v="2"/>
    <n v="9"/>
    <n v="6"/>
    <n v="1"/>
    <n v="4"/>
    <x v="1"/>
    <n v="0"/>
    <n v="0"/>
    <n v="1"/>
    <m/>
    <m/>
  </r>
  <r>
    <n v="39"/>
    <s v="No"/>
    <s v="Travel_Rarely"/>
    <n v="1387"/>
    <s v="Research &amp; Development"/>
    <n v="10"/>
    <n v="5"/>
    <s v="Medical"/>
    <n v="1"/>
    <n v="1618"/>
    <n v="2"/>
    <s v="Male"/>
    <n v="76"/>
    <n v="3"/>
    <n v="2"/>
    <s v="Manufacturing Director"/>
    <n v="1"/>
    <s v="Married"/>
    <n v="5377"/>
    <n v="3835"/>
    <n v="2"/>
    <s v="Y"/>
    <s v="No"/>
    <n v="13"/>
    <n v="3"/>
    <n v="4"/>
    <n v="80"/>
    <n v="3"/>
    <n v="10"/>
    <n v="3"/>
    <n v="3"/>
    <n v="7"/>
    <n v="7"/>
    <n v="7"/>
    <n v="7"/>
    <x v="2"/>
    <n v="0"/>
    <n v="0"/>
    <n v="1"/>
    <m/>
    <m/>
  </r>
  <r>
    <n v="27"/>
    <s v="No"/>
    <s v="Travel_Rarely"/>
    <n v="1302"/>
    <s v="Research &amp; Development"/>
    <n v="19"/>
    <n v="3"/>
    <s v="Other"/>
    <n v="1"/>
    <n v="1619"/>
    <n v="4"/>
    <s v="Male"/>
    <n v="67"/>
    <n v="2"/>
    <n v="1"/>
    <s v="Laboratory Technician"/>
    <n v="1"/>
    <s v="Divorced"/>
    <n v="4066"/>
    <n v="16290"/>
    <n v="1"/>
    <s v="Y"/>
    <s v="No"/>
    <n v="11"/>
    <n v="3"/>
    <n v="1"/>
    <n v="80"/>
    <n v="2"/>
    <n v="7"/>
    <n v="3"/>
    <n v="3"/>
    <n v="7"/>
    <n v="7"/>
    <n v="0"/>
    <n v="7"/>
    <x v="1"/>
    <n v="0"/>
    <n v="0"/>
    <n v="1"/>
    <m/>
    <m/>
  </r>
  <r>
    <n v="35"/>
    <s v="No"/>
    <s v="Travel_Rarely"/>
    <n v="819"/>
    <s v="Research &amp; Development"/>
    <n v="18"/>
    <n v="5"/>
    <s v="Life Sciences"/>
    <n v="1"/>
    <n v="1621"/>
    <n v="2"/>
    <s v="Male"/>
    <n v="48"/>
    <n v="4"/>
    <n v="2"/>
    <s v="Research Scientist"/>
    <n v="1"/>
    <s v="Married"/>
    <n v="5208"/>
    <n v="26312"/>
    <n v="1"/>
    <s v="Y"/>
    <s v="No"/>
    <n v="11"/>
    <n v="3"/>
    <n v="4"/>
    <n v="80"/>
    <n v="0"/>
    <n v="16"/>
    <n v="2"/>
    <n v="3"/>
    <n v="16"/>
    <n v="15"/>
    <n v="1"/>
    <n v="10"/>
    <x v="1"/>
    <n v="0"/>
    <n v="0"/>
    <n v="1"/>
    <m/>
    <m/>
  </r>
  <r>
    <n v="28"/>
    <s v="No"/>
    <s v="Travel_Rarely"/>
    <n v="580"/>
    <s v="Research &amp; Development"/>
    <n v="27"/>
    <n v="3"/>
    <s v="Medical"/>
    <n v="1"/>
    <n v="1622"/>
    <n v="2"/>
    <s v="Female"/>
    <n v="39"/>
    <n v="1"/>
    <n v="2"/>
    <s v="Manufacturing Director"/>
    <n v="1"/>
    <s v="Divorced"/>
    <n v="4877"/>
    <n v="20460"/>
    <n v="0"/>
    <s v="Y"/>
    <s v="No"/>
    <n v="21"/>
    <n v="4"/>
    <n v="2"/>
    <n v="80"/>
    <n v="1"/>
    <n v="6"/>
    <n v="5"/>
    <n v="2"/>
    <n v="5"/>
    <n v="3"/>
    <n v="0"/>
    <n v="0"/>
    <x v="2"/>
    <n v="0"/>
    <n v="0"/>
    <n v="1"/>
    <m/>
    <m/>
  </r>
  <r>
    <n v="21"/>
    <s v="No"/>
    <s v="Travel_Rarely"/>
    <n v="546"/>
    <s v="Research &amp; Development"/>
    <n v="5"/>
    <n v="1"/>
    <s v="Medical"/>
    <n v="1"/>
    <n v="1623"/>
    <n v="3"/>
    <s v="Male"/>
    <n v="97"/>
    <n v="3"/>
    <n v="1"/>
    <s v="Research Scientist"/>
    <n v="4"/>
    <s v="Single"/>
    <n v="3117"/>
    <n v="26009"/>
    <n v="1"/>
    <s v="Y"/>
    <s v="No"/>
    <n v="18"/>
    <n v="3"/>
    <n v="3"/>
    <n v="80"/>
    <n v="0"/>
    <n v="3"/>
    <n v="2"/>
    <n v="3"/>
    <n v="2"/>
    <n v="2"/>
    <n v="2"/>
    <n v="2"/>
    <x v="1"/>
    <n v="0"/>
    <n v="0"/>
    <n v="1"/>
    <m/>
    <m/>
  </r>
  <r>
    <n v="18"/>
    <s v="Yes"/>
    <s v="Travel_Frequently"/>
    <n v="544"/>
    <s v="Sales"/>
    <n v="3"/>
    <n v="2"/>
    <s v="Medical"/>
    <n v="1"/>
    <n v="1624"/>
    <n v="2"/>
    <s v="Female"/>
    <n v="70"/>
    <n v="3"/>
    <n v="1"/>
    <s v="Sales Representative"/>
    <n v="4"/>
    <s v="Single"/>
    <n v="1569"/>
    <n v="18420"/>
    <n v="1"/>
    <s v="Y"/>
    <s v="Yes"/>
    <n v="12"/>
    <n v="3"/>
    <n v="3"/>
    <n v="80"/>
    <n v="0"/>
    <n v="0"/>
    <n v="2"/>
    <n v="4"/>
    <n v="0"/>
    <n v="0"/>
    <n v="0"/>
    <n v="0"/>
    <x v="0"/>
    <n v="1"/>
    <n v="28242"/>
    <n v="1"/>
    <m/>
    <m/>
  </r>
  <r>
    <n v="47"/>
    <s v="No"/>
    <s v="Travel_Rarely"/>
    <n v="1176"/>
    <s v="Human Resources"/>
    <n v="26"/>
    <n v="4"/>
    <s v="Life Sciences"/>
    <n v="1"/>
    <n v="1625"/>
    <n v="4"/>
    <s v="Female"/>
    <n v="98"/>
    <n v="3"/>
    <n v="5"/>
    <s v="Manager"/>
    <n v="3"/>
    <s v="Married"/>
    <n v="19658"/>
    <n v="5220"/>
    <n v="3"/>
    <s v="Y"/>
    <s v="No"/>
    <n v="11"/>
    <n v="3"/>
    <n v="3"/>
    <n v="80"/>
    <n v="1"/>
    <n v="27"/>
    <n v="2"/>
    <n v="3"/>
    <n v="5"/>
    <n v="2"/>
    <n v="1"/>
    <n v="0"/>
    <x v="4"/>
    <n v="0"/>
    <n v="0"/>
    <n v="1"/>
    <m/>
    <m/>
  </r>
  <r>
    <n v="39"/>
    <s v="No"/>
    <s v="Travel_Rarely"/>
    <n v="170"/>
    <s v="Research &amp; Development"/>
    <n v="3"/>
    <n v="2"/>
    <s v="Medical"/>
    <n v="1"/>
    <n v="1627"/>
    <n v="3"/>
    <s v="Male"/>
    <n v="76"/>
    <n v="2"/>
    <n v="2"/>
    <s v="Laboratory Technician"/>
    <n v="3"/>
    <s v="Divorced"/>
    <n v="3069"/>
    <n v="10302"/>
    <n v="0"/>
    <s v="Y"/>
    <s v="No"/>
    <n v="15"/>
    <n v="3"/>
    <n v="4"/>
    <n v="80"/>
    <n v="1"/>
    <n v="11"/>
    <n v="3"/>
    <n v="3"/>
    <n v="10"/>
    <n v="8"/>
    <n v="0"/>
    <n v="7"/>
    <x v="1"/>
    <n v="0"/>
    <n v="0"/>
    <n v="1"/>
    <m/>
    <m/>
  </r>
  <r>
    <n v="40"/>
    <s v="No"/>
    <s v="Travel_Rarely"/>
    <n v="884"/>
    <s v="Research &amp; Development"/>
    <n v="15"/>
    <n v="3"/>
    <s v="Life Sciences"/>
    <n v="1"/>
    <n v="1628"/>
    <n v="1"/>
    <s v="Female"/>
    <n v="80"/>
    <n v="2"/>
    <n v="3"/>
    <s v="Manufacturing Director"/>
    <n v="3"/>
    <s v="Married"/>
    <n v="10435"/>
    <n v="25800"/>
    <n v="1"/>
    <s v="Y"/>
    <s v="No"/>
    <n v="13"/>
    <n v="3"/>
    <n v="4"/>
    <n v="80"/>
    <n v="2"/>
    <n v="18"/>
    <n v="2"/>
    <n v="3"/>
    <n v="18"/>
    <n v="15"/>
    <n v="14"/>
    <n v="12"/>
    <x v="2"/>
    <n v="0"/>
    <n v="0"/>
    <n v="1"/>
    <m/>
    <m/>
  </r>
  <r>
    <n v="35"/>
    <s v="No"/>
    <s v="Non-Travel"/>
    <n v="208"/>
    <s v="Research &amp; Development"/>
    <n v="8"/>
    <n v="4"/>
    <s v="Life Sciences"/>
    <n v="1"/>
    <n v="1630"/>
    <n v="3"/>
    <s v="Female"/>
    <n v="52"/>
    <n v="3"/>
    <n v="2"/>
    <s v="Healthcare Representative"/>
    <n v="3"/>
    <s v="Married"/>
    <n v="4148"/>
    <n v="12250"/>
    <n v="1"/>
    <s v="Y"/>
    <s v="No"/>
    <n v="12"/>
    <n v="3"/>
    <n v="4"/>
    <n v="80"/>
    <n v="1"/>
    <n v="15"/>
    <n v="5"/>
    <n v="3"/>
    <n v="14"/>
    <n v="11"/>
    <n v="2"/>
    <n v="9"/>
    <x v="3"/>
    <n v="0"/>
    <n v="0"/>
    <n v="1"/>
    <m/>
    <m/>
  </r>
  <r>
    <n v="37"/>
    <s v="No"/>
    <s v="Travel_Rarely"/>
    <n v="671"/>
    <s v="Research &amp; Development"/>
    <n v="19"/>
    <n v="3"/>
    <s v="Life Sciences"/>
    <n v="1"/>
    <n v="1631"/>
    <n v="3"/>
    <s v="Male"/>
    <n v="85"/>
    <n v="3"/>
    <n v="2"/>
    <s v="Manufacturing Director"/>
    <n v="3"/>
    <s v="Married"/>
    <n v="5768"/>
    <n v="26493"/>
    <n v="3"/>
    <s v="Y"/>
    <s v="No"/>
    <n v="17"/>
    <n v="3"/>
    <n v="1"/>
    <n v="80"/>
    <n v="3"/>
    <n v="9"/>
    <n v="2"/>
    <n v="2"/>
    <n v="4"/>
    <n v="3"/>
    <n v="0"/>
    <n v="2"/>
    <x v="2"/>
    <n v="0"/>
    <n v="0"/>
    <n v="1"/>
    <m/>
    <m/>
  </r>
  <r>
    <n v="39"/>
    <s v="No"/>
    <s v="Travel_Frequently"/>
    <n v="711"/>
    <s v="Research &amp; Development"/>
    <n v="4"/>
    <n v="3"/>
    <s v="Medical"/>
    <n v="1"/>
    <n v="1633"/>
    <n v="1"/>
    <s v="Female"/>
    <n v="81"/>
    <n v="3"/>
    <n v="2"/>
    <s v="Manufacturing Director"/>
    <n v="3"/>
    <s v="Single"/>
    <n v="5042"/>
    <n v="3140"/>
    <n v="0"/>
    <s v="Y"/>
    <s v="No"/>
    <n v="13"/>
    <n v="3"/>
    <n v="4"/>
    <n v="80"/>
    <n v="0"/>
    <n v="10"/>
    <n v="2"/>
    <n v="1"/>
    <n v="9"/>
    <n v="2"/>
    <n v="3"/>
    <n v="8"/>
    <x v="2"/>
    <n v="0"/>
    <n v="0"/>
    <n v="1"/>
    <m/>
    <m/>
  </r>
  <r>
    <n v="45"/>
    <s v="No"/>
    <s v="Travel_Rarely"/>
    <n v="1329"/>
    <s v="Research &amp; Development"/>
    <n v="2"/>
    <n v="2"/>
    <s v="Other"/>
    <n v="1"/>
    <n v="1635"/>
    <n v="4"/>
    <s v="Female"/>
    <n v="59"/>
    <n v="2"/>
    <n v="2"/>
    <s v="Manufacturing Director"/>
    <n v="4"/>
    <s v="Divorced"/>
    <n v="5770"/>
    <n v="5388"/>
    <n v="1"/>
    <s v="Y"/>
    <s v="No"/>
    <n v="19"/>
    <n v="3"/>
    <n v="1"/>
    <n v="80"/>
    <n v="2"/>
    <n v="10"/>
    <n v="3"/>
    <n v="3"/>
    <n v="10"/>
    <n v="7"/>
    <n v="3"/>
    <n v="9"/>
    <x v="2"/>
    <n v="0"/>
    <n v="0"/>
    <n v="1"/>
    <m/>
    <m/>
  </r>
  <r>
    <n v="38"/>
    <s v="No"/>
    <s v="Travel_Rarely"/>
    <n v="397"/>
    <s v="Research &amp; Development"/>
    <n v="2"/>
    <n v="2"/>
    <s v="Medical"/>
    <n v="1"/>
    <n v="1638"/>
    <n v="4"/>
    <s v="Female"/>
    <n v="54"/>
    <n v="2"/>
    <n v="3"/>
    <s v="Manufacturing Director"/>
    <n v="3"/>
    <s v="Married"/>
    <n v="7756"/>
    <n v="14199"/>
    <n v="3"/>
    <s v="Y"/>
    <s v="Yes"/>
    <n v="19"/>
    <n v="3"/>
    <n v="4"/>
    <n v="80"/>
    <n v="1"/>
    <n v="10"/>
    <n v="6"/>
    <n v="4"/>
    <n v="5"/>
    <n v="4"/>
    <n v="0"/>
    <n v="2"/>
    <x v="2"/>
    <n v="0"/>
    <n v="0"/>
    <n v="1"/>
    <m/>
    <m/>
  </r>
  <r>
    <n v="35"/>
    <s v="Yes"/>
    <s v="Travel_Rarely"/>
    <n v="737"/>
    <s v="Sales"/>
    <n v="10"/>
    <n v="3"/>
    <s v="Medical"/>
    <n v="1"/>
    <n v="1639"/>
    <n v="4"/>
    <s v="Male"/>
    <n v="55"/>
    <n v="2"/>
    <n v="3"/>
    <s v="Sales Executive"/>
    <n v="1"/>
    <s v="Married"/>
    <n v="10306"/>
    <n v="21530"/>
    <n v="9"/>
    <s v="Y"/>
    <s v="No"/>
    <n v="17"/>
    <n v="3"/>
    <n v="3"/>
    <n v="80"/>
    <n v="0"/>
    <n v="15"/>
    <n v="3"/>
    <n v="3"/>
    <n v="13"/>
    <n v="12"/>
    <n v="6"/>
    <n v="0"/>
    <x v="0"/>
    <n v="1"/>
    <n v="185508"/>
    <n v="1"/>
    <m/>
    <m/>
  </r>
  <r>
    <n v="37"/>
    <s v="No"/>
    <s v="Travel_Rarely"/>
    <n v="1470"/>
    <s v="Research &amp; Development"/>
    <n v="10"/>
    <n v="3"/>
    <s v="Medical"/>
    <n v="1"/>
    <n v="1640"/>
    <n v="2"/>
    <s v="Female"/>
    <n v="71"/>
    <n v="3"/>
    <n v="1"/>
    <s v="Research Scientist"/>
    <n v="2"/>
    <s v="Married"/>
    <n v="3936"/>
    <n v="9953"/>
    <n v="1"/>
    <s v="Y"/>
    <s v="No"/>
    <n v="11"/>
    <n v="3"/>
    <n v="1"/>
    <n v="80"/>
    <n v="1"/>
    <n v="8"/>
    <n v="2"/>
    <n v="1"/>
    <n v="8"/>
    <n v="4"/>
    <n v="7"/>
    <n v="7"/>
    <x v="1"/>
    <n v="0"/>
    <n v="0"/>
    <n v="1"/>
    <m/>
    <m/>
  </r>
  <r>
    <n v="40"/>
    <s v="No"/>
    <s v="Travel_Rarely"/>
    <n v="448"/>
    <s v="Research &amp; Development"/>
    <n v="16"/>
    <n v="3"/>
    <s v="Life Sciences"/>
    <n v="1"/>
    <n v="1641"/>
    <n v="3"/>
    <s v="Female"/>
    <n v="84"/>
    <n v="3"/>
    <n v="3"/>
    <s v="Manufacturing Director"/>
    <n v="4"/>
    <s v="Single"/>
    <n v="7945"/>
    <n v="19948"/>
    <n v="6"/>
    <s v="Y"/>
    <s v="Yes"/>
    <n v="15"/>
    <n v="3"/>
    <n v="4"/>
    <n v="80"/>
    <n v="0"/>
    <n v="18"/>
    <n v="2"/>
    <n v="2"/>
    <n v="4"/>
    <n v="2"/>
    <n v="3"/>
    <n v="3"/>
    <x v="2"/>
    <n v="0"/>
    <n v="0"/>
    <n v="1"/>
    <m/>
    <m/>
  </r>
  <r>
    <n v="44"/>
    <s v="No"/>
    <s v="Travel_Frequently"/>
    <n v="602"/>
    <s v="Human Resources"/>
    <n v="1"/>
    <n v="5"/>
    <s v="Human Resources"/>
    <n v="1"/>
    <n v="1642"/>
    <n v="1"/>
    <s v="Male"/>
    <n v="37"/>
    <n v="3"/>
    <n v="2"/>
    <s v="Human Resources"/>
    <n v="4"/>
    <s v="Married"/>
    <n v="5743"/>
    <n v="10503"/>
    <n v="4"/>
    <s v="Y"/>
    <s v="Yes"/>
    <n v="11"/>
    <n v="3"/>
    <n v="3"/>
    <n v="80"/>
    <n v="0"/>
    <n v="14"/>
    <n v="3"/>
    <n v="3"/>
    <n v="10"/>
    <n v="7"/>
    <n v="0"/>
    <n v="2"/>
    <x v="5"/>
    <n v="0"/>
    <n v="0"/>
    <n v="1"/>
    <m/>
    <m/>
  </r>
  <r>
    <n v="48"/>
    <s v="No"/>
    <s v="Travel_Frequently"/>
    <n v="365"/>
    <s v="Research &amp; Development"/>
    <n v="4"/>
    <n v="5"/>
    <s v="Medical"/>
    <n v="1"/>
    <n v="1644"/>
    <n v="3"/>
    <s v="Male"/>
    <n v="89"/>
    <n v="2"/>
    <n v="4"/>
    <s v="Manager"/>
    <n v="4"/>
    <s v="Married"/>
    <n v="15202"/>
    <n v="5602"/>
    <n v="2"/>
    <s v="Y"/>
    <s v="No"/>
    <n v="25"/>
    <n v="4"/>
    <n v="2"/>
    <n v="80"/>
    <n v="1"/>
    <n v="23"/>
    <n v="3"/>
    <n v="3"/>
    <n v="2"/>
    <n v="2"/>
    <n v="2"/>
    <n v="2"/>
    <x v="4"/>
    <n v="0"/>
    <n v="0"/>
    <n v="1"/>
    <m/>
    <m/>
  </r>
  <r>
    <n v="35"/>
    <s v="Yes"/>
    <s v="Travel_Rarely"/>
    <n v="763"/>
    <s v="Sales"/>
    <n v="15"/>
    <n v="2"/>
    <s v="Medical"/>
    <n v="1"/>
    <n v="1645"/>
    <n v="1"/>
    <s v="Male"/>
    <n v="59"/>
    <n v="1"/>
    <n v="2"/>
    <s v="Sales Executive"/>
    <n v="4"/>
    <s v="Divorced"/>
    <n v="5440"/>
    <n v="22098"/>
    <n v="6"/>
    <s v="Y"/>
    <s v="Yes"/>
    <n v="14"/>
    <n v="3"/>
    <n v="4"/>
    <n v="80"/>
    <n v="2"/>
    <n v="7"/>
    <n v="2"/>
    <n v="2"/>
    <n v="2"/>
    <n v="2"/>
    <n v="2"/>
    <n v="2"/>
    <x v="0"/>
    <n v="1"/>
    <n v="97920"/>
    <n v="1"/>
    <m/>
    <m/>
  </r>
  <r>
    <n v="24"/>
    <s v="No"/>
    <s v="Travel_Frequently"/>
    <n v="567"/>
    <s v="Research &amp; Development"/>
    <n v="2"/>
    <n v="1"/>
    <s v="Technical Degree"/>
    <n v="1"/>
    <n v="1646"/>
    <n v="1"/>
    <s v="Female"/>
    <n v="32"/>
    <n v="3"/>
    <n v="1"/>
    <s v="Research Scientist"/>
    <n v="4"/>
    <s v="Single"/>
    <n v="3760"/>
    <n v="17218"/>
    <n v="1"/>
    <s v="Y"/>
    <s v="Yes"/>
    <n v="13"/>
    <n v="3"/>
    <n v="3"/>
    <n v="80"/>
    <n v="0"/>
    <n v="6"/>
    <n v="2"/>
    <n v="3"/>
    <n v="6"/>
    <n v="3"/>
    <n v="1"/>
    <n v="3"/>
    <x v="1"/>
    <n v="0"/>
    <n v="0"/>
    <n v="1"/>
    <m/>
    <m/>
  </r>
  <r>
    <n v="27"/>
    <s v="No"/>
    <s v="Travel_Rarely"/>
    <n v="486"/>
    <s v="Research &amp; Development"/>
    <n v="8"/>
    <n v="3"/>
    <s v="Medical"/>
    <n v="1"/>
    <n v="1647"/>
    <n v="2"/>
    <s v="Female"/>
    <n v="86"/>
    <n v="4"/>
    <n v="1"/>
    <s v="Research Scientist"/>
    <n v="3"/>
    <s v="Married"/>
    <n v="3517"/>
    <n v="22490"/>
    <n v="7"/>
    <s v="Y"/>
    <s v="No"/>
    <n v="17"/>
    <n v="3"/>
    <n v="1"/>
    <n v="80"/>
    <n v="0"/>
    <n v="5"/>
    <n v="0"/>
    <n v="3"/>
    <n v="3"/>
    <n v="2"/>
    <n v="0"/>
    <n v="2"/>
    <x v="1"/>
    <n v="0"/>
    <n v="0"/>
    <n v="1"/>
    <m/>
    <m/>
  </r>
  <r>
    <n v="27"/>
    <s v="No"/>
    <s v="Travel_Frequently"/>
    <n v="591"/>
    <s v="Research &amp; Development"/>
    <n v="2"/>
    <n v="3"/>
    <s v="Medical"/>
    <n v="1"/>
    <n v="1648"/>
    <n v="4"/>
    <s v="Male"/>
    <n v="87"/>
    <n v="3"/>
    <n v="1"/>
    <s v="Research Scientist"/>
    <n v="4"/>
    <s v="Single"/>
    <n v="2580"/>
    <n v="6297"/>
    <n v="2"/>
    <s v="Y"/>
    <s v="No"/>
    <n v="13"/>
    <n v="3"/>
    <n v="3"/>
    <n v="80"/>
    <n v="0"/>
    <n v="6"/>
    <n v="0"/>
    <n v="2"/>
    <n v="4"/>
    <n v="2"/>
    <n v="1"/>
    <n v="2"/>
    <x v="1"/>
    <n v="0"/>
    <n v="0"/>
    <n v="1"/>
    <m/>
    <m/>
  </r>
  <r>
    <n v="40"/>
    <s v="Yes"/>
    <s v="Travel_Rarely"/>
    <n v="1329"/>
    <s v="Research &amp; Development"/>
    <n v="7"/>
    <n v="3"/>
    <s v="Life Sciences"/>
    <n v="1"/>
    <n v="1649"/>
    <n v="1"/>
    <s v="Male"/>
    <n v="73"/>
    <n v="3"/>
    <n v="1"/>
    <s v="Laboratory Technician"/>
    <n v="1"/>
    <s v="Single"/>
    <n v="2166"/>
    <n v="3339"/>
    <n v="3"/>
    <s v="Y"/>
    <s v="Yes"/>
    <n v="14"/>
    <n v="3"/>
    <n v="2"/>
    <n v="80"/>
    <n v="0"/>
    <n v="10"/>
    <n v="3"/>
    <n v="1"/>
    <n v="4"/>
    <n v="2"/>
    <n v="0"/>
    <n v="3"/>
    <x v="1"/>
    <n v="1"/>
    <n v="38988"/>
    <n v="1"/>
    <m/>
    <m/>
  </r>
  <r>
    <n v="29"/>
    <s v="No"/>
    <s v="Travel_Rarely"/>
    <n v="469"/>
    <s v="Sales"/>
    <n v="10"/>
    <n v="3"/>
    <s v="Medical"/>
    <n v="1"/>
    <n v="1650"/>
    <n v="3"/>
    <s v="Male"/>
    <n v="42"/>
    <n v="2"/>
    <n v="2"/>
    <s v="Sales Executive"/>
    <n v="3"/>
    <s v="Single"/>
    <n v="5869"/>
    <n v="23413"/>
    <n v="9"/>
    <s v="Y"/>
    <s v="No"/>
    <n v="11"/>
    <n v="3"/>
    <n v="3"/>
    <n v="80"/>
    <n v="0"/>
    <n v="8"/>
    <n v="2"/>
    <n v="3"/>
    <n v="5"/>
    <n v="2"/>
    <n v="1"/>
    <n v="4"/>
    <x v="0"/>
    <n v="0"/>
    <n v="0"/>
    <n v="1"/>
    <m/>
    <m/>
  </r>
  <r>
    <n v="36"/>
    <s v="No"/>
    <s v="Travel_Rarely"/>
    <n v="711"/>
    <s v="Research &amp; Development"/>
    <n v="5"/>
    <n v="4"/>
    <s v="Life Sciences"/>
    <n v="1"/>
    <n v="1651"/>
    <n v="2"/>
    <s v="Female"/>
    <n v="42"/>
    <n v="3"/>
    <n v="3"/>
    <s v="Healthcare Representative"/>
    <n v="1"/>
    <s v="Married"/>
    <n v="8008"/>
    <n v="22792"/>
    <n v="4"/>
    <s v="Y"/>
    <s v="No"/>
    <n v="12"/>
    <n v="3"/>
    <n v="3"/>
    <n v="80"/>
    <n v="2"/>
    <n v="9"/>
    <n v="6"/>
    <n v="3"/>
    <n v="3"/>
    <n v="2"/>
    <n v="0"/>
    <n v="2"/>
    <x v="3"/>
    <n v="0"/>
    <n v="0"/>
    <n v="1"/>
    <m/>
    <m/>
  </r>
  <r>
    <n v="25"/>
    <s v="No"/>
    <s v="Travel_Frequently"/>
    <n v="772"/>
    <s v="Research &amp; Development"/>
    <n v="2"/>
    <n v="1"/>
    <s v="Life Sciences"/>
    <n v="1"/>
    <n v="1653"/>
    <n v="4"/>
    <s v="Male"/>
    <n v="77"/>
    <n v="4"/>
    <n v="2"/>
    <s v="Manufacturing Director"/>
    <n v="3"/>
    <s v="Divorced"/>
    <n v="5206"/>
    <n v="4973"/>
    <n v="1"/>
    <s v="Y"/>
    <s v="No"/>
    <n v="17"/>
    <n v="3"/>
    <n v="3"/>
    <n v="80"/>
    <n v="2"/>
    <n v="7"/>
    <n v="6"/>
    <n v="3"/>
    <n v="7"/>
    <n v="7"/>
    <n v="0"/>
    <n v="7"/>
    <x v="2"/>
    <n v="0"/>
    <n v="0"/>
    <n v="1"/>
    <m/>
    <m/>
  </r>
  <r>
    <n v="39"/>
    <s v="No"/>
    <s v="Travel_Rarely"/>
    <n v="492"/>
    <s v="Research &amp; Development"/>
    <n v="12"/>
    <n v="3"/>
    <s v="Medical"/>
    <n v="1"/>
    <n v="1654"/>
    <n v="4"/>
    <s v="Male"/>
    <n v="66"/>
    <n v="3"/>
    <n v="2"/>
    <s v="Manufacturing Director"/>
    <n v="2"/>
    <s v="Married"/>
    <n v="5295"/>
    <n v="7693"/>
    <n v="4"/>
    <s v="Y"/>
    <s v="No"/>
    <n v="21"/>
    <n v="4"/>
    <n v="3"/>
    <n v="80"/>
    <n v="0"/>
    <n v="7"/>
    <n v="3"/>
    <n v="3"/>
    <n v="5"/>
    <n v="4"/>
    <n v="1"/>
    <n v="0"/>
    <x v="2"/>
    <n v="0"/>
    <n v="0"/>
    <n v="1"/>
    <m/>
    <m/>
  </r>
  <r>
    <n v="49"/>
    <s v="No"/>
    <s v="Travel_Rarely"/>
    <n v="301"/>
    <s v="Research &amp; Development"/>
    <n v="22"/>
    <n v="4"/>
    <s v="Other"/>
    <n v="1"/>
    <n v="1655"/>
    <n v="1"/>
    <s v="Female"/>
    <n v="72"/>
    <n v="3"/>
    <n v="4"/>
    <s v="Research Director"/>
    <n v="2"/>
    <s v="Married"/>
    <n v="16413"/>
    <n v="3498"/>
    <n v="3"/>
    <s v="Y"/>
    <s v="No"/>
    <n v="16"/>
    <n v="3"/>
    <n v="2"/>
    <n v="80"/>
    <n v="2"/>
    <n v="27"/>
    <n v="2"/>
    <n v="3"/>
    <n v="4"/>
    <n v="2"/>
    <n v="1"/>
    <n v="2"/>
    <x v="1"/>
    <n v="0"/>
    <n v="0"/>
    <n v="1"/>
    <m/>
    <m/>
  </r>
  <r>
    <n v="50"/>
    <s v="No"/>
    <s v="Travel_Rarely"/>
    <n v="813"/>
    <s v="Research &amp; Development"/>
    <n v="17"/>
    <n v="5"/>
    <s v="Life Sciences"/>
    <n v="1"/>
    <n v="1656"/>
    <n v="4"/>
    <s v="Female"/>
    <n v="50"/>
    <n v="2"/>
    <n v="3"/>
    <s v="Research Director"/>
    <n v="1"/>
    <s v="Divorced"/>
    <n v="13269"/>
    <n v="21981"/>
    <n v="5"/>
    <s v="Y"/>
    <s v="No"/>
    <n v="15"/>
    <n v="3"/>
    <n v="3"/>
    <n v="80"/>
    <n v="3"/>
    <n v="19"/>
    <n v="3"/>
    <n v="3"/>
    <n v="14"/>
    <n v="11"/>
    <n v="1"/>
    <n v="11"/>
    <x v="1"/>
    <n v="0"/>
    <n v="0"/>
    <n v="1"/>
    <m/>
    <m/>
  </r>
  <r>
    <n v="20"/>
    <s v="No"/>
    <s v="Travel_Rarely"/>
    <n v="1141"/>
    <s v="Sales"/>
    <n v="2"/>
    <n v="3"/>
    <s v="Medical"/>
    <n v="1"/>
    <n v="1657"/>
    <n v="3"/>
    <s v="Female"/>
    <n v="31"/>
    <n v="3"/>
    <n v="1"/>
    <s v="Sales Representative"/>
    <n v="3"/>
    <s v="Single"/>
    <n v="2783"/>
    <n v="13251"/>
    <n v="1"/>
    <s v="Y"/>
    <s v="No"/>
    <n v="19"/>
    <n v="3"/>
    <n v="1"/>
    <n v="80"/>
    <n v="0"/>
    <n v="2"/>
    <n v="3"/>
    <n v="3"/>
    <n v="2"/>
    <n v="2"/>
    <n v="2"/>
    <n v="2"/>
    <x v="0"/>
    <n v="0"/>
    <n v="0"/>
    <n v="1"/>
    <m/>
    <m/>
  </r>
  <r>
    <n v="34"/>
    <s v="No"/>
    <s v="Travel_Rarely"/>
    <n v="1130"/>
    <s v="Research &amp; Development"/>
    <n v="3"/>
    <n v="3"/>
    <s v="Life Sciences"/>
    <n v="1"/>
    <n v="1658"/>
    <n v="4"/>
    <s v="Female"/>
    <n v="66"/>
    <n v="3"/>
    <n v="2"/>
    <s v="Research Scientist"/>
    <n v="2"/>
    <s v="Divorced"/>
    <n v="5433"/>
    <n v="19332"/>
    <n v="1"/>
    <s v="Y"/>
    <s v="No"/>
    <n v="12"/>
    <n v="3"/>
    <n v="3"/>
    <n v="80"/>
    <n v="1"/>
    <n v="11"/>
    <n v="2"/>
    <n v="3"/>
    <n v="11"/>
    <n v="8"/>
    <n v="7"/>
    <n v="9"/>
    <x v="1"/>
    <n v="0"/>
    <n v="0"/>
    <n v="1"/>
    <m/>
    <m/>
  </r>
  <r>
    <n v="36"/>
    <s v="No"/>
    <s v="Travel_Rarely"/>
    <n v="311"/>
    <s v="Research &amp; Development"/>
    <n v="7"/>
    <n v="3"/>
    <s v="Life Sciences"/>
    <n v="1"/>
    <n v="1659"/>
    <n v="1"/>
    <s v="Male"/>
    <n v="77"/>
    <n v="3"/>
    <n v="1"/>
    <s v="Laboratory Technician"/>
    <n v="2"/>
    <s v="Single"/>
    <n v="2013"/>
    <n v="10950"/>
    <n v="2"/>
    <s v="Y"/>
    <s v="No"/>
    <n v="11"/>
    <n v="3"/>
    <n v="3"/>
    <n v="80"/>
    <n v="0"/>
    <n v="15"/>
    <n v="4"/>
    <n v="3"/>
    <n v="4"/>
    <n v="3"/>
    <n v="1"/>
    <n v="3"/>
    <x v="1"/>
    <n v="0"/>
    <n v="0"/>
    <n v="1"/>
    <m/>
    <m/>
  </r>
  <r>
    <n v="49"/>
    <s v="No"/>
    <s v="Travel_Rarely"/>
    <n v="465"/>
    <s v="Research &amp; Development"/>
    <n v="6"/>
    <n v="1"/>
    <s v="Life Sciences"/>
    <n v="1"/>
    <n v="1661"/>
    <n v="3"/>
    <s v="Female"/>
    <n v="41"/>
    <n v="2"/>
    <n v="4"/>
    <s v="Healthcare Representative"/>
    <n v="3"/>
    <s v="Married"/>
    <n v="13966"/>
    <n v="11652"/>
    <n v="2"/>
    <s v="Y"/>
    <s v="Yes"/>
    <n v="19"/>
    <n v="3"/>
    <n v="2"/>
    <n v="80"/>
    <n v="1"/>
    <n v="30"/>
    <n v="3"/>
    <n v="3"/>
    <n v="15"/>
    <n v="11"/>
    <n v="2"/>
    <n v="12"/>
    <x v="3"/>
    <n v="0"/>
    <n v="0"/>
    <n v="1"/>
    <m/>
    <m/>
  </r>
  <r>
    <n v="36"/>
    <s v="No"/>
    <s v="Non-Travel"/>
    <n v="894"/>
    <s v="Research &amp; Development"/>
    <n v="1"/>
    <n v="4"/>
    <s v="Medical"/>
    <n v="1"/>
    <n v="1662"/>
    <n v="4"/>
    <s v="Female"/>
    <n v="33"/>
    <n v="2"/>
    <n v="2"/>
    <s v="Manufacturing Director"/>
    <n v="3"/>
    <s v="Married"/>
    <n v="4374"/>
    <n v="15411"/>
    <n v="0"/>
    <s v="Y"/>
    <s v="No"/>
    <n v="15"/>
    <n v="3"/>
    <n v="3"/>
    <n v="80"/>
    <n v="0"/>
    <n v="4"/>
    <n v="6"/>
    <n v="3"/>
    <n v="3"/>
    <n v="2"/>
    <n v="1"/>
    <n v="2"/>
    <x v="2"/>
    <n v="0"/>
    <n v="0"/>
    <n v="1"/>
    <m/>
    <m/>
  </r>
  <r>
    <n v="36"/>
    <s v="No"/>
    <s v="Travel_Rarely"/>
    <n v="1040"/>
    <s v="Research &amp; Development"/>
    <n v="3"/>
    <n v="2"/>
    <s v="Life Sciences"/>
    <n v="1"/>
    <n v="1664"/>
    <n v="4"/>
    <s v="Male"/>
    <n v="79"/>
    <n v="4"/>
    <n v="2"/>
    <s v="Healthcare Representative"/>
    <n v="1"/>
    <s v="Divorced"/>
    <n v="6842"/>
    <n v="26308"/>
    <n v="6"/>
    <s v="Y"/>
    <s v="No"/>
    <n v="20"/>
    <n v="4"/>
    <n v="1"/>
    <n v="80"/>
    <n v="1"/>
    <n v="13"/>
    <n v="3"/>
    <n v="3"/>
    <n v="5"/>
    <n v="4"/>
    <n v="0"/>
    <n v="4"/>
    <x v="3"/>
    <n v="0"/>
    <n v="0"/>
    <n v="1"/>
    <m/>
    <m/>
  </r>
  <r>
    <n v="54"/>
    <s v="No"/>
    <s v="Travel_Rarely"/>
    <n v="584"/>
    <s v="Research &amp; Development"/>
    <n v="22"/>
    <n v="5"/>
    <s v="Medical"/>
    <n v="1"/>
    <n v="1665"/>
    <n v="2"/>
    <s v="Female"/>
    <n v="91"/>
    <n v="3"/>
    <n v="4"/>
    <s v="Manager"/>
    <n v="3"/>
    <s v="Married"/>
    <n v="17426"/>
    <n v="18685"/>
    <n v="3"/>
    <s v="Y"/>
    <s v="No"/>
    <n v="25"/>
    <n v="4"/>
    <n v="3"/>
    <n v="80"/>
    <n v="1"/>
    <n v="36"/>
    <n v="6"/>
    <n v="3"/>
    <n v="10"/>
    <n v="8"/>
    <n v="4"/>
    <n v="7"/>
    <x v="4"/>
    <n v="0"/>
    <n v="0"/>
    <n v="1"/>
    <m/>
    <m/>
  </r>
  <r>
    <n v="43"/>
    <s v="No"/>
    <s v="Travel_Rarely"/>
    <n v="1291"/>
    <s v="Research &amp; Development"/>
    <n v="15"/>
    <n v="2"/>
    <s v="Life Sciences"/>
    <n v="1"/>
    <n v="1666"/>
    <n v="3"/>
    <s v="Male"/>
    <n v="65"/>
    <n v="2"/>
    <n v="4"/>
    <s v="Research Director"/>
    <n v="3"/>
    <s v="Married"/>
    <n v="17603"/>
    <n v="3525"/>
    <n v="1"/>
    <s v="Y"/>
    <s v="No"/>
    <n v="24"/>
    <n v="4"/>
    <n v="1"/>
    <n v="80"/>
    <n v="1"/>
    <n v="14"/>
    <n v="3"/>
    <n v="3"/>
    <n v="14"/>
    <n v="10"/>
    <n v="6"/>
    <n v="11"/>
    <x v="1"/>
    <n v="0"/>
    <n v="0"/>
    <n v="1"/>
    <m/>
    <m/>
  </r>
  <r>
    <n v="35"/>
    <s v="Yes"/>
    <s v="Travel_Frequently"/>
    <n v="880"/>
    <s v="Sales"/>
    <n v="12"/>
    <n v="4"/>
    <s v="Other"/>
    <n v="1"/>
    <n v="1667"/>
    <n v="4"/>
    <s v="Male"/>
    <n v="36"/>
    <n v="3"/>
    <n v="2"/>
    <s v="Sales Executive"/>
    <n v="4"/>
    <s v="Single"/>
    <n v="4581"/>
    <n v="10414"/>
    <n v="3"/>
    <s v="Y"/>
    <s v="Yes"/>
    <n v="24"/>
    <n v="4"/>
    <n v="1"/>
    <n v="80"/>
    <n v="0"/>
    <n v="13"/>
    <n v="2"/>
    <n v="4"/>
    <n v="11"/>
    <n v="9"/>
    <n v="6"/>
    <n v="7"/>
    <x v="0"/>
    <n v="1"/>
    <n v="82458"/>
    <n v="1"/>
    <m/>
    <m/>
  </r>
  <r>
    <n v="38"/>
    <s v="No"/>
    <s v="Travel_Frequently"/>
    <n v="1189"/>
    <s v="Research &amp; Development"/>
    <n v="1"/>
    <n v="3"/>
    <s v="Life Sciences"/>
    <n v="1"/>
    <n v="1668"/>
    <n v="4"/>
    <s v="Male"/>
    <n v="90"/>
    <n v="3"/>
    <n v="2"/>
    <s v="Research Scientist"/>
    <n v="4"/>
    <s v="Married"/>
    <n v="4735"/>
    <n v="9867"/>
    <n v="7"/>
    <s v="Y"/>
    <s v="No"/>
    <n v="15"/>
    <n v="3"/>
    <n v="4"/>
    <n v="80"/>
    <n v="2"/>
    <n v="19"/>
    <n v="4"/>
    <n v="4"/>
    <n v="13"/>
    <n v="11"/>
    <n v="2"/>
    <n v="9"/>
    <x v="1"/>
    <n v="0"/>
    <n v="0"/>
    <n v="1"/>
    <m/>
    <m/>
  </r>
  <r>
    <n v="29"/>
    <s v="No"/>
    <s v="Travel_Rarely"/>
    <n v="991"/>
    <s v="Sales"/>
    <n v="5"/>
    <n v="3"/>
    <s v="Medical"/>
    <n v="1"/>
    <n v="1669"/>
    <n v="1"/>
    <s v="Male"/>
    <n v="43"/>
    <n v="2"/>
    <n v="2"/>
    <s v="Sales Executive"/>
    <n v="2"/>
    <s v="Divorced"/>
    <n v="4187"/>
    <n v="3356"/>
    <n v="1"/>
    <s v="Y"/>
    <s v="Yes"/>
    <n v="13"/>
    <n v="3"/>
    <n v="2"/>
    <n v="80"/>
    <n v="1"/>
    <n v="10"/>
    <n v="3"/>
    <n v="2"/>
    <n v="10"/>
    <n v="0"/>
    <n v="0"/>
    <n v="9"/>
    <x v="0"/>
    <n v="0"/>
    <n v="0"/>
    <n v="1"/>
    <m/>
    <m/>
  </r>
  <r>
    <n v="33"/>
    <s v="No"/>
    <s v="Travel_Rarely"/>
    <n v="392"/>
    <s v="Sales"/>
    <n v="2"/>
    <n v="4"/>
    <s v="Medical"/>
    <n v="1"/>
    <n v="1670"/>
    <n v="4"/>
    <s v="Male"/>
    <n v="93"/>
    <n v="3"/>
    <n v="2"/>
    <s v="Sales Executive"/>
    <n v="4"/>
    <s v="Divorced"/>
    <n v="5505"/>
    <n v="3921"/>
    <n v="1"/>
    <s v="Y"/>
    <s v="No"/>
    <n v="14"/>
    <n v="3"/>
    <n v="3"/>
    <n v="80"/>
    <n v="2"/>
    <n v="6"/>
    <n v="5"/>
    <n v="3"/>
    <n v="6"/>
    <n v="2"/>
    <n v="0"/>
    <n v="4"/>
    <x v="0"/>
    <n v="0"/>
    <n v="0"/>
    <n v="1"/>
    <m/>
    <m/>
  </r>
  <r>
    <n v="32"/>
    <s v="No"/>
    <s v="Travel_Rarely"/>
    <n v="977"/>
    <s v="Research &amp; Development"/>
    <n v="2"/>
    <n v="3"/>
    <s v="Medical"/>
    <n v="1"/>
    <n v="1671"/>
    <n v="4"/>
    <s v="Male"/>
    <n v="45"/>
    <n v="3"/>
    <n v="2"/>
    <s v="Research Scientist"/>
    <n v="2"/>
    <s v="Divorced"/>
    <n v="5470"/>
    <n v="25518"/>
    <n v="0"/>
    <s v="Y"/>
    <s v="No"/>
    <n v="13"/>
    <n v="3"/>
    <n v="3"/>
    <n v="80"/>
    <n v="2"/>
    <n v="10"/>
    <n v="4"/>
    <n v="2"/>
    <n v="9"/>
    <n v="5"/>
    <n v="1"/>
    <n v="6"/>
    <x v="1"/>
    <n v="0"/>
    <n v="0"/>
    <n v="1"/>
    <m/>
    <m/>
  </r>
  <r>
    <n v="31"/>
    <s v="No"/>
    <s v="Travel_Rarely"/>
    <n v="1112"/>
    <s v="Sales"/>
    <n v="5"/>
    <n v="4"/>
    <s v="Life Sciences"/>
    <n v="1"/>
    <n v="1673"/>
    <n v="1"/>
    <s v="Female"/>
    <n v="67"/>
    <n v="3"/>
    <n v="2"/>
    <s v="Sales Executive"/>
    <n v="4"/>
    <s v="Married"/>
    <n v="5476"/>
    <n v="22589"/>
    <n v="1"/>
    <s v="Y"/>
    <s v="No"/>
    <n v="11"/>
    <n v="3"/>
    <n v="1"/>
    <n v="80"/>
    <n v="2"/>
    <n v="10"/>
    <n v="2"/>
    <n v="3"/>
    <n v="10"/>
    <n v="0"/>
    <n v="0"/>
    <n v="2"/>
    <x v="0"/>
    <n v="0"/>
    <n v="0"/>
    <n v="1"/>
    <m/>
    <m/>
  </r>
  <r>
    <n v="49"/>
    <s v="No"/>
    <s v="Travel_Rarely"/>
    <n v="464"/>
    <s v="Research &amp; Development"/>
    <n v="16"/>
    <n v="3"/>
    <s v="Medical"/>
    <n v="1"/>
    <n v="1674"/>
    <n v="4"/>
    <s v="Female"/>
    <n v="74"/>
    <n v="3"/>
    <n v="1"/>
    <s v="Laboratory Technician"/>
    <n v="1"/>
    <s v="Divorced"/>
    <n v="2587"/>
    <n v="24941"/>
    <n v="4"/>
    <s v="Y"/>
    <s v="Yes"/>
    <n v="16"/>
    <n v="3"/>
    <n v="2"/>
    <n v="80"/>
    <n v="1"/>
    <n v="17"/>
    <n v="2"/>
    <n v="2"/>
    <n v="2"/>
    <n v="2"/>
    <n v="2"/>
    <n v="2"/>
    <x v="1"/>
    <n v="0"/>
    <n v="0"/>
    <n v="1"/>
    <m/>
    <m/>
  </r>
  <r>
    <n v="38"/>
    <s v="No"/>
    <s v="Travel_Frequently"/>
    <n v="148"/>
    <s v="Research &amp; Development"/>
    <n v="2"/>
    <n v="3"/>
    <s v="Medical"/>
    <n v="1"/>
    <n v="1675"/>
    <n v="4"/>
    <s v="Female"/>
    <n v="42"/>
    <n v="2"/>
    <n v="1"/>
    <s v="Laboratory Technician"/>
    <n v="2"/>
    <s v="Single"/>
    <n v="2440"/>
    <n v="23826"/>
    <n v="1"/>
    <s v="Y"/>
    <s v="No"/>
    <n v="22"/>
    <n v="4"/>
    <n v="2"/>
    <n v="80"/>
    <n v="0"/>
    <n v="4"/>
    <n v="3"/>
    <n v="3"/>
    <n v="4"/>
    <n v="3"/>
    <n v="3"/>
    <n v="3"/>
    <x v="1"/>
    <n v="0"/>
    <n v="0"/>
    <n v="1"/>
    <m/>
    <m/>
  </r>
  <r>
    <n v="47"/>
    <s v="No"/>
    <s v="Travel_Rarely"/>
    <n v="1225"/>
    <s v="Sales"/>
    <n v="2"/>
    <n v="4"/>
    <s v="Life Sciences"/>
    <n v="1"/>
    <n v="1676"/>
    <n v="2"/>
    <s v="Female"/>
    <n v="47"/>
    <n v="4"/>
    <n v="4"/>
    <s v="Manager"/>
    <n v="2"/>
    <s v="Divorced"/>
    <n v="15972"/>
    <n v="21086"/>
    <n v="6"/>
    <s v="Y"/>
    <s v="No"/>
    <n v="14"/>
    <n v="3"/>
    <n v="3"/>
    <n v="80"/>
    <n v="3"/>
    <n v="29"/>
    <n v="2"/>
    <n v="3"/>
    <n v="3"/>
    <n v="2"/>
    <n v="1"/>
    <n v="2"/>
    <x v="4"/>
    <n v="0"/>
    <n v="0"/>
    <n v="1"/>
    <m/>
    <m/>
  </r>
  <r>
    <n v="49"/>
    <s v="No"/>
    <s v="Travel_Rarely"/>
    <n v="809"/>
    <s v="Research &amp; Development"/>
    <n v="1"/>
    <n v="3"/>
    <s v="Life Sciences"/>
    <n v="1"/>
    <n v="1677"/>
    <n v="3"/>
    <s v="Male"/>
    <n v="36"/>
    <n v="3"/>
    <n v="4"/>
    <s v="Manager"/>
    <n v="3"/>
    <s v="Single"/>
    <n v="15379"/>
    <n v="22384"/>
    <n v="4"/>
    <s v="Y"/>
    <s v="No"/>
    <n v="14"/>
    <n v="3"/>
    <n v="1"/>
    <n v="80"/>
    <n v="0"/>
    <n v="23"/>
    <n v="2"/>
    <n v="3"/>
    <n v="8"/>
    <n v="7"/>
    <n v="0"/>
    <n v="0"/>
    <x v="4"/>
    <n v="0"/>
    <n v="0"/>
    <n v="1"/>
    <m/>
    <m/>
  </r>
  <r>
    <n v="41"/>
    <s v="No"/>
    <s v="Travel_Rarely"/>
    <n v="1206"/>
    <s v="Sales"/>
    <n v="23"/>
    <n v="2"/>
    <s v="Life Sciences"/>
    <n v="1"/>
    <n v="1678"/>
    <n v="4"/>
    <s v="Male"/>
    <n v="80"/>
    <n v="3"/>
    <n v="3"/>
    <s v="Sales Executive"/>
    <n v="3"/>
    <s v="Single"/>
    <n v="7082"/>
    <n v="11591"/>
    <n v="3"/>
    <s v="Y"/>
    <s v="Yes"/>
    <n v="16"/>
    <n v="3"/>
    <n v="4"/>
    <n v="80"/>
    <n v="0"/>
    <n v="21"/>
    <n v="2"/>
    <n v="3"/>
    <n v="2"/>
    <n v="0"/>
    <n v="0"/>
    <n v="2"/>
    <x v="0"/>
    <n v="0"/>
    <n v="0"/>
    <n v="1"/>
    <m/>
    <m/>
  </r>
  <r>
    <n v="20"/>
    <s v="No"/>
    <s v="Travel_Rarely"/>
    <n v="727"/>
    <s v="Sales"/>
    <n v="9"/>
    <n v="1"/>
    <s v="Life Sciences"/>
    <n v="1"/>
    <n v="1680"/>
    <n v="4"/>
    <s v="Male"/>
    <n v="54"/>
    <n v="3"/>
    <n v="1"/>
    <s v="Sales Representative"/>
    <n v="1"/>
    <s v="Single"/>
    <n v="2728"/>
    <n v="21082"/>
    <n v="1"/>
    <s v="Y"/>
    <s v="No"/>
    <n v="11"/>
    <n v="3"/>
    <n v="1"/>
    <n v="80"/>
    <n v="0"/>
    <n v="2"/>
    <n v="3"/>
    <n v="3"/>
    <n v="2"/>
    <n v="2"/>
    <n v="0"/>
    <n v="2"/>
    <x v="0"/>
    <n v="0"/>
    <n v="0"/>
    <n v="1"/>
    <m/>
    <m/>
  </r>
  <r>
    <n v="33"/>
    <s v="No"/>
    <s v="Non-Travel"/>
    <n v="530"/>
    <s v="Sales"/>
    <n v="16"/>
    <n v="3"/>
    <s v="Life Sciences"/>
    <n v="1"/>
    <n v="1681"/>
    <n v="3"/>
    <s v="Female"/>
    <n v="36"/>
    <n v="3"/>
    <n v="2"/>
    <s v="Sales Executive"/>
    <n v="4"/>
    <s v="Divorced"/>
    <n v="5368"/>
    <n v="16130"/>
    <n v="1"/>
    <s v="Y"/>
    <s v="Yes"/>
    <n v="25"/>
    <n v="4"/>
    <n v="3"/>
    <n v="80"/>
    <n v="1"/>
    <n v="7"/>
    <n v="2"/>
    <n v="3"/>
    <n v="6"/>
    <n v="5"/>
    <n v="1"/>
    <n v="2"/>
    <x v="0"/>
    <n v="0"/>
    <n v="0"/>
    <n v="1"/>
    <m/>
    <m/>
  </r>
  <r>
    <n v="36"/>
    <s v="No"/>
    <s v="Travel_Rarely"/>
    <n v="1351"/>
    <s v="Research &amp; Development"/>
    <n v="26"/>
    <n v="4"/>
    <s v="Life Sciences"/>
    <n v="1"/>
    <n v="1682"/>
    <n v="1"/>
    <s v="Male"/>
    <n v="80"/>
    <n v="3"/>
    <n v="2"/>
    <s v="Healthcare Representative"/>
    <n v="3"/>
    <s v="Married"/>
    <n v="5347"/>
    <n v="7419"/>
    <n v="6"/>
    <s v="Y"/>
    <s v="No"/>
    <n v="14"/>
    <n v="3"/>
    <n v="2"/>
    <n v="80"/>
    <n v="2"/>
    <n v="10"/>
    <n v="2"/>
    <n v="2"/>
    <n v="3"/>
    <n v="2"/>
    <n v="0"/>
    <n v="2"/>
    <x v="3"/>
    <n v="0"/>
    <n v="0"/>
    <n v="1"/>
    <m/>
    <m/>
  </r>
  <r>
    <n v="44"/>
    <s v="No"/>
    <s v="Travel_Rarely"/>
    <n v="528"/>
    <s v="Human Resources"/>
    <n v="1"/>
    <n v="3"/>
    <s v="Life Sciences"/>
    <n v="1"/>
    <n v="1683"/>
    <n v="3"/>
    <s v="Female"/>
    <n v="44"/>
    <n v="3"/>
    <n v="1"/>
    <s v="Human Resources"/>
    <n v="4"/>
    <s v="Divorced"/>
    <n v="3195"/>
    <n v="4167"/>
    <n v="4"/>
    <s v="Y"/>
    <s v="Yes"/>
    <n v="18"/>
    <n v="3"/>
    <n v="1"/>
    <n v="80"/>
    <n v="3"/>
    <n v="8"/>
    <n v="2"/>
    <n v="3"/>
    <n v="2"/>
    <n v="2"/>
    <n v="2"/>
    <n v="2"/>
    <x v="5"/>
    <n v="0"/>
    <n v="0"/>
    <n v="1"/>
    <m/>
    <m/>
  </r>
  <r>
    <n v="23"/>
    <s v="Yes"/>
    <s v="Travel_Rarely"/>
    <n v="1320"/>
    <s v="Research &amp; Development"/>
    <n v="8"/>
    <n v="1"/>
    <s v="Medical"/>
    <n v="1"/>
    <n v="1684"/>
    <n v="4"/>
    <s v="Male"/>
    <n v="93"/>
    <n v="2"/>
    <n v="1"/>
    <s v="Laboratory Technician"/>
    <n v="3"/>
    <s v="Single"/>
    <n v="3989"/>
    <n v="20586"/>
    <n v="1"/>
    <s v="Y"/>
    <s v="Yes"/>
    <n v="11"/>
    <n v="3"/>
    <n v="1"/>
    <n v="80"/>
    <n v="0"/>
    <n v="5"/>
    <n v="2"/>
    <n v="3"/>
    <n v="5"/>
    <n v="4"/>
    <n v="1"/>
    <n v="2"/>
    <x v="1"/>
    <n v="1"/>
    <n v="71802"/>
    <n v="1"/>
    <m/>
    <m/>
  </r>
  <r>
    <n v="38"/>
    <s v="No"/>
    <s v="Travel_Rarely"/>
    <n v="1495"/>
    <s v="Research &amp; Development"/>
    <n v="4"/>
    <n v="2"/>
    <s v="Medical"/>
    <n v="1"/>
    <n v="1687"/>
    <n v="4"/>
    <s v="Female"/>
    <n v="87"/>
    <n v="3"/>
    <n v="1"/>
    <s v="Laboratory Technician"/>
    <n v="3"/>
    <s v="Married"/>
    <n v="3306"/>
    <n v="26176"/>
    <n v="7"/>
    <s v="Y"/>
    <s v="No"/>
    <n v="19"/>
    <n v="3"/>
    <n v="4"/>
    <n v="80"/>
    <n v="1"/>
    <n v="7"/>
    <n v="5"/>
    <n v="2"/>
    <n v="0"/>
    <n v="0"/>
    <n v="0"/>
    <n v="0"/>
    <x v="1"/>
    <n v="0"/>
    <n v="0"/>
    <n v="1"/>
    <m/>
    <m/>
  </r>
  <r>
    <n v="53"/>
    <s v="No"/>
    <s v="Travel_Rarely"/>
    <n v="1395"/>
    <s v="Research &amp; Development"/>
    <n v="24"/>
    <n v="4"/>
    <s v="Medical"/>
    <n v="1"/>
    <n v="1689"/>
    <n v="2"/>
    <s v="Male"/>
    <n v="48"/>
    <n v="4"/>
    <n v="3"/>
    <s v="Healthcare Representative"/>
    <n v="4"/>
    <s v="Married"/>
    <n v="7005"/>
    <n v="3458"/>
    <n v="3"/>
    <s v="Y"/>
    <s v="No"/>
    <n v="15"/>
    <n v="3"/>
    <n v="3"/>
    <n v="80"/>
    <n v="0"/>
    <n v="11"/>
    <n v="2"/>
    <n v="3"/>
    <n v="4"/>
    <n v="3"/>
    <n v="1"/>
    <n v="2"/>
    <x v="3"/>
    <n v="0"/>
    <n v="0"/>
    <n v="1"/>
    <m/>
    <m/>
  </r>
  <r>
    <n v="48"/>
    <s v="Yes"/>
    <s v="Travel_Frequently"/>
    <n v="708"/>
    <s v="Sales"/>
    <n v="7"/>
    <n v="2"/>
    <s v="Medical"/>
    <n v="1"/>
    <n v="1691"/>
    <n v="4"/>
    <s v="Female"/>
    <n v="95"/>
    <n v="3"/>
    <n v="1"/>
    <s v="Sales Representative"/>
    <n v="3"/>
    <s v="Married"/>
    <n v="2655"/>
    <n v="11740"/>
    <n v="2"/>
    <s v="Y"/>
    <s v="Yes"/>
    <n v="11"/>
    <n v="3"/>
    <n v="3"/>
    <n v="80"/>
    <n v="2"/>
    <n v="19"/>
    <n v="3"/>
    <n v="3"/>
    <n v="9"/>
    <n v="7"/>
    <n v="7"/>
    <n v="7"/>
    <x v="0"/>
    <n v="1"/>
    <n v="47790"/>
    <n v="1"/>
    <m/>
    <m/>
  </r>
  <r>
    <n v="32"/>
    <s v="Yes"/>
    <s v="Travel_Rarely"/>
    <n v="1259"/>
    <s v="Research &amp; Development"/>
    <n v="2"/>
    <n v="4"/>
    <s v="Life Sciences"/>
    <n v="1"/>
    <n v="1692"/>
    <n v="4"/>
    <s v="Male"/>
    <n v="95"/>
    <n v="3"/>
    <n v="1"/>
    <s v="Laboratory Technician"/>
    <n v="2"/>
    <s v="Single"/>
    <n v="1393"/>
    <n v="24852"/>
    <n v="1"/>
    <s v="Y"/>
    <s v="No"/>
    <n v="12"/>
    <n v="3"/>
    <n v="1"/>
    <n v="80"/>
    <n v="0"/>
    <n v="1"/>
    <n v="2"/>
    <n v="3"/>
    <n v="1"/>
    <n v="0"/>
    <n v="0"/>
    <n v="0"/>
    <x v="1"/>
    <n v="1"/>
    <n v="25074"/>
    <n v="1"/>
    <m/>
    <m/>
  </r>
  <r>
    <n v="26"/>
    <s v="No"/>
    <s v="Non-Travel"/>
    <n v="786"/>
    <s v="Research &amp; Development"/>
    <n v="7"/>
    <n v="3"/>
    <s v="Medical"/>
    <n v="1"/>
    <n v="1693"/>
    <n v="4"/>
    <s v="Male"/>
    <n v="76"/>
    <n v="3"/>
    <n v="1"/>
    <s v="Laboratory Technician"/>
    <n v="4"/>
    <s v="Single"/>
    <n v="2570"/>
    <n v="11925"/>
    <n v="1"/>
    <s v="Y"/>
    <s v="No"/>
    <n v="20"/>
    <n v="4"/>
    <n v="3"/>
    <n v="80"/>
    <n v="0"/>
    <n v="7"/>
    <n v="5"/>
    <n v="3"/>
    <n v="7"/>
    <n v="7"/>
    <n v="5"/>
    <n v="7"/>
    <x v="1"/>
    <n v="0"/>
    <n v="0"/>
    <n v="1"/>
    <m/>
    <m/>
  </r>
  <r>
    <n v="55"/>
    <s v="No"/>
    <s v="Travel_Rarely"/>
    <n v="1441"/>
    <s v="Research &amp; Development"/>
    <n v="22"/>
    <n v="3"/>
    <s v="Technical Degree"/>
    <n v="1"/>
    <n v="1694"/>
    <n v="1"/>
    <s v="Male"/>
    <n v="94"/>
    <n v="2"/>
    <n v="1"/>
    <s v="Research Scientist"/>
    <n v="2"/>
    <s v="Divorced"/>
    <n v="3537"/>
    <n v="23737"/>
    <n v="5"/>
    <s v="Y"/>
    <s v="No"/>
    <n v="12"/>
    <n v="3"/>
    <n v="4"/>
    <n v="80"/>
    <n v="1"/>
    <n v="8"/>
    <n v="1"/>
    <n v="3"/>
    <n v="4"/>
    <n v="2"/>
    <n v="1"/>
    <n v="2"/>
    <x v="1"/>
    <n v="0"/>
    <n v="0"/>
    <n v="1"/>
    <m/>
    <m/>
  </r>
  <r>
    <n v="34"/>
    <s v="No"/>
    <s v="Travel_Rarely"/>
    <n v="1157"/>
    <s v="Research &amp; Development"/>
    <n v="5"/>
    <n v="2"/>
    <s v="Medical"/>
    <n v="1"/>
    <n v="1696"/>
    <n v="2"/>
    <s v="Male"/>
    <n v="57"/>
    <n v="2"/>
    <n v="2"/>
    <s v="Laboratory Technician"/>
    <n v="4"/>
    <s v="Married"/>
    <n v="3986"/>
    <n v="11912"/>
    <n v="1"/>
    <s v="Y"/>
    <s v="No"/>
    <n v="14"/>
    <n v="3"/>
    <n v="3"/>
    <n v="80"/>
    <n v="1"/>
    <n v="15"/>
    <n v="3"/>
    <n v="4"/>
    <n v="15"/>
    <n v="10"/>
    <n v="4"/>
    <n v="13"/>
    <x v="1"/>
    <n v="0"/>
    <n v="0"/>
    <n v="1"/>
    <m/>
    <m/>
  </r>
  <r>
    <n v="60"/>
    <s v="No"/>
    <s v="Travel_Rarely"/>
    <n v="370"/>
    <s v="Research &amp; Development"/>
    <n v="1"/>
    <n v="4"/>
    <s v="Medical"/>
    <n v="1"/>
    <n v="1697"/>
    <n v="3"/>
    <s v="Male"/>
    <n v="92"/>
    <n v="1"/>
    <n v="3"/>
    <s v="Healthcare Representative"/>
    <n v="4"/>
    <s v="Divorced"/>
    <n v="10883"/>
    <n v="20467"/>
    <n v="3"/>
    <s v="Y"/>
    <s v="No"/>
    <n v="20"/>
    <n v="4"/>
    <n v="3"/>
    <n v="80"/>
    <n v="1"/>
    <n v="19"/>
    <n v="2"/>
    <n v="4"/>
    <n v="1"/>
    <n v="0"/>
    <n v="0"/>
    <n v="0"/>
    <x v="3"/>
    <n v="0"/>
    <n v="0"/>
    <n v="1"/>
    <m/>
    <m/>
  </r>
  <r>
    <n v="33"/>
    <s v="No"/>
    <s v="Travel_Rarely"/>
    <n v="267"/>
    <s v="Research &amp; Development"/>
    <n v="21"/>
    <n v="3"/>
    <s v="Medical"/>
    <n v="1"/>
    <n v="1698"/>
    <n v="2"/>
    <s v="Male"/>
    <n v="79"/>
    <n v="4"/>
    <n v="1"/>
    <s v="Laboratory Technician"/>
    <n v="2"/>
    <s v="Married"/>
    <n v="2028"/>
    <n v="13637"/>
    <n v="1"/>
    <s v="Y"/>
    <s v="No"/>
    <n v="18"/>
    <n v="3"/>
    <n v="4"/>
    <n v="80"/>
    <n v="3"/>
    <n v="14"/>
    <n v="6"/>
    <n v="3"/>
    <n v="14"/>
    <n v="11"/>
    <n v="2"/>
    <n v="13"/>
    <x v="1"/>
    <n v="0"/>
    <n v="0"/>
    <n v="1"/>
    <m/>
    <m/>
  </r>
  <r>
    <n v="37"/>
    <s v="No"/>
    <s v="Travel_Frequently"/>
    <n v="1278"/>
    <s v="Sales"/>
    <n v="1"/>
    <n v="4"/>
    <s v="Medical"/>
    <n v="1"/>
    <n v="1700"/>
    <n v="3"/>
    <s v="Male"/>
    <n v="31"/>
    <n v="1"/>
    <n v="2"/>
    <s v="Sales Executive"/>
    <n v="4"/>
    <s v="Divorced"/>
    <n v="9525"/>
    <n v="7677"/>
    <n v="1"/>
    <s v="Y"/>
    <s v="No"/>
    <n v="14"/>
    <n v="3"/>
    <n v="3"/>
    <n v="80"/>
    <n v="2"/>
    <n v="6"/>
    <n v="2"/>
    <n v="2"/>
    <n v="6"/>
    <n v="3"/>
    <n v="1"/>
    <n v="3"/>
    <x v="0"/>
    <n v="0"/>
    <n v="0"/>
    <n v="1"/>
    <m/>
    <m/>
  </r>
  <r>
    <n v="34"/>
    <s v="No"/>
    <s v="Travel_Rarely"/>
    <n v="678"/>
    <s v="Research &amp; Development"/>
    <n v="19"/>
    <n v="3"/>
    <s v="Life Sciences"/>
    <n v="1"/>
    <n v="1701"/>
    <n v="2"/>
    <s v="Female"/>
    <n v="35"/>
    <n v="2"/>
    <n v="1"/>
    <s v="Research Scientist"/>
    <n v="4"/>
    <s v="Married"/>
    <n v="2929"/>
    <n v="20338"/>
    <n v="1"/>
    <s v="Y"/>
    <s v="No"/>
    <n v="12"/>
    <n v="3"/>
    <n v="2"/>
    <n v="80"/>
    <n v="0"/>
    <n v="10"/>
    <n v="3"/>
    <n v="3"/>
    <n v="10"/>
    <n v="9"/>
    <n v="8"/>
    <n v="7"/>
    <x v="1"/>
    <n v="0"/>
    <n v="0"/>
    <n v="1"/>
    <m/>
    <m/>
  </r>
  <r>
    <n v="23"/>
    <s v="Yes"/>
    <s v="Travel_Rarely"/>
    <n v="427"/>
    <s v="Sales"/>
    <n v="7"/>
    <n v="3"/>
    <s v="Life Sciences"/>
    <n v="1"/>
    <n v="1702"/>
    <n v="3"/>
    <s v="Male"/>
    <n v="99"/>
    <n v="3"/>
    <n v="1"/>
    <s v="Sales Representative"/>
    <n v="4"/>
    <s v="Divorced"/>
    <n v="2275"/>
    <n v="25103"/>
    <n v="1"/>
    <s v="Y"/>
    <s v="Yes"/>
    <n v="21"/>
    <n v="4"/>
    <n v="2"/>
    <n v="80"/>
    <n v="1"/>
    <n v="3"/>
    <n v="2"/>
    <n v="3"/>
    <n v="3"/>
    <n v="2"/>
    <n v="0"/>
    <n v="2"/>
    <x v="0"/>
    <n v="1"/>
    <n v="40950"/>
    <n v="1"/>
    <m/>
    <m/>
  </r>
  <r>
    <n v="44"/>
    <s v="No"/>
    <s v="Travel_Rarely"/>
    <n v="921"/>
    <s v="Research &amp; Development"/>
    <n v="2"/>
    <n v="3"/>
    <s v="Life Sciences"/>
    <n v="1"/>
    <n v="1703"/>
    <n v="3"/>
    <s v="Female"/>
    <n v="96"/>
    <n v="4"/>
    <n v="3"/>
    <s v="Healthcare Representative"/>
    <n v="4"/>
    <s v="Married"/>
    <n v="7879"/>
    <n v="14810"/>
    <n v="1"/>
    <s v="Y"/>
    <s v="Yes"/>
    <n v="19"/>
    <n v="3"/>
    <n v="2"/>
    <n v="80"/>
    <n v="1"/>
    <n v="9"/>
    <n v="2"/>
    <n v="3"/>
    <n v="8"/>
    <n v="7"/>
    <n v="6"/>
    <n v="7"/>
    <x v="3"/>
    <n v="0"/>
    <n v="0"/>
    <n v="1"/>
    <m/>
    <m/>
  </r>
  <r>
    <n v="35"/>
    <s v="No"/>
    <s v="Travel_Frequently"/>
    <n v="146"/>
    <s v="Research &amp; Development"/>
    <n v="2"/>
    <n v="4"/>
    <s v="Medical"/>
    <n v="1"/>
    <n v="1704"/>
    <n v="1"/>
    <s v="Male"/>
    <n v="79"/>
    <n v="2"/>
    <n v="1"/>
    <s v="Research Scientist"/>
    <n v="4"/>
    <s v="Single"/>
    <n v="4930"/>
    <n v="13970"/>
    <n v="0"/>
    <s v="Y"/>
    <s v="Yes"/>
    <n v="14"/>
    <n v="3"/>
    <n v="3"/>
    <n v="80"/>
    <n v="0"/>
    <n v="6"/>
    <n v="2"/>
    <n v="4"/>
    <n v="5"/>
    <n v="4"/>
    <n v="1"/>
    <n v="4"/>
    <x v="1"/>
    <n v="0"/>
    <n v="0"/>
    <n v="1"/>
    <m/>
    <m/>
  </r>
  <r>
    <n v="43"/>
    <s v="No"/>
    <s v="Travel_Rarely"/>
    <n v="1179"/>
    <s v="Sales"/>
    <n v="2"/>
    <n v="3"/>
    <s v="Medical"/>
    <n v="1"/>
    <n v="1706"/>
    <n v="4"/>
    <s v="Male"/>
    <n v="73"/>
    <n v="3"/>
    <n v="2"/>
    <s v="Sales Executive"/>
    <n v="4"/>
    <s v="Married"/>
    <n v="7847"/>
    <n v="6069"/>
    <n v="1"/>
    <s v="Y"/>
    <s v="Yes"/>
    <n v="17"/>
    <n v="3"/>
    <n v="1"/>
    <n v="80"/>
    <n v="1"/>
    <n v="10"/>
    <n v="3"/>
    <n v="3"/>
    <n v="10"/>
    <n v="9"/>
    <n v="8"/>
    <n v="8"/>
    <x v="0"/>
    <n v="0"/>
    <n v="0"/>
    <n v="1"/>
    <m/>
    <m/>
  </r>
  <r>
    <n v="24"/>
    <s v="No"/>
    <s v="Travel_Rarely"/>
    <n v="581"/>
    <s v="Research &amp; Development"/>
    <n v="9"/>
    <n v="3"/>
    <s v="Medical"/>
    <n v="1"/>
    <n v="1707"/>
    <n v="3"/>
    <s v="Male"/>
    <n v="62"/>
    <n v="4"/>
    <n v="1"/>
    <s v="Research Scientist"/>
    <n v="3"/>
    <s v="Married"/>
    <n v="4401"/>
    <n v="17616"/>
    <n v="1"/>
    <s v="Y"/>
    <s v="No"/>
    <n v="16"/>
    <n v="3"/>
    <n v="4"/>
    <n v="80"/>
    <n v="1"/>
    <n v="5"/>
    <n v="1"/>
    <n v="3"/>
    <n v="5"/>
    <n v="3"/>
    <n v="0"/>
    <n v="4"/>
    <x v="1"/>
    <n v="0"/>
    <n v="0"/>
    <n v="1"/>
    <m/>
    <m/>
  </r>
  <r>
    <n v="41"/>
    <s v="No"/>
    <s v="Travel_Rarely"/>
    <n v="918"/>
    <s v="Sales"/>
    <n v="6"/>
    <n v="3"/>
    <s v="Marketing"/>
    <n v="1"/>
    <n v="1708"/>
    <n v="4"/>
    <s v="Male"/>
    <n v="35"/>
    <n v="3"/>
    <n v="3"/>
    <s v="Sales Executive"/>
    <n v="3"/>
    <s v="Single"/>
    <n v="9241"/>
    <n v="15869"/>
    <n v="1"/>
    <s v="Y"/>
    <s v="No"/>
    <n v="12"/>
    <n v="3"/>
    <n v="2"/>
    <n v="80"/>
    <n v="0"/>
    <n v="10"/>
    <n v="3"/>
    <n v="3"/>
    <n v="10"/>
    <n v="8"/>
    <n v="8"/>
    <n v="7"/>
    <x v="0"/>
    <n v="0"/>
    <n v="0"/>
    <n v="1"/>
    <m/>
    <m/>
  </r>
  <r>
    <n v="29"/>
    <s v="No"/>
    <s v="Travel_Rarely"/>
    <n v="1082"/>
    <s v="Research &amp; Development"/>
    <n v="9"/>
    <n v="4"/>
    <s v="Medical"/>
    <n v="1"/>
    <n v="1709"/>
    <n v="4"/>
    <s v="Female"/>
    <n v="43"/>
    <n v="3"/>
    <n v="1"/>
    <s v="Laboratory Technician"/>
    <n v="3"/>
    <s v="Married"/>
    <n v="2974"/>
    <n v="25412"/>
    <n v="9"/>
    <s v="Y"/>
    <s v="No"/>
    <n v="17"/>
    <n v="3"/>
    <n v="3"/>
    <n v="80"/>
    <n v="1"/>
    <n v="9"/>
    <n v="2"/>
    <n v="3"/>
    <n v="5"/>
    <n v="3"/>
    <n v="1"/>
    <n v="2"/>
    <x v="1"/>
    <n v="0"/>
    <n v="0"/>
    <n v="1"/>
    <m/>
    <m/>
  </r>
  <r>
    <n v="36"/>
    <s v="No"/>
    <s v="Travel_Rarely"/>
    <n v="530"/>
    <s v="Sales"/>
    <n v="2"/>
    <n v="4"/>
    <s v="Life Sciences"/>
    <n v="1"/>
    <n v="1710"/>
    <n v="3"/>
    <s v="Female"/>
    <n v="51"/>
    <n v="3"/>
    <n v="2"/>
    <s v="Sales Representative"/>
    <n v="4"/>
    <s v="Single"/>
    <n v="4502"/>
    <n v="7439"/>
    <n v="3"/>
    <s v="Y"/>
    <s v="No"/>
    <n v="15"/>
    <n v="3"/>
    <n v="3"/>
    <n v="80"/>
    <n v="0"/>
    <n v="17"/>
    <n v="2"/>
    <n v="2"/>
    <n v="13"/>
    <n v="7"/>
    <n v="6"/>
    <n v="7"/>
    <x v="0"/>
    <n v="0"/>
    <n v="0"/>
    <n v="1"/>
    <m/>
    <m/>
  </r>
  <r>
    <n v="45"/>
    <s v="No"/>
    <s v="Non-Travel"/>
    <n v="1238"/>
    <s v="Research &amp; Development"/>
    <n v="1"/>
    <n v="1"/>
    <s v="Life Sciences"/>
    <n v="1"/>
    <n v="1712"/>
    <n v="3"/>
    <s v="Male"/>
    <n v="74"/>
    <n v="2"/>
    <n v="3"/>
    <s v="Healthcare Representative"/>
    <n v="3"/>
    <s v="Married"/>
    <n v="10748"/>
    <n v="3395"/>
    <n v="3"/>
    <s v="Y"/>
    <s v="No"/>
    <n v="23"/>
    <n v="4"/>
    <n v="4"/>
    <n v="80"/>
    <n v="1"/>
    <n v="25"/>
    <n v="3"/>
    <n v="2"/>
    <n v="23"/>
    <n v="15"/>
    <n v="14"/>
    <n v="4"/>
    <x v="3"/>
    <n v="0"/>
    <n v="0"/>
    <n v="1"/>
    <m/>
    <m/>
  </r>
  <r>
    <n v="24"/>
    <s v="Yes"/>
    <s v="Travel_Rarely"/>
    <n v="240"/>
    <s v="Human Resources"/>
    <n v="22"/>
    <n v="1"/>
    <s v="Human Resources"/>
    <n v="1"/>
    <n v="1714"/>
    <n v="4"/>
    <s v="Male"/>
    <n v="58"/>
    <n v="1"/>
    <n v="1"/>
    <s v="Human Resources"/>
    <n v="3"/>
    <s v="Married"/>
    <n v="1555"/>
    <n v="11585"/>
    <n v="1"/>
    <s v="Y"/>
    <s v="No"/>
    <n v="11"/>
    <n v="3"/>
    <n v="3"/>
    <n v="80"/>
    <n v="1"/>
    <n v="1"/>
    <n v="2"/>
    <n v="3"/>
    <n v="1"/>
    <n v="0"/>
    <n v="0"/>
    <n v="0"/>
    <x v="5"/>
    <n v="1"/>
    <n v="27990"/>
    <n v="1"/>
    <m/>
    <m/>
  </r>
  <r>
    <n v="47"/>
    <s v="Yes"/>
    <s v="Travel_Frequently"/>
    <n v="1093"/>
    <s v="Sales"/>
    <n v="9"/>
    <n v="3"/>
    <s v="Life Sciences"/>
    <n v="1"/>
    <n v="1716"/>
    <n v="3"/>
    <s v="Male"/>
    <n v="82"/>
    <n v="1"/>
    <n v="4"/>
    <s v="Sales Executive"/>
    <n v="3"/>
    <s v="Married"/>
    <n v="12936"/>
    <n v="24164"/>
    <n v="7"/>
    <s v="Y"/>
    <s v="No"/>
    <n v="11"/>
    <n v="3"/>
    <n v="3"/>
    <n v="80"/>
    <n v="0"/>
    <n v="25"/>
    <n v="3"/>
    <n v="1"/>
    <n v="23"/>
    <n v="5"/>
    <n v="14"/>
    <n v="10"/>
    <x v="0"/>
    <n v="1"/>
    <n v="232848"/>
    <n v="1"/>
    <m/>
    <m/>
  </r>
  <r>
    <n v="26"/>
    <s v="No"/>
    <s v="Travel_Rarely"/>
    <n v="390"/>
    <s v="Research &amp; Development"/>
    <n v="17"/>
    <n v="4"/>
    <s v="Medical"/>
    <n v="1"/>
    <n v="1718"/>
    <n v="4"/>
    <s v="Male"/>
    <n v="62"/>
    <n v="1"/>
    <n v="1"/>
    <s v="Laboratory Technician"/>
    <n v="3"/>
    <s v="Married"/>
    <n v="2305"/>
    <n v="6217"/>
    <n v="1"/>
    <s v="Y"/>
    <s v="No"/>
    <n v="15"/>
    <n v="3"/>
    <n v="3"/>
    <n v="80"/>
    <n v="3"/>
    <n v="3"/>
    <n v="3"/>
    <n v="4"/>
    <n v="3"/>
    <n v="2"/>
    <n v="0"/>
    <n v="2"/>
    <x v="1"/>
    <n v="0"/>
    <n v="0"/>
    <n v="1"/>
    <m/>
    <m/>
  </r>
  <r>
    <n v="45"/>
    <s v="No"/>
    <s v="Travel_Rarely"/>
    <n v="1005"/>
    <s v="Research &amp; Development"/>
    <n v="28"/>
    <n v="2"/>
    <s v="Technical Degree"/>
    <n v="1"/>
    <n v="1719"/>
    <n v="4"/>
    <s v="Female"/>
    <n v="48"/>
    <n v="2"/>
    <n v="4"/>
    <s v="Research Director"/>
    <n v="2"/>
    <s v="Single"/>
    <n v="16704"/>
    <n v="17119"/>
    <n v="1"/>
    <s v="Y"/>
    <s v="No"/>
    <n v="11"/>
    <n v="3"/>
    <n v="3"/>
    <n v="80"/>
    <n v="0"/>
    <n v="21"/>
    <n v="2"/>
    <n v="3"/>
    <n v="21"/>
    <n v="6"/>
    <n v="8"/>
    <n v="6"/>
    <x v="1"/>
    <n v="0"/>
    <n v="0"/>
    <n v="1"/>
    <m/>
    <m/>
  </r>
  <r>
    <n v="32"/>
    <s v="No"/>
    <s v="Travel_Frequently"/>
    <n v="585"/>
    <s v="Research &amp; Development"/>
    <n v="10"/>
    <n v="3"/>
    <s v="Life Sciences"/>
    <n v="1"/>
    <n v="1720"/>
    <n v="1"/>
    <s v="Male"/>
    <n v="56"/>
    <n v="3"/>
    <n v="1"/>
    <s v="Research Scientist"/>
    <n v="3"/>
    <s v="Married"/>
    <n v="3433"/>
    <n v="17360"/>
    <n v="6"/>
    <s v="Y"/>
    <s v="No"/>
    <n v="13"/>
    <n v="3"/>
    <n v="1"/>
    <n v="80"/>
    <n v="1"/>
    <n v="10"/>
    <n v="3"/>
    <n v="2"/>
    <n v="5"/>
    <n v="2"/>
    <n v="1"/>
    <n v="3"/>
    <x v="1"/>
    <n v="0"/>
    <n v="0"/>
    <n v="1"/>
    <m/>
    <m/>
  </r>
  <r>
    <n v="31"/>
    <s v="No"/>
    <s v="Travel_Rarely"/>
    <n v="741"/>
    <s v="Research &amp; Development"/>
    <n v="2"/>
    <n v="4"/>
    <s v="Life Sciences"/>
    <n v="1"/>
    <n v="1721"/>
    <n v="2"/>
    <s v="Male"/>
    <n v="69"/>
    <n v="3"/>
    <n v="1"/>
    <s v="Laboratory Technician"/>
    <n v="3"/>
    <s v="Married"/>
    <n v="3477"/>
    <n v="18103"/>
    <n v="1"/>
    <s v="Y"/>
    <s v="No"/>
    <n v="14"/>
    <n v="3"/>
    <n v="4"/>
    <n v="80"/>
    <n v="1"/>
    <n v="6"/>
    <n v="2"/>
    <n v="4"/>
    <n v="5"/>
    <n v="2"/>
    <n v="0"/>
    <n v="3"/>
    <x v="1"/>
    <n v="0"/>
    <n v="0"/>
    <n v="1"/>
    <m/>
    <m/>
  </r>
  <r>
    <n v="41"/>
    <s v="No"/>
    <s v="Non-Travel"/>
    <n v="552"/>
    <s v="Human Resources"/>
    <n v="4"/>
    <n v="3"/>
    <s v="Human Resources"/>
    <n v="1"/>
    <n v="1722"/>
    <n v="3"/>
    <s v="Male"/>
    <n v="60"/>
    <n v="1"/>
    <n v="2"/>
    <s v="Human Resources"/>
    <n v="2"/>
    <s v="Married"/>
    <n v="6430"/>
    <n v="20794"/>
    <n v="6"/>
    <s v="Y"/>
    <s v="No"/>
    <n v="19"/>
    <n v="3"/>
    <n v="2"/>
    <n v="80"/>
    <n v="1"/>
    <n v="10"/>
    <n v="4"/>
    <n v="3"/>
    <n v="3"/>
    <n v="2"/>
    <n v="1"/>
    <n v="2"/>
    <x v="5"/>
    <n v="0"/>
    <n v="0"/>
    <n v="1"/>
    <m/>
    <m/>
  </r>
  <r>
    <n v="40"/>
    <s v="No"/>
    <s v="Travel_Rarely"/>
    <n v="369"/>
    <s v="Research &amp; Development"/>
    <n v="8"/>
    <n v="2"/>
    <s v="Life Sciences"/>
    <n v="1"/>
    <n v="1724"/>
    <n v="2"/>
    <s v="Female"/>
    <n v="92"/>
    <n v="3"/>
    <n v="2"/>
    <s v="Manufacturing Director"/>
    <n v="1"/>
    <s v="Married"/>
    <n v="6516"/>
    <n v="5041"/>
    <n v="2"/>
    <s v="Y"/>
    <s v="Yes"/>
    <n v="16"/>
    <n v="3"/>
    <n v="2"/>
    <n v="80"/>
    <n v="1"/>
    <n v="18"/>
    <n v="3"/>
    <n v="3"/>
    <n v="1"/>
    <n v="0"/>
    <n v="0"/>
    <n v="0"/>
    <x v="2"/>
    <n v="0"/>
    <n v="0"/>
    <n v="1"/>
    <m/>
    <m/>
  </r>
  <r>
    <n v="24"/>
    <s v="No"/>
    <s v="Travel_Rarely"/>
    <n v="506"/>
    <s v="Research &amp; Development"/>
    <n v="29"/>
    <n v="1"/>
    <s v="Medical"/>
    <n v="1"/>
    <n v="1725"/>
    <n v="2"/>
    <s v="Male"/>
    <n v="91"/>
    <n v="3"/>
    <n v="1"/>
    <s v="Laboratory Technician"/>
    <n v="1"/>
    <s v="Divorced"/>
    <n v="3907"/>
    <n v="3622"/>
    <n v="1"/>
    <s v="Y"/>
    <s v="No"/>
    <n v="13"/>
    <n v="3"/>
    <n v="2"/>
    <n v="80"/>
    <n v="3"/>
    <n v="6"/>
    <n v="2"/>
    <n v="4"/>
    <n v="6"/>
    <n v="2"/>
    <n v="1"/>
    <n v="2"/>
    <x v="1"/>
    <n v="0"/>
    <n v="0"/>
    <n v="1"/>
    <m/>
    <m/>
  </r>
  <r>
    <n v="46"/>
    <s v="No"/>
    <s v="Travel_Rarely"/>
    <n v="717"/>
    <s v="Research &amp; Development"/>
    <n v="13"/>
    <n v="4"/>
    <s v="Life Sciences"/>
    <n v="1"/>
    <n v="1727"/>
    <n v="3"/>
    <s v="Male"/>
    <n v="34"/>
    <n v="3"/>
    <n v="2"/>
    <s v="Healthcare Representative"/>
    <n v="2"/>
    <s v="Single"/>
    <n v="5562"/>
    <n v="9697"/>
    <n v="6"/>
    <s v="Y"/>
    <s v="No"/>
    <n v="14"/>
    <n v="3"/>
    <n v="4"/>
    <n v="80"/>
    <n v="0"/>
    <n v="19"/>
    <n v="3"/>
    <n v="3"/>
    <n v="10"/>
    <n v="7"/>
    <n v="0"/>
    <n v="9"/>
    <x v="3"/>
    <n v="0"/>
    <n v="0"/>
    <n v="1"/>
    <m/>
    <m/>
  </r>
  <r>
    <n v="35"/>
    <s v="No"/>
    <s v="Travel_Rarely"/>
    <n v="1370"/>
    <s v="Research &amp; Development"/>
    <n v="27"/>
    <n v="4"/>
    <s v="Life Sciences"/>
    <n v="1"/>
    <n v="1728"/>
    <n v="4"/>
    <s v="Male"/>
    <n v="49"/>
    <n v="3"/>
    <n v="2"/>
    <s v="Manufacturing Director"/>
    <n v="3"/>
    <s v="Married"/>
    <n v="6883"/>
    <n v="5151"/>
    <n v="2"/>
    <s v="Y"/>
    <s v="No"/>
    <n v="16"/>
    <n v="3"/>
    <n v="2"/>
    <n v="80"/>
    <n v="1"/>
    <n v="17"/>
    <n v="3"/>
    <n v="3"/>
    <n v="7"/>
    <n v="7"/>
    <n v="0"/>
    <n v="7"/>
    <x v="2"/>
    <n v="0"/>
    <n v="0"/>
    <n v="1"/>
    <m/>
    <m/>
  </r>
  <r>
    <n v="30"/>
    <s v="No"/>
    <s v="Travel_Rarely"/>
    <n v="793"/>
    <s v="Research &amp; Development"/>
    <n v="16"/>
    <n v="1"/>
    <s v="Life Sciences"/>
    <n v="1"/>
    <n v="1729"/>
    <n v="2"/>
    <s v="Male"/>
    <n v="33"/>
    <n v="3"/>
    <n v="1"/>
    <s v="Research Scientist"/>
    <n v="4"/>
    <s v="Married"/>
    <n v="2862"/>
    <n v="3811"/>
    <n v="1"/>
    <s v="Y"/>
    <s v="No"/>
    <n v="12"/>
    <n v="3"/>
    <n v="2"/>
    <n v="80"/>
    <n v="1"/>
    <n v="10"/>
    <n v="2"/>
    <n v="2"/>
    <n v="10"/>
    <n v="0"/>
    <n v="0"/>
    <n v="8"/>
    <x v="1"/>
    <n v="0"/>
    <n v="0"/>
    <n v="1"/>
    <m/>
    <m/>
  </r>
  <r>
    <n v="47"/>
    <s v="No"/>
    <s v="Non-Travel"/>
    <n v="543"/>
    <s v="Sales"/>
    <n v="2"/>
    <n v="4"/>
    <s v="Marketing"/>
    <n v="1"/>
    <n v="1731"/>
    <n v="3"/>
    <s v="Male"/>
    <n v="87"/>
    <n v="3"/>
    <n v="2"/>
    <s v="Sales Executive"/>
    <n v="2"/>
    <s v="Married"/>
    <n v="4978"/>
    <n v="3536"/>
    <n v="7"/>
    <s v="Y"/>
    <s v="No"/>
    <n v="11"/>
    <n v="3"/>
    <n v="4"/>
    <n v="80"/>
    <n v="1"/>
    <n v="4"/>
    <n v="3"/>
    <n v="1"/>
    <n v="1"/>
    <n v="0"/>
    <n v="0"/>
    <n v="0"/>
    <x v="0"/>
    <n v="0"/>
    <n v="0"/>
    <n v="1"/>
    <m/>
    <m/>
  </r>
  <r>
    <n v="46"/>
    <s v="No"/>
    <s v="Travel_Rarely"/>
    <n v="1277"/>
    <s v="Sales"/>
    <n v="2"/>
    <n v="3"/>
    <s v="Life Sciences"/>
    <n v="1"/>
    <n v="1732"/>
    <n v="3"/>
    <s v="Male"/>
    <n v="74"/>
    <n v="3"/>
    <n v="3"/>
    <s v="Sales Executive"/>
    <n v="4"/>
    <s v="Divorced"/>
    <n v="10368"/>
    <n v="5596"/>
    <n v="4"/>
    <s v="Y"/>
    <s v="Yes"/>
    <n v="12"/>
    <n v="3"/>
    <n v="2"/>
    <n v="80"/>
    <n v="1"/>
    <n v="13"/>
    <n v="5"/>
    <n v="2"/>
    <n v="10"/>
    <n v="6"/>
    <n v="0"/>
    <n v="3"/>
    <x v="0"/>
    <n v="0"/>
    <n v="0"/>
    <n v="1"/>
    <m/>
    <m/>
  </r>
  <r>
    <n v="36"/>
    <s v="Yes"/>
    <s v="Travel_Rarely"/>
    <n v="1456"/>
    <s v="Sales"/>
    <n v="13"/>
    <n v="5"/>
    <s v="Marketing"/>
    <n v="1"/>
    <n v="1733"/>
    <n v="2"/>
    <s v="Male"/>
    <n v="96"/>
    <n v="2"/>
    <n v="2"/>
    <s v="Sales Executive"/>
    <n v="1"/>
    <s v="Divorced"/>
    <n v="6134"/>
    <n v="8658"/>
    <n v="5"/>
    <s v="Y"/>
    <s v="Yes"/>
    <n v="13"/>
    <n v="3"/>
    <n v="2"/>
    <n v="80"/>
    <n v="3"/>
    <n v="16"/>
    <n v="3"/>
    <n v="3"/>
    <n v="2"/>
    <n v="2"/>
    <n v="2"/>
    <n v="2"/>
    <x v="0"/>
    <n v="1"/>
    <n v="110412"/>
    <n v="1"/>
    <m/>
    <m/>
  </r>
  <r>
    <n v="32"/>
    <s v="Yes"/>
    <s v="Travel_Rarely"/>
    <n v="964"/>
    <s v="Sales"/>
    <n v="1"/>
    <n v="2"/>
    <s v="Life Sciences"/>
    <n v="1"/>
    <n v="1734"/>
    <n v="1"/>
    <s v="Male"/>
    <n v="34"/>
    <n v="1"/>
    <n v="2"/>
    <s v="Sales Executive"/>
    <n v="2"/>
    <s v="Single"/>
    <n v="6735"/>
    <n v="12147"/>
    <n v="6"/>
    <s v="Y"/>
    <s v="No"/>
    <n v="15"/>
    <n v="3"/>
    <n v="2"/>
    <n v="80"/>
    <n v="0"/>
    <n v="10"/>
    <n v="2"/>
    <n v="3"/>
    <n v="0"/>
    <n v="0"/>
    <n v="0"/>
    <n v="0"/>
    <x v="0"/>
    <n v="1"/>
    <n v="121230"/>
    <n v="1"/>
    <m/>
    <m/>
  </r>
  <r>
    <n v="23"/>
    <s v="No"/>
    <s v="Travel_Rarely"/>
    <n v="160"/>
    <s v="Research &amp; Development"/>
    <n v="4"/>
    <n v="1"/>
    <s v="Medical"/>
    <n v="1"/>
    <n v="1735"/>
    <n v="3"/>
    <s v="Female"/>
    <n v="51"/>
    <n v="3"/>
    <n v="1"/>
    <s v="Laboratory Technician"/>
    <n v="2"/>
    <s v="Single"/>
    <n v="3295"/>
    <n v="12862"/>
    <n v="1"/>
    <s v="Y"/>
    <s v="No"/>
    <n v="13"/>
    <n v="3"/>
    <n v="3"/>
    <n v="80"/>
    <n v="0"/>
    <n v="3"/>
    <n v="3"/>
    <n v="1"/>
    <n v="3"/>
    <n v="2"/>
    <n v="1"/>
    <n v="2"/>
    <x v="1"/>
    <n v="0"/>
    <n v="0"/>
    <n v="1"/>
    <m/>
    <m/>
  </r>
  <r>
    <n v="31"/>
    <s v="No"/>
    <s v="Travel_Frequently"/>
    <n v="163"/>
    <s v="Research &amp; Development"/>
    <n v="24"/>
    <n v="1"/>
    <s v="Technical Degree"/>
    <n v="1"/>
    <n v="1736"/>
    <n v="4"/>
    <s v="Female"/>
    <n v="30"/>
    <n v="3"/>
    <n v="2"/>
    <s v="Manufacturing Director"/>
    <n v="4"/>
    <s v="Single"/>
    <n v="5238"/>
    <n v="6670"/>
    <n v="2"/>
    <s v="Y"/>
    <s v="No"/>
    <n v="20"/>
    <n v="4"/>
    <n v="4"/>
    <n v="80"/>
    <n v="0"/>
    <n v="9"/>
    <n v="3"/>
    <n v="2"/>
    <n v="5"/>
    <n v="4"/>
    <n v="1"/>
    <n v="4"/>
    <x v="2"/>
    <n v="0"/>
    <n v="0"/>
    <n v="1"/>
    <m/>
    <m/>
  </r>
  <r>
    <n v="39"/>
    <s v="No"/>
    <s v="Non-Travel"/>
    <n v="792"/>
    <s v="Research &amp; Development"/>
    <n v="1"/>
    <n v="3"/>
    <s v="Life Sciences"/>
    <n v="1"/>
    <n v="1737"/>
    <n v="4"/>
    <s v="Male"/>
    <n v="77"/>
    <n v="3"/>
    <n v="2"/>
    <s v="Laboratory Technician"/>
    <n v="4"/>
    <s v="Married"/>
    <n v="6472"/>
    <n v="8989"/>
    <n v="1"/>
    <s v="Y"/>
    <s v="Yes"/>
    <n v="15"/>
    <n v="3"/>
    <n v="4"/>
    <n v="80"/>
    <n v="1"/>
    <n v="9"/>
    <n v="2"/>
    <n v="3"/>
    <n v="9"/>
    <n v="8"/>
    <n v="5"/>
    <n v="8"/>
    <x v="1"/>
    <n v="0"/>
    <n v="0"/>
    <n v="1"/>
    <m/>
    <m/>
  </r>
  <r>
    <n v="32"/>
    <s v="No"/>
    <s v="Travel_Rarely"/>
    <n v="371"/>
    <s v="Sales"/>
    <n v="19"/>
    <n v="3"/>
    <s v="Life Sciences"/>
    <n v="1"/>
    <n v="1739"/>
    <n v="4"/>
    <s v="Male"/>
    <n v="80"/>
    <n v="1"/>
    <n v="3"/>
    <s v="Sales Executive"/>
    <n v="3"/>
    <s v="Married"/>
    <n v="9610"/>
    <n v="3840"/>
    <n v="3"/>
    <s v="Y"/>
    <s v="No"/>
    <n v="13"/>
    <n v="3"/>
    <n v="3"/>
    <n v="80"/>
    <n v="1"/>
    <n v="10"/>
    <n v="2"/>
    <n v="1"/>
    <n v="4"/>
    <n v="3"/>
    <n v="0"/>
    <n v="2"/>
    <x v="0"/>
    <n v="0"/>
    <n v="0"/>
    <n v="1"/>
    <m/>
    <m/>
  </r>
  <r>
    <n v="40"/>
    <s v="No"/>
    <s v="Travel_Rarely"/>
    <n v="611"/>
    <s v="Sales"/>
    <n v="7"/>
    <n v="4"/>
    <s v="Medical"/>
    <n v="1"/>
    <n v="1740"/>
    <n v="2"/>
    <s v="Male"/>
    <n v="88"/>
    <n v="3"/>
    <n v="5"/>
    <s v="Manager"/>
    <n v="2"/>
    <s v="Single"/>
    <n v="19833"/>
    <n v="4349"/>
    <n v="1"/>
    <s v="Y"/>
    <s v="No"/>
    <n v="14"/>
    <n v="3"/>
    <n v="2"/>
    <n v="80"/>
    <n v="0"/>
    <n v="21"/>
    <n v="3"/>
    <n v="2"/>
    <n v="21"/>
    <n v="8"/>
    <n v="12"/>
    <n v="8"/>
    <x v="4"/>
    <n v="0"/>
    <n v="0"/>
    <n v="1"/>
    <m/>
    <m/>
  </r>
  <r>
    <n v="45"/>
    <s v="No"/>
    <s v="Travel_Rarely"/>
    <n v="176"/>
    <s v="Human Resources"/>
    <n v="4"/>
    <n v="3"/>
    <s v="Life Sciences"/>
    <n v="1"/>
    <n v="1744"/>
    <n v="3"/>
    <s v="Female"/>
    <n v="56"/>
    <n v="1"/>
    <n v="3"/>
    <s v="Human Resources"/>
    <n v="3"/>
    <s v="Married"/>
    <n v="9756"/>
    <n v="6595"/>
    <n v="4"/>
    <s v="Y"/>
    <s v="No"/>
    <n v="21"/>
    <n v="4"/>
    <n v="3"/>
    <n v="80"/>
    <n v="2"/>
    <n v="9"/>
    <n v="2"/>
    <n v="4"/>
    <n v="5"/>
    <n v="0"/>
    <n v="0"/>
    <n v="3"/>
    <x v="5"/>
    <n v="0"/>
    <n v="0"/>
    <n v="1"/>
    <m/>
    <m/>
  </r>
  <r>
    <n v="30"/>
    <s v="No"/>
    <s v="Travel_Frequently"/>
    <n v="1312"/>
    <s v="Research &amp; Development"/>
    <n v="2"/>
    <n v="4"/>
    <s v="Technical Degree"/>
    <n v="1"/>
    <n v="1745"/>
    <n v="4"/>
    <s v="Female"/>
    <n v="78"/>
    <n v="2"/>
    <n v="1"/>
    <s v="Research Scientist"/>
    <n v="1"/>
    <s v="Single"/>
    <n v="4968"/>
    <n v="26427"/>
    <n v="0"/>
    <s v="Y"/>
    <s v="No"/>
    <n v="16"/>
    <n v="3"/>
    <n v="4"/>
    <n v="80"/>
    <n v="0"/>
    <n v="10"/>
    <n v="2"/>
    <n v="3"/>
    <n v="9"/>
    <n v="7"/>
    <n v="0"/>
    <n v="7"/>
    <x v="1"/>
    <n v="0"/>
    <n v="0"/>
    <n v="1"/>
    <m/>
    <m/>
  </r>
  <r>
    <n v="24"/>
    <s v="No"/>
    <s v="Travel_Frequently"/>
    <n v="897"/>
    <s v="Human Resources"/>
    <n v="10"/>
    <n v="3"/>
    <s v="Medical"/>
    <n v="1"/>
    <n v="1746"/>
    <n v="1"/>
    <s v="Male"/>
    <n v="59"/>
    <n v="3"/>
    <n v="1"/>
    <s v="Human Resources"/>
    <n v="4"/>
    <s v="Married"/>
    <n v="2145"/>
    <n v="2097"/>
    <n v="0"/>
    <s v="Y"/>
    <s v="No"/>
    <n v="14"/>
    <n v="3"/>
    <n v="4"/>
    <n v="80"/>
    <n v="1"/>
    <n v="3"/>
    <n v="2"/>
    <n v="3"/>
    <n v="2"/>
    <n v="2"/>
    <n v="2"/>
    <n v="1"/>
    <x v="5"/>
    <n v="0"/>
    <n v="0"/>
    <n v="1"/>
    <m/>
    <m/>
  </r>
  <r>
    <n v="30"/>
    <s v="Yes"/>
    <s v="Travel_Frequently"/>
    <n v="600"/>
    <s v="Human Resources"/>
    <n v="8"/>
    <n v="3"/>
    <s v="Human Resources"/>
    <n v="1"/>
    <n v="1747"/>
    <n v="3"/>
    <s v="Female"/>
    <n v="66"/>
    <n v="2"/>
    <n v="1"/>
    <s v="Human Resources"/>
    <n v="4"/>
    <s v="Divorced"/>
    <n v="2180"/>
    <n v="9732"/>
    <n v="6"/>
    <s v="Y"/>
    <s v="No"/>
    <n v="11"/>
    <n v="3"/>
    <n v="3"/>
    <n v="80"/>
    <n v="1"/>
    <n v="6"/>
    <n v="0"/>
    <n v="2"/>
    <n v="4"/>
    <n v="2"/>
    <n v="1"/>
    <n v="2"/>
    <x v="5"/>
    <n v="1"/>
    <n v="39240"/>
    <n v="1"/>
    <m/>
    <m/>
  </r>
  <r>
    <n v="31"/>
    <s v="No"/>
    <s v="Travel_Rarely"/>
    <n v="1003"/>
    <s v="Sales"/>
    <n v="5"/>
    <n v="3"/>
    <s v="Technical Degree"/>
    <n v="1"/>
    <n v="1749"/>
    <n v="1"/>
    <s v="Male"/>
    <n v="51"/>
    <n v="3"/>
    <n v="2"/>
    <s v="Sales Executive"/>
    <n v="3"/>
    <s v="Married"/>
    <n v="8346"/>
    <n v="20943"/>
    <n v="1"/>
    <s v="Y"/>
    <s v="No"/>
    <n v="19"/>
    <n v="3"/>
    <n v="3"/>
    <n v="80"/>
    <n v="1"/>
    <n v="6"/>
    <n v="3"/>
    <n v="3"/>
    <n v="5"/>
    <n v="2"/>
    <n v="0"/>
    <n v="2"/>
    <x v="0"/>
    <n v="0"/>
    <n v="0"/>
    <n v="1"/>
    <m/>
    <m/>
  </r>
  <r>
    <n v="27"/>
    <s v="No"/>
    <s v="Travel_Rarely"/>
    <n v="1054"/>
    <s v="Research &amp; Development"/>
    <n v="8"/>
    <n v="3"/>
    <s v="Medical"/>
    <n v="1"/>
    <n v="1751"/>
    <n v="3"/>
    <s v="Female"/>
    <n v="67"/>
    <n v="3"/>
    <n v="1"/>
    <s v="Research Scientist"/>
    <n v="4"/>
    <s v="Single"/>
    <n v="3445"/>
    <n v="6152"/>
    <n v="1"/>
    <s v="Y"/>
    <s v="No"/>
    <n v="11"/>
    <n v="3"/>
    <n v="3"/>
    <n v="80"/>
    <n v="0"/>
    <n v="6"/>
    <n v="5"/>
    <n v="2"/>
    <n v="6"/>
    <n v="2"/>
    <n v="1"/>
    <n v="4"/>
    <x v="1"/>
    <n v="0"/>
    <n v="0"/>
    <n v="1"/>
    <m/>
    <m/>
  </r>
  <r>
    <n v="29"/>
    <s v="Yes"/>
    <s v="Travel_Rarely"/>
    <n v="428"/>
    <s v="Sales"/>
    <n v="9"/>
    <n v="3"/>
    <s v="Marketing"/>
    <n v="1"/>
    <n v="1752"/>
    <n v="2"/>
    <s v="Female"/>
    <n v="52"/>
    <n v="1"/>
    <n v="1"/>
    <s v="Sales Representative"/>
    <n v="2"/>
    <s v="Single"/>
    <n v="2760"/>
    <n v="14630"/>
    <n v="1"/>
    <s v="Y"/>
    <s v="No"/>
    <n v="13"/>
    <n v="3"/>
    <n v="3"/>
    <n v="80"/>
    <n v="0"/>
    <n v="2"/>
    <n v="3"/>
    <n v="3"/>
    <n v="2"/>
    <n v="2"/>
    <n v="2"/>
    <n v="2"/>
    <x v="0"/>
    <n v="1"/>
    <n v="49680"/>
    <n v="1"/>
    <m/>
    <m/>
  </r>
  <r>
    <n v="29"/>
    <s v="No"/>
    <s v="Travel_Frequently"/>
    <n v="461"/>
    <s v="Research &amp; Development"/>
    <n v="1"/>
    <n v="3"/>
    <s v="Life Sciences"/>
    <n v="1"/>
    <n v="1753"/>
    <n v="4"/>
    <s v="Male"/>
    <n v="70"/>
    <n v="4"/>
    <n v="2"/>
    <s v="Healthcare Representative"/>
    <n v="3"/>
    <s v="Single"/>
    <n v="6294"/>
    <n v="23060"/>
    <n v="8"/>
    <s v="Y"/>
    <s v="Yes"/>
    <n v="12"/>
    <n v="3"/>
    <n v="4"/>
    <n v="80"/>
    <n v="0"/>
    <n v="10"/>
    <n v="5"/>
    <n v="4"/>
    <n v="3"/>
    <n v="2"/>
    <n v="0"/>
    <n v="2"/>
    <x v="3"/>
    <n v="0"/>
    <n v="0"/>
    <n v="1"/>
    <m/>
    <m/>
  </r>
  <r>
    <n v="30"/>
    <s v="No"/>
    <s v="Travel_Rarely"/>
    <n v="979"/>
    <s v="Sales"/>
    <n v="15"/>
    <n v="2"/>
    <s v="Marketing"/>
    <n v="1"/>
    <n v="1754"/>
    <n v="3"/>
    <s v="Male"/>
    <n v="94"/>
    <n v="2"/>
    <n v="3"/>
    <s v="Sales Executive"/>
    <n v="1"/>
    <s v="Divorced"/>
    <n v="7140"/>
    <n v="3088"/>
    <n v="2"/>
    <s v="Y"/>
    <s v="No"/>
    <n v="11"/>
    <n v="3"/>
    <n v="1"/>
    <n v="80"/>
    <n v="1"/>
    <n v="12"/>
    <n v="2"/>
    <n v="3"/>
    <n v="7"/>
    <n v="7"/>
    <n v="1"/>
    <n v="7"/>
    <x v="0"/>
    <n v="0"/>
    <n v="0"/>
    <n v="1"/>
    <m/>
    <m/>
  </r>
  <r>
    <n v="34"/>
    <s v="No"/>
    <s v="Travel_Rarely"/>
    <n v="181"/>
    <s v="Research &amp; Development"/>
    <n v="2"/>
    <n v="4"/>
    <s v="Medical"/>
    <n v="1"/>
    <n v="1755"/>
    <n v="4"/>
    <s v="Male"/>
    <n v="97"/>
    <n v="4"/>
    <n v="1"/>
    <s v="Research Scientist"/>
    <n v="4"/>
    <s v="Married"/>
    <n v="2932"/>
    <n v="5586"/>
    <n v="0"/>
    <s v="Y"/>
    <s v="Yes"/>
    <n v="14"/>
    <n v="3"/>
    <n v="1"/>
    <n v="80"/>
    <n v="3"/>
    <n v="6"/>
    <n v="3"/>
    <n v="3"/>
    <n v="5"/>
    <n v="0"/>
    <n v="1"/>
    <n v="2"/>
    <x v="1"/>
    <n v="0"/>
    <n v="0"/>
    <n v="1"/>
    <m/>
    <m/>
  </r>
  <r>
    <n v="33"/>
    <s v="No"/>
    <s v="Non-Travel"/>
    <n v="1283"/>
    <s v="Sales"/>
    <n v="2"/>
    <n v="3"/>
    <s v="Marketing"/>
    <n v="1"/>
    <n v="1756"/>
    <n v="4"/>
    <s v="Female"/>
    <n v="62"/>
    <n v="3"/>
    <n v="2"/>
    <s v="Sales Executive"/>
    <n v="2"/>
    <s v="Single"/>
    <n v="5147"/>
    <n v="10697"/>
    <n v="8"/>
    <s v="Y"/>
    <s v="No"/>
    <n v="15"/>
    <n v="3"/>
    <n v="4"/>
    <n v="80"/>
    <n v="0"/>
    <n v="13"/>
    <n v="2"/>
    <n v="2"/>
    <n v="11"/>
    <n v="7"/>
    <n v="1"/>
    <n v="7"/>
    <x v="0"/>
    <n v="0"/>
    <n v="0"/>
    <n v="1"/>
    <m/>
    <m/>
  </r>
  <r>
    <n v="49"/>
    <s v="No"/>
    <s v="Travel_Rarely"/>
    <n v="1313"/>
    <s v="Sales"/>
    <n v="11"/>
    <n v="4"/>
    <s v="Marketing"/>
    <n v="1"/>
    <n v="1757"/>
    <n v="4"/>
    <s v="Female"/>
    <n v="80"/>
    <n v="3"/>
    <n v="2"/>
    <s v="Sales Executive"/>
    <n v="4"/>
    <s v="Single"/>
    <n v="4507"/>
    <n v="8191"/>
    <n v="3"/>
    <s v="Y"/>
    <s v="No"/>
    <n v="12"/>
    <n v="3"/>
    <n v="3"/>
    <n v="80"/>
    <n v="0"/>
    <n v="8"/>
    <n v="1"/>
    <n v="4"/>
    <n v="5"/>
    <n v="1"/>
    <n v="0"/>
    <n v="4"/>
    <x v="0"/>
    <n v="0"/>
    <n v="0"/>
    <n v="1"/>
    <m/>
    <m/>
  </r>
  <r>
    <n v="33"/>
    <s v="Yes"/>
    <s v="Travel_Rarely"/>
    <n v="211"/>
    <s v="Sales"/>
    <n v="16"/>
    <n v="3"/>
    <s v="Life Sciences"/>
    <n v="1"/>
    <n v="1758"/>
    <n v="1"/>
    <s v="Female"/>
    <n v="74"/>
    <n v="3"/>
    <n v="3"/>
    <s v="Sales Executive"/>
    <n v="1"/>
    <s v="Single"/>
    <n v="8564"/>
    <n v="10092"/>
    <n v="2"/>
    <s v="Y"/>
    <s v="Yes"/>
    <n v="20"/>
    <n v="4"/>
    <n v="3"/>
    <n v="80"/>
    <n v="0"/>
    <n v="11"/>
    <n v="2"/>
    <n v="2"/>
    <n v="0"/>
    <n v="0"/>
    <n v="0"/>
    <n v="0"/>
    <x v="0"/>
    <n v="1"/>
    <n v="154152"/>
    <n v="1"/>
    <m/>
    <m/>
  </r>
  <r>
    <n v="38"/>
    <s v="No"/>
    <s v="Travel_Frequently"/>
    <n v="594"/>
    <s v="Research &amp; Development"/>
    <n v="2"/>
    <n v="2"/>
    <s v="Medical"/>
    <n v="1"/>
    <n v="1760"/>
    <n v="3"/>
    <s v="Female"/>
    <n v="75"/>
    <n v="2"/>
    <n v="1"/>
    <s v="Laboratory Technician"/>
    <n v="2"/>
    <s v="Married"/>
    <n v="2468"/>
    <n v="15963"/>
    <n v="4"/>
    <s v="Y"/>
    <s v="No"/>
    <n v="14"/>
    <n v="3"/>
    <n v="2"/>
    <n v="80"/>
    <n v="1"/>
    <n v="9"/>
    <n v="4"/>
    <n v="2"/>
    <n v="6"/>
    <n v="1"/>
    <n v="0"/>
    <n v="5"/>
    <x v="1"/>
    <n v="0"/>
    <n v="0"/>
    <n v="1"/>
    <m/>
    <m/>
  </r>
  <r>
    <n v="31"/>
    <s v="Yes"/>
    <s v="Travel_Rarely"/>
    <n v="1079"/>
    <s v="Sales"/>
    <n v="16"/>
    <n v="4"/>
    <s v="Marketing"/>
    <n v="1"/>
    <n v="1761"/>
    <n v="1"/>
    <s v="Male"/>
    <n v="70"/>
    <n v="3"/>
    <n v="3"/>
    <s v="Sales Executive"/>
    <n v="3"/>
    <s v="Married"/>
    <n v="8161"/>
    <n v="19002"/>
    <n v="2"/>
    <s v="Y"/>
    <s v="No"/>
    <n v="13"/>
    <n v="3"/>
    <n v="1"/>
    <n v="80"/>
    <n v="3"/>
    <n v="10"/>
    <n v="2"/>
    <n v="3"/>
    <n v="1"/>
    <n v="0"/>
    <n v="0"/>
    <n v="0"/>
    <x v="0"/>
    <n v="1"/>
    <n v="146898"/>
    <n v="1"/>
    <m/>
    <m/>
  </r>
  <r>
    <n v="29"/>
    <s v="No"/>
    <s v="Travel_Rarely"/>
    <n v="590"/>
    <s v="Research &amp; Development"/>
    <n v="4"/>
    <n v="3"/>
    <s v="Technical Degree"/>
    <n v="1"/>
    <n v="1762"/>
    <n v="4"/>
    <s v="Female"/>
    <n v="91"/>
    <n v="2"/>
    <n v="1"/>
    <s v="Research Scientist"/>
    <n v="1"/>
    <s v="Divorced"/>
    <n v="2109"/>
    <n v="10007"/>
    <n v="1"/>
    <s v="Y"/>
    <s v="No"/>
    <n v="13"/>
    <n v="3"/>
    <n v="3"/>
    <n v="80"/>
    <n v="1"/>
    <n v="1"/>
    <n v="2"/>
    <n v="3"/>
    <n v="1"/>
    <n v="0"/>
    <n v="0"/>
    <n v="0"/>
    <x v="1"/>
    <n v="0"/>
    <n v="0"/>
    <n v="1"/>
    <m/>
    <m/>
  </r>
  <r>
    <n v="30"/>
    <s v="No"/>
    <s v="Travel_Rarely"/>
    <n v="305"/>
    <s v="Research &amp; Development"/>
    <n v="16"/>
    <n v="3"/>
    <s v="Life Sciences"/>
    <n v="1"/>
    <n v="1763"/>
    <n v="3"/>
    <s v="Male"/>
    <n v="58"/>
    <n v="4"/>
    <n v="2"/>
    <s v="Healthcare Representative"/>
    <n v="3"/>
    <s v="Married"/>
    <n v="5294"/>
    <n v="9128"/>
    <n v="3"/>
    <s v="Y"/>
    <s v="No"/>
    <n v="16"/>
    <n v="3"/>
    <n v="3"/>
    <n v="80"/>
    <n v="1"/>
    <n v="10"/>
    <n v="3"/>
    <n v="3"/>
    <n v="7"/>
    <n v="0"/>
    <n v="1"/>
    <n v="7"/>
    <x v="3"/>
    <n v="0"/>
    <n v="0"/>
    <n v="1"/>
    <m/>
    <m/>
  </r>
  <r>
    <n v="32"/>
    <s v="No"/>
    <s v="Non-Travel"/>
    <n v="953"/>
    <s v="Research &amp; Development"/>
    <n v="5"/>
    <n v="4"/>
    <s v="Technical Degree"/>
    <n v="1"/>
    <n v="1764"/>
    <n v="2"/>
    <s v="Male"/>
    <n v="65"/>
    <n v="3"/>
    <n v="1"/>
    <s v="Research Scientist"/>
    <n v="2"/>
    <s v="Single"/>
    <n v="2718"/>
    <n v="17674"/>
    <n v="2"/>
    <s v="Y"/>
    <s v="No"/>
    <n v="14"/>
    <n v="3"/>
    <n v="2"/>
    <n v="80"/>
    <n v="0"/>
    <n v="12"/>
    <n v="3"/>
    <n v="3"/>
    <n v="7"/>
    <n v="7"/>
    <n v="0"/>
    <n v="7"/>
    <x v="1"/>
    <n v="0"/>
    <n v="0"/>
    <n v="1"/>
    <m/>
    <m/>
  </r>
  <r>
    <n v="38"/>
    <s v="No"/>
    <s v="Travel_Rarely"/>
    <n v="833"/>
    <s v="Research &amp; Development"/>
    <n v="18"/>
    <n v="3"/>
    <s v="Medical"/>
    <n v="1"/>
    <n v="1766"/>
    <n v="2"/>
    <s v="Male"/>
    <n v="60"/>
    <n v="1"/>
    <n v="2"/>
    <s v="Healthcare Representative"/>
    <n v="4"/>
    <s v="Married"/>
    <n v="5811"/>
    <n v="24539"/>
    <n v="3"/>
    <s v="Y"/>
    <s v="Yes"/>
    <n v="16"/>
    <n v="3"/>
    <n v="3"/>
    <n v="80"/>
    <n v="1"/>
    <n v="15"/>
    <n v="2"/>
    <n v="3"/>
    <n v="1"/>
    <n v="0"/>
    <n v="1"/>
    <n v="0"/>
    <x v="3"/>
    <n v="0"/>
    <n v="0"/>
    <n v="1"/>
    <m/>
    <m/>
  </r>
  <r>
    <n v="43"/>
    <s v="Yes"/>
    <s v="Travel_Frequently"/>
    <n v="807"/>
    <s v="Research &amp; Development"/>
    <n v="17"/>
    <n v="3"/>
    <s v="Technical Degree"/>
    <n v="1"/>
    <n v="1767"/>
    <n v="3"/>
    <s v="Male"/>
    <n v="38"/>
    <n v="2"/>
    <n v="1"/>
    <s v="Research Scientist"/>
    <n v="3"/>
    <s v="Married"/>
    <n v="2437"/>
    <n v="15587"/>
    <n v="9"/>
    <s v="Y"/>
    <s v="Yes"/>
    <n v="16"/>
    <n v="3"/>
    <n v="4"/>
    <n v="80"/>
    <n v="1"/>
    <n v="6"/>
    <n v="4"/>
    <n v="3"/>
    <n v="1"/>
    <n v="0"/>
    <n v="0"/>
    <n v="0"/>
    <x v="1"/>
    <n v="1"/>
    <n v="43866"/>
    <n v="1"/>
    <m/>
    <m/>
  </r>
  <r>
    <n v="42"/>
    <s v="No"/>
    <s v="Travel_Rarely"/>
    <n v="855"/>
    <s v="Research &amp; Development"/>
    <n v="12"/>
    <n v="3"/>
    <s v="Medical"/>
    <n v="1"/>
    <n v="1768"/>
    <n v="2"/>
    <s v="Male"/>
    <n v="57"/>
    <n v="3"/>
    <n v="1"/>
    <s v="Laboratory Technician"/>
    <n v="2"/>
    <s v="Divorced"/>
    <n v="2766"/>
    <n v="8952"/>
    <n v="8"/>
    <s v="Y"/>
    <s v="No"/>
    <n v="22"/>
    <n v="4"/>
    <n v="2"/>
    <n v="80"/>
    <n v="3"/>
    <n v="7"/>
    <n v="6"/>
    <n v="2"/>
    <n v="5"/>
    <n v="3"/>
    <n v="0"/>
    <n v="4"/>
    <x v="1"/>
    <n v="0"/>
    <n v="0"/>
    <n v="1"/>
    <m/>
    <m/>
  </r>
  <r>
    <n v="55"/>
    <s v="No"/>
    <s v="Travel_Rarely"/>
    <n v="478"/>
    <s v="Research &amp; Development"/>
    <n v="2"/>
    <n v="3"/>
    <s v="Medical"/>
    <n v="1"/>
    <n v="1770"/>
    <n v="3"/>
    <s v="Male"/>
    <n v="60"/>
    <n v="2"/>
    <n v="5"/>
    <s v="Research Director"/>
    <n v="1"/>
    <s v="Married"/>
    <n v="19038"/>
    <n v="19805"/>
    <n v="8"/>
    <s v="Y"/>
    <s v="No"/>
    <n v="12"/>
    <n v="3"/>
    <n v="2"/>
    <n v="80"/>
    <n v="3"/>
    <n v="34"/>
    <n v="2"/>
    <n v="3"/>
    <n v="1"/>
    <n v="0"/>
    <n v="0"/>
    <n v="0"/>
    <x v="1"/>
    <n v="0"/>
    <n v="0"/>
    <n v="1"/>
    <m/>
    <m/>
  </r>
  <r>
    <n v="33"/>
    <s v="No"/>
    <s v="Non-Travel"/>
    <n v="775"/>
    <s v="Research &amp; Development"/>
    <n v="4"/>
    <n v="3"/>
    <s v="Technical Degree"/>
    <n v="1"/>
    <n v="1771"/>
    <n v="4"/>
    <s v="Male"/>
    <n v="90"/>
    <n v="3"/>
    <n v="2"/>
    <s v="Research Scientist"/>
    <n v="2"/>
    <s v="Divorced"/>
    <n v="3055"/>
    <n v="6194"/>
    <n v="5"/>
    <s v="Y"/>
    <s v="No"/>
    <n v="15"/>
    <n v="3"/>
    <n v="4"/>
    <n v="80"/>
    <n v="2"/>
    <n v="11"/>
    <n v="2"/>
    <n v="2"/>
    <n v="9"/>
    <n v="8"/>
    <n v="1"/>
    <n v="7"/>
    <x v="1"/>
    <n v="0"/>
    <n v="0"/>
    <n v="1"/>
    <m/>
    <m/>
  </r>
  <r>
    <n v="41"/>
    <s v="No"/>
    <s v="Travel_Rarely"/>
    <n v="548"/>
    <s v="Research &amp; Development"/>
    <n v="9"/>
    <n v="4"/>
    <s v="Life Sciences"/>
    <n v="1"/>
    <n v="1772"/>
    <n v="3"/>
    <s v="Male"/>
    <n v="94"/>
    <n v="3"/>
    <n v="1"/>
    <s v="Laboratory Technician"/>
    <n v="1"/>
    <s v="Divorced"/>
    <n v="2289"/>
    <n v="20520"/>
    <n v="1"/>
    <s v="Y"/>
    <s v="No"/>
    <n v="20"/>
    <n v="4"/>
    <n v="2"/>
    <n v="80"/>
    <n v="2"/>
    <n v="5"/>
    <n v="2"/>
    <n v="3"/>
    <n v="5"/>
    <n v="3"/>
    <n v="0"/>
    <n v="4"/>
    <x v="1"/>
    <n v="0"/>
    <n v="0"/>
    <n v="1"/>
    <m/>
    <m/>
  </r>
  <r>
    <n v="34"/>
    <s v="No"/>
    <s v="Non-Travel"/>
    <n v="1375"/>
    <s v="Sales"/>
    <n v="10"/>
    <n v="3"/>
    <s v="Life Sciences"/>
    <n v="1"/>
    <n v="1774"/>
    <n v="4"/>
    <s v="Male"/>
    <n v="87"/>
    <n v="3"/>
    <n v="2"/>
    <s v="Sales Executive"/>
    <n v="3"/>
    <s v="Divorced"/>
    <n v="4001"/>
    <n v="12313"/>
    <n v="1"/>
    <s v="Y"/>
    <s v="Yes"/>
    <n v="14"/>
    <n v="3"/>
    <n v="3"/>
    <n v="80"/>
    <n v="1"/>
    <n v="15"/>
    <n v="3"/>
    <n v="3"/>
    <n v="15"/>
    <n v="14"/>
    <n v="0"/>
    <n v="7"/>
    <x v="0"/>
    <n v="0"/>
    <n v="0"/>
    <n v="1"/>
    <m/>
    <m/>
  </r>
  <r>
    <n v="53"/>
    <s v="No"/>
    <s v="Non-Travel"/>
    <n v="661"/>
    <s v="Research &amp; Development"/>
    <n v="1"/>
    <n v="4"/>
    <s v="Medical"/>
    <n v="1"/>
    <n v="1775"/>
    <n v="1"/>
    <s v="Female"/>
    <n v="60"/>
    <n v="2"/>
    <n v="4"/>
    <s v="Manufacturing Director"/>
    <n v="3"/>
    <s v="Married"/>
    <n v="12965"/>
    <n v="22308"/>
    <n v="4"/>
    <s v="Y"/>
    <s v="Yes"/>
    <n v="20"/>
    <n v="4"/>
    <n v="4"/>
    <n v="80"/>
    <n v="3"/>
    <n v="27"/>
    <n v="2"/>
    <n v="2"/>
    <n v="3"/>
    <n v="2"/>
    <n v="0"/>
    <n v="2"/>
    <x v="2"/>
    <n v="0"/>
    <n v="0"/>
    <n v="1"/>
    <m/>
    <m/>
  </r>
  <r>
    <n v="43"/>
    <s v="No"/>
    <s v="Travel_Rarely"/>
    <n v="244"/>
    <s v="Human Resources"/>
    <n v="2"/>
    <n v="3"/>
    <s v="Life Sciences"/>
    <n v="1"/>
    <n v="1778"/>
    <n v="2"/>
    <s v="Male"/>
    <n v="97"/>
    <n v="3"/>
    <n v="1"/>
    <s v="Human Resources"/>
    <n v="4"/>
    <s v="Single"/>
    <n v="3539"/>
    <n v="5033"/>
    <n v="0"/>
    <s v="Y"/>
    <s v="No"/>
    <n v="13"/>
    <n v="3"/>
    <n v="2"/>
    <n v="80"/>
    <n v="0"/>
    <n v="10"/>
    <n v="5"/>
    <n v="3"/>
    <n v="9"/>
    <n v="7"/>
    <n v="1"/>
    <n v="8"/>
    <x v="5"/>
    <n v="0"/>
    <n v="0"/>
    <n v="1"/>
    <m/>
    <m/>
  </r>
  <r>
    <n v="34"/>
    <s v="No"/>
    <s v="Travel_Rarely"/>
    <n v="511"/>
    <s v="Sales"/>
    <n v="3"/>
    <n v="2"/>
    <s v="Life Sciences"/>
    <n v="1"/>
    <n v="1779"/>
    <n v="4"/>
    <s v="Female"/>
    <n v="32"/>
    <n v="1"/>
    <n v="2"/>
    <s v="Sales Executive"/>
    <n v="4"/>
    <s v="Single"/>
    <n v="6029"/>
    <n v="25353"/>
    <n v="5"/>
    <s v="Y"/>
    <s v="No"/>
    <n v="12"/>
    <n v="3"/>
    <n v="1"/>
    <n v="80"/>
    <n v="0"/>
    <n v="6"/>
    <n v="3"/>
    <n v="3"/>
    <n v="2"/>
    <n v="2"/>
    <n v="2"/>
    <n v="2"/>
    <x v="0"/>
    <n v="0"/>
    <n v="0"/>
    <n v="1"/>
    <m/>
    <m/>
  </r>
  <r>
    <n v="21"/>
    <s v="Yes"/>
    <s v="Travel_Rarely"/>
    <n v="337"/>
    <s v="Sales"/>
    <n v="7"/>
    <n v="1"/>
    <s v="Marketing"/>
    <n v="1"/>
    <n v="1780"/>
    <n v="2"/>
    <s v="Male"/>
    <n v="31"/>
    <n v="3"/>
    <n v="1"/>
    <s v="Sales Representative"/>
    <n v="2"/>
    <s v="Single"/>
    <n v="2679"/>
    <n v="4567"/>
    <n v="1"/>
    <s v="Y"/>
    <s v="No"/>
    <n v="13"/>
    <n v="3"/>
    <n v="2"/>
    <n v="80"/>
    <n v="0"/>
    <n v="1"/>
    <n v="3"/>
    <n v="3"/>
    <n v="1"/>
    <n v="0"/>
    <n v="1"/>
    <n v="0"/>
    <x v="0"/>
    <n v="1"/>
    <n v="48222"/>
    <n v="1"/>
    <m/>
    <m/>
  </r>
  <r>
    <n v="38"/>
    <s v="No"/>
    <s v="Travel_Rarely"/>
    <n v="1153"/>
    <s v="Research &amp; Development"/>
    <n v="6"/>
    <n v="2"/>
    <s v="Other"/>
    <n v="1"/>
    <n v="1782"/>
    <n v="4"/>
    <s v="Female"/>
    <n v="40"/>
    <n v="2"/>
    <n v="1"/>
    <s v="Laboratory Technician"/>
    <n v="3"/>
    <s v="Married"/>
    <n v="3702"/>
    <n v="16376"/>
    <n v="1"/>
    <s v="Y"/>
    <s v="No"/>
    <n v="11"/>
    <n v="3"/>
    <n v="2"/>
    <n v="80"/>
    <n v="1"/>
    <n v="5"/>
    <n v="3"/>
    <n v="3"/>
    <n v="5"/>
    <n v="4"/>
    <n v="0"/>
    <n v="4"/>
    <x v="1"/>
    <n v="0"/>
    <n v="0"/>
    <n v="1"/>
    <m/>
    <m/>
  </r>
  <r>
    <n v="22"/>
    <s v="Yes"/>
    <s v="Travel_Rarely"/>
    <n v="1294"/>
    <s v="Research &amp; Development"/>
    <n v="8"/>
    <n v="1"/>
    <s v="Medical"/>
    <n v="1"/>
    <n v="1783"/>
    <n v="3"/>
    <s v="Female"/>
    <n v="79"/>
    <n v="3"/>
    <n v="1"/>
    <s v="Laboratory Technician"/>
    <n v="1"/>
    <s v="Married"/>
    <n v="2398"/>
    <n v="15999"/>
    <n v="1"/>
    <s v="Y"/>
    <s v="Yes"/>
    <n v="17"/>
    <n v="3"/>
    <n v="3"/>
    <n v="80"/>
    <n v="0"/>
    <n v="1"/>
    <n v="6"/>
    <n v="3"/>
    <n v="1"/>
    <n v="0"/>
    <n v="0"/>
    <n v="0"/>
    <x v="1"/>
    <n v="1"/>
    <n v="43164"/>
    <n v="1"/>
    <m/>
    <m/>
  </r>
  <r>
    <n v="31"/>
    <s v="No"/>
    <s v="Travel_Rarely"/>
    <n v="196"/>
    <s v="Sales"/>
    <n v="29"/>
    <n v="4"/>
    <s v="Marketing"/>
    <n v="1"/>
    <n v="1784"/>
    <n v="1"/>
    <s v="Female"/>
    <n v="91"/>
    <n v="2"/>
    <n v="2"/>
    <s v="Sales Executive"/>
    <n v="4"/>
    <s v="Married"/>
    <n v="5468"/>
    <n v="13402"/>
    <n v="1"/>
    <s v="Y"/>
    <s v="No"/>
    <n v="14"/>
    <n v="3"/>
    <n v="1"/>
    <n v="80"/>
    <n v="2"/>
    <n v="13"/>
    <n v="3"/>
    <n v="3"/>
    <n v="12"/>
    <n v="7"/>
    <n v="5"/>
    <n v="7"/>
    <x v="0"/>
    <n v="0"/>
    <n v="0"/>
    <n v="1"/>
    <m/>
    <m/>
  </r>
  <r>
    <n v="51"/>
    <s v="No"/>
    <s v="Travel_Rarely"/>
    <n v="942"/>
    <s v="Research &amp; Development"/>
    <n v="3"/>
    <n v="3"/>
    <s v="Technical Degree"/>
    <n v="1"/>
    <n v="1786"/>
    <n v="1"/>
    <s v="Female"/>
    <n v="53"/>
    <n v="3"/>
    <n v="3"/>
    <s v="Manager"/>
    <n v="3"/>
    <s v="Married"/>
    <n v="13116"/>
    <n v="22984"/>
    <n v="2"/>
    <s v="Y"/>
    <s v="No"/>
    <n v="11"/>
    <n v="3"/>
    <n v="4"/>
    <n v="80"/>
    <n v="0"/>
    <n v="15"/>
    <n v="2"/>
    <n v="3"/>
    <n v="2"/>
    <n v="2"/>
    <n v="2"/>
    <n v="2"/>
    <x v="4"/>
    <n v="0"/>
    <n v="0"/>
    <n v="1"/>
    <m/>
    <m/>
  </r>
  <r>
    <n v="37"/>
    <s v="No"/>
    <s v="Travel_Rarely"/>
    <n v="589"/>
    <s v="Sales"/>
    <n v="9"/>
    <n v="2"/>
    <s v="Marketing"/>
    <n v="1"/>
    <n v="1787"/>
    <n v="2"/>
    <s v="Male"/>
    <n v="46"/>
    <n v="2"/>
    <n v="2"/>
    <s v="Sales Executive"/>
    <n v="2"/>
    <s v="Married"/>
    <n v="4189"/>
    <n v="8800"/>
    <n v="1"/>
    <s v="Y"/>
    <s v="No"/>
    <n v="14"/>
    <n v="3"/>
    <n v="1"/>
    <n v="80"/>
    <n v="2"/>
    <n v="5"/>
    <n v="2"/>
    <n v="3"/>
    <n v="5"/>
    <n v="2"/>
    <n v="0"/>
    <n v="3"/>
    <x v="0"/>
    <n v="0"/>
    <n v="0"/>
    <n v="1"/>
    <m/>
    <m/>
  </r>
  <r>
    <n v="46"/>
    <s v="No"/>
    <s v="Travel_Rarely"/>
    <n v="734"/>
    <s v="Research &amp; Development"/>
    <n v="2"/>
    <n v="4"/>
    <s v="Medical"/>
    <n v="1"/>
    <n v="1789"/>
    <n v="3"/>
    <s v="Male"/>
    <n v="46"/>
    <n v="3"/>
    <n v="5"/>
    <s v="Research Director"/>
    <n v="4"/>
    <s v="Divorced"/>
    <n v="19328"/>
    <n v="14218"/>
    <n v="7"/>
    <s v="Y"/>
    <s v="Yes"/>
    <n v="17"/>
    <n v="3"/>
    <n v="3"/>
    <n v="80"/>
    <n v="1"/>
    <n v="24"/>
    <n v="3"/>
    <n v="3"/>
    <n v="2"/>
    <n v="1"/>
    <n v="2"/>
    <n v="2"/>
    <x v="1"/>
    <n v="0"/>
    <n v="0"/>
    <n v="1"/>
    <m/>
    <m/>
  </r>
  <r>
    <n v="36"/>
    <s v="No"/>
    <s v="Travel_Rarely"/>
    <n v="1383"/>
    <s v="Research &amp; Development"/>
    <n v="10"/>
    <n v="3"/>
    <s v="Life Sciences"/>
    <n v="1"/>
    <n v="1790"/>
    <n v="4"/>
    <s v="Male"/>
    <n v="90"/>
    <n v="3"/>
    <n v="3"/>
    <s v="Healthcare Representative"/>
    <n v="1"/>
    <s v="Married"/>
    <n v="8321"/>
    <n v="25949"/>
    <n v="7"/>
    <s v="Y"/>
    <s v="Yes"/>
    <n v="13"/>
    <n v="3"/>
    <n v="4"/>
    <n v="80"/>
    <n v="1"/>
    <n v="15"/>
    <n v="1"/>
    <n v="3"/>
    <n v="12"/>
    <n v="8"/>
    <n v="5"/>
    <n v="7"/>
    <x v="3"/>
    <n v="0"/>
    <n v="0"/>
    <n v="1"/>
    <m/>
    <m/>
  </r>
  <r>
    <n v="44"/>
    <s v="Yes"/>
    <s v="Travel_Frequently"/>
    <n v="429"/>
    <s v="Research &amp; Development"/>
    <n v="1"/>
    <n v="2"/>
    <s v="Medical"/>
    <n v="1"/>
    <n v="1792"/>
    <n v="3"/>
    <s v="Male"/>
    <n v="99"/>
    <n v="3"/>
    <n v="1"/>
    <s v="Research Scientist"/>
    <n v="2"/>
    <s v="Divorced"/>
    <n v="2342"/>
    <n v="11092"/>
    <n v="1"/>
    <s v="Y"/>
    <s v="Yes"/>
    <n v="12"/>
    <n v="3"/>
    <n v="3"/>
    <n v="80"/>
    <n v="3"/>
    <n v="6"/>
    <n v="2"/>
    <n v="2"/>
    <n v="5"/>
    <n v="3"/>
    <n v="2"/>
    <n v="3"/>
    <x v="1"/>
    <n v="1"/>
    <n v="42156"/>
    <n v="1"/>
    <m/>
    <m/>
  </r>
  <r>
    <n v="37"/>
    <s v="No"/>
    <s v="Travel_Rarely"/>
    <n v="1239"/>
    <s v="Human Resources"/>
    <n v="8"/>
    <n v="2"/>
    <s v="Other"/>
    <n v="1"/>
    <n v="1794"/>
    <n v="3"/>
    <s v="Male"/>
    <n v="89"/>
    <n v="3"/>
    <n v="2"/>
    <s v="Human Resources"/>
    <n v="2"/>
    <s v="Divorced"/>
    <n v="4071"/>
    <n v="12832"/>
    <n v="2"/>
    <s v="Y"/>
    <s v="No"/>
    <n v="13"/>
    <n v="3"/>
    <n v="3"/>
    <n v="80"/>
    <n v="0"/>
    <n v="19"/>
    <n v="4"/>
    <n v="2"/>
    <n v="10"/>
    <n v="0"/>
    <n v="4"/>
    <n v="7"/>
    <x v="5"/>
    <n v="0"/>
    <n v="0"/>
    <n v="1"/>
    <m/>
    <m/>
  </r>
  <r>
    <n v="35"/>
    <s v="Yes"/>
    <s v="Travel_Rarely"/>
    <n v="303"/>
    <s v="Sales"/>
    <n v="27"/>
    <n v="3"/>
    <s v="Life Sciences"/>
    <n v="1"/>
    <n v="1797"/>
    <n v="3"/>
    <s v="Male"/>
    <n v="84"/>
    <n v="3"/>
    <n v="2"/>
    <s v="Sales Executive"/>
    <n v="4"/>
    <s v="Single"/>
    <n v="5813"/>
    <n v="13492"/>
    <n v="1"/>
    <s v="Y"/>
    <s v="Yes"/>
    <n v="18"/>
    <n v="3"/>
    <n v="4"/>
    <n v="80"/>
    <n v="0"/>
    <n v="10"/>
    <n v="2"/>
    <n v="3"/>
    <n v="10"/>
    <n v="7"/>
    <n v="7"/>
    <n v="7"/>
    <x v="0"/>
    <n v="1"/>
    <n v="104634"/>
    <n v="1"/>
    <m/>
    <m/>
  </r>
  <r>
    <n v="33"/>
    <s v="No"/>
    <s v="Travel_Rarely"/>
    <n v="867"/>
    <s v="Research &amp; Development"/>
    <n v="8"/>
    <n v="4"/>
    <s v="Life Sciences"/>
    <n v="1"/>
    <n v="1798"/>
    <n v="4"/>
    <s v="Male"/>
    <n v="90"/>
    <n v="4"/>
    <n v="1"/>
    <s v="Research Scientist"/>
    <n v="1"/>
    <s v="Married"/>
    <n v="3143"/>
    <n v="6076"/>
    <n v="6"/>
    <s v="Y"/>
    <s v="No"/>
    <n v="19"/>
    <n v="3"/>
    <n v="2"/>
    <n v="80"/>
    <n v="1"/>
    <n v="14"/>
    <n v="1"/>
    <n v="3"/>
    <n v="10"/>
    <n v="8"/>
    <n v="7"/>
    <n v="6"/>
    <x v="1"/>
    <n v="0"/>
    <n v="0"/>
    <n v="1"/>
    <m/>
    <m/>
  </r>
  <r>
    <n v="28"/>
    <s v="No"/>
    <s v="Travel_Rarely"/>
    <n v="1181"/>
    <s v="Research &amp; Development"/>
    <n v="1"/>
    <n v="3"/>
    <s v="Life Sciences"/>
    <n v="1"/>
    <n v="1799"/>
    <n v="3"/>
    <s v="Male"/>
    <n v="82"/>
    <n v="3"/>
    <n v="1"/>
    <s v="Research Scientist"/>
    <n v="4"/>
    <s v="Married"/>
    <n v="2044"/>
    <n v="5531"/>
    <n v="1"/>
    <s v="Y"/>
    <s v="No"/>
    <n v="11"/>
    <n v="3"/>
    <n v="3"/>
    <n v="80"/>
    <n v="1"/>
    <n v="5"/>
    <n v="6"/>
    <n v="4"/>
    <n v="5"/>
    <n v="3"/>
    <n v="0"/>
    <n v="3"/>
    <x v="1"/>
    <n v="0"/>
    <n v="0"/>
    <n v="1"/>
    <m/>
    <m/>
  </r>
  <r>
    <n v="39"/>
    <s v="No"/>
    <s v="Travel_Rarely"/>
    <n v="1253"/>
    <s v="Research &amp; Development"/>
    <n v="10"/>
    <n v="1"/>
    <s v="Medical"/>
    <n v="1"/>
    <n v="1800"/>
    <n v="3"/>
    <s v="Male"/>
    <n v="65"/>
    <n v="3"/>
    <n v="3"/>
    <s v="Research Director"/>
    <n v="3"/>
    <s v="Single"/>
    <n v="13464"/>
    <n v="7914"/>
    <n v="7"/>
    <s v="Y"/>
    <s v="No"/>
    <n v="21"/>
    <n v="4"/>
    <n v="3"/>
    <n v="80"/>
    <n v="0"/>
    <n v="9"/>
    <n v="3"/>
    <n v="3"/>
    <n v="4"/>
    <n v="3"/>
    <n v="2"/>
    <n v="2"/>
    <x v="1"/>
    <n v="0"/>
    <n v="0"/>
    <n v="1"/>
    <m/>
    <m/>
  </r>
  <r>
    <n v="46"/>
    <s v="No"/>
    <s v="Non-Travel"/>
    <n v="849"/>
    <s v="Sales"/>
    <n v="26"/>
    <n v="2"/>
    <s v="Life Sciences"/>
    <n v="1"/>
    <n v="1801"/>
    <n v="2"/>
    <s v="Male"/>
    <n v="98"/>
    <n v="2"/>
    <n v="2"/>
    <s v="Sales Executive"/>
    <n v="2"/>
    <s v="Single"/>
    <n v="7991"/>
    <n v="25166"/>
    <n v="8"/>
    <s v="Y"/>
    <s v="No"/>
    <n v="15"/>
    <n v="3"/>
    <n v="3"/>
    <n v="80"/>
    <n v="0"/>
    <n v="6"/>
    <n v="3"/>
    <n v="3"/>
    <n v="2"/>
    <n v="2"/>
    <n v="2"/>
    <n v="2"/>
    <x v="0"/>
    <n v="0"/>
    <n v="0"/>
    <n v="1"/>
    <m/>
    <m/>
  </r>
  <r>
    <n v="40"/>
    <s v="No"/>
    <s v="Travel_Rarely"/>
    <n v="616"/>
    <s v="Research &amp; Development"/>
    <n v="2"/>
    <n v="2"/>
    <s v="Life Sciences"/>
    <n v="1"/>
    <n v="1802"/>
    <n v="3"/>
    <s v="Female"/>
    <n v="99"/>
    <n v="3"/>
    <n v="1"/>
    <s v="Laboratory Technician"/>
    <n v="1"/>
    <s v="Married"/>
    <n v="3377"/>
    <n v="25605"/>
    <n v="4"/>
    <s v="Y"/>
    <s v="No"/>
    <n v="17"/>
    <n v="3"/>
    <n v="4"/>
    <n v="80"/>
    <n v="1"/>
    <n v="7"/>
    <n v="5"/>
    <n v="2"/>
    <n v="4"/>
    <n v="3"/>
    <n v="0"/>
    <n v="2"/>
    <x v="1"/>
    <n v="0"/>
    <n v="0"/>
    <n v="1"/>
    <m/>
    <m/>
  </r>
  <r>
    <n v="42"/>
    <s v="No"/>
    <s v="Travel_Rarely"/>
    <n v="1128"/>
    <s v="Research &amp; Development"/>
    <n v="13"/>
    <n v="3"/>
    <s v="Medical"/>
    <n v="1"/>
    <n v="1803"/>
    <n v="2"/>
    <s v="Male"/>
    <n v="95"/>
    <n v="4"/>
    <n v="2"/>
    <s v="Healthcare Representative"/>
    <n v="1"/>
    <s v="Married"/>
    <n v="5538"/>
    <n v="5696"/>
    <n v="5"/>
    <s v="Y"/>
    <s v="No"/>
    <n v="18"/>
    <n v="3"/>
    <n v="3"/>
    <n v="80"/>
    <n v="2"/>
    <n v="10"/>
    <n v="2"/>
    <n v="2"/>
    <n v="0"/>
    <n v="0"/>
    <n v="0"/>
    <n v="0"/>
    <x v="3"/>
    <n v="0"/>
    <n v="0"/>
    <n v="1"/>
    <m/>
    <m/>
  </r>
  <r>
    <n v="35"/>
    <s v="No"/>
    <s v="Non-Travel"/>
    <n v="1180"/>
    <s v="Research &amp; Development"/>
    <n v="2"/>
    <n v="2"/>
    <s v="Medical"/>
    <n v="1"/>
    <n v="1804"/>
    <n v="2"/>
    <s v="Male"/>
    <n v="90"/>
    <n v="3"/>
    <n v="2"/>
    <s v="Manufacturing Director"/>
    <n v="4"/>
    <s v="Divorced"/>
    <n v="5762"/>
    <n v="24442"/>
    <n v="2"/>
    <s v="Y"/>
    <s v="No"/>
    <n v="14"/>
    <n v="3"/>
    <n v="3"/>
    <n v="80"/>
    <n v="1"/>
    <n v="15"/>
    <n v="6"/>
    <n v="3"/>
    <n v="7"/>
    <n v="7"/>
    <n v="1"/>
    <n v="7"/>
    <x v="2"/>
    <n v="0"/>
    <n v="0"/>
    <n v="1"/>
    <m/>
    <m/>
  </r>
  <r>
    <n v="38"/>
    <s v="No"/>
    <s v="Non-Travel"/>
    <n v="1336"/>
    <s v="Human Resources"/>
    <n v="2"/>
    <n v="3"/>
    <s v="Human Resources"/>
    <n v="1"/>
    <n v="1805"/>
    <n v="1"/>
    <s v="Male"/>
    <n v="100"/>
    <n v="3"/>
    <n v="1"/>
    <s v="Human Resources"/>
    <n v="2"/>
    <s v="Divorced"/>
    <n v="2592"/>
    <n v="7129"/>
    <n v="5"/>
    <s v="Y"/>
    <s v="No"/>
    <n v="13"/>
    <n v="3"/>
    <n v="4"/>
    <n v="80"/>
    <n v="3"/>
    <n v="13"/>
    <n v="3"/>
    <n v="3"/>
    <n v="11"/>
    <n v="10"/>
    <n v="3"/>
    <n v="8"/>
    <x v="5"/>
    <n v="0"/>
    <n v="0"/>
    <n v="1"/>
    <m/>
    <m/>
  </r>
  <r>
    <n v="34"/>
    <s v="Yes"/>
    <s v="Travel_Frequently"/>
    <n v="234"/>
    <s v="Research &amp; Development"/>
    <n v="9"/>
    <n v="4"/>
    <s v="Life Sciences"/>
    <n v="1"/>
    <n v="1807"/>
    <n v="4"/>
    <s v="Male"/>
    <n v="93"/>
    <n v="3"/>
    <n v="2"/>
    <s v="Laboratory Technician"/>
    <n v="1"/>
    <s v="Married"/>
    <n v="5346"/>
    <n v="6208"/>
    <n v="4"/>
    <s v="Y"/>
    <s v="No"/>
    <n v="17"/>
    <n v="3"/>
    <n v="3"/>
    <n v="80"/>
    <n v="1"/>
    <n v="11"/>
    <n v="3"/>
    <n v="2"/>
    <n v="7"/>
    <n v="1"/>
    <n v="0"/>
    <n v="7"/>
    <x v="1"/>
    <n v="1"/>
    <n v="96228"/>
    <n v="1"/>
    <m/>
    <m/>
  </r>
  <r>
    <n v="37"/>
    <s v="Yes"/>
    <s v="Travel_Rarely"/>
    <n v="370"/>
    <s v="Research &amp; Development"/>
    <n v="10"/>
    <n v="4"/>
    <s v="Medical"/>
    <n v="1"/>
    <n v="1809"/>
    <n v="4"/>
    <s v="Male"/>
    <n v="58"/>
    <n v="3"/>
    <n v="2"/>
    <s v="Manufacturing Director"/>
    <n v="1"/>
    <s v="Single"/>
    <n v="4213"/>
    <n v="4992"/>
    <n v="1"/>
    <s v="Y"/>
    <s v="No"/>
    <n v="15"/>
    <n v="3"/>
    <n v="2"/>
    <n v="80"/>
    <n v="0"/>
    <n v="10"/>
    <n v="4"/>
    <n v="1"/>
    <n v="10"/>
    <n v="3"/>
    <n v="0"/>
    <n v="8"/>
    <x v="2"/>
    <n v="1"/>
    <n v="75834"/>
    <n v="1"/>
    <m/>
    <m/>
  </r>
  <r>
    <n v="39"/>
    <s v="No"/>
    <s v="Travel_Frequently"/>
    <n v="766"/>
    <s v="Sales"/>
    <n v="20"/>
    <n v="3"/>
    <s v="Life Sciences"/>
    <n v="1"/>
    <n v="1812"/>
    <n v="3"/>
    <s v="Male"/>
    <n v="83"/>
    <n v="3"/>
    <n v="2"/>
    <s v="Sales Executive"/>
    <n v="4"/>
    <s v="Divorced"/>
    <n v="4127"/>
    <n v="19188"/>
    <n v="2"/>
    <s v="Y"/>
    <s v="No"/>
    <n v="18"/>
    <n v="3"/>
    <n v="4"/>
    <n v="80"/>
    <n v="1"/>
    <n v="7"/>
    <n v="6"/>
    <n v="3"/>
    <n v="2"/>
    <n v="1"/>
    <n v="2"/>
    <n v="2"/>
    <x v="0"/>
    <n v="0"/>
    <n v="0"/>
    <n v="1"/>
    <m/>
    <m/>
  </r>
  <r>
    <n v="43"/>
    <s v="No"/>
    <s v="Non-Travel"/>
    <n v="343"/>
    <s v="Research &amp; Development"/>
    <n v="9"/>
    <n v="3"/>
    <s v="Life Sciences"/>
    <n v="1"/>
    <n v="1813"/>
    <n v="1"/>
    <s v="Male"/>
    <n v="52"/>
    <n v="3"/>
    <n v="1"/>
    <s v="Research Scientist"/>
    <n v="3"/>
    <s v="Single"/>
    <n v="2438"/>
    <n v="24978"/>
    <n v="4"/>
    <s v="Y"/>
    <s v="No"/>
    <n v="13"/>
    <n v="3"/>
    <n v="3"/>
    <n v="80"/>
    <n v="0"/>
    <n v="7"/>
    <n v="2"/>
    <n v="2"/>
    <n v="3"/>
    <n v="2"/>
    <n v="1"/>
    <n v="2"/>
    <x v="1"/>
    <n v="0"/>
    <n v="0"/>
    <n v="1"/>
    <m/>
    <m/>
  </r>
  <r>
    <n v="41"/>
    <s v="No"/>
    <s v="Travel_Rarely"/>
    <n v="447"/>
    <s v="Research &amp; Development"/>
    <n v="5"/>
    <n v="3"/>
    <s v="Life Sciences"/>
    <n v="1"/>
    <n v="1814"/>
    <n v="2"/>
    <s v="Male"/>
    <n v="85"/>
    <n v="4"/>
    <n v="2"/>
    <s v="Healthcare Representative"/>
    <n v="2"/>
    <s v="Single"/>
    <n v="6870"/>
    <n v="15530"/>
    <n v="3"/>
    <s v="Y"/>
    <s v="No"/>
    <n v="12"/>
    <n v="3"/>
    <n v="1"/>
    <n v="80"/>
    <n v="0"/>
    <n v="11"/>
    <n v="3"/>
    <n v="1"/>
    <n v="3"/>
    <n v="2"/>
    <n v="1"/>
    <n v="2"/>
    <x v="3"/>
    <n v="0"/>
    <n v="0"/>
    <n v="1"/>
    <m/>
    <m/>
  </r>
  <r>
    <n v="41"/>
    <s v="No"/>
    <s v="Travel_Rarely"/>
    <n v="796"/>
    <s v="Sales"/>
    <n v="4"/>
    <n v="1"/>
    <s v="Marketing"/>
    <n v="1"/>
    <n v="1815"/>
    <n v="3"/>
    <s v="Female"/>
    <n v="81"/>
    <n v="3"/>
    <n v="3"/>
    <s v="Sales Executive"/>
    <n v="3"/>
    <s v="Divorced"/>
    <n v="10447"/>
    <n v="26458"/>
    <n v="0"/>
    <s v="Y"/>
    <s v="Yes"/>
    <n v="13"/>
    <n v="3"/>
    <n v="4"/>
    <n v="80"/>
    <n v="1"/>
    <n v="23"/>
    <n v="3"/>
    <n v="4"/>
    <n v="22"/>
    <n v="14"/>
    <n v="13"/>
    <n v="5"/>
    <x v="0"/>
    <n v="0"/>
    <n v="0"/>
    <n v="1"/>
    <m/>
    <m/>
  </r>
  <r>
    <n v="30"/>
    <s v="No"/>
    <s v="Travel_Rarely"/>
    <n v="1092"/>
    <s v="Research &amp; Development"/>
    <n v="10"/>
    <n v="3"/>
    <s v="Medical"/>
    <n v="1"/>
    <n v="1816"/>
    <n v="1"/>
    <s v="Female"/>
    <n v="64"/>
    <n v="3"/>
    <n v="3"/>
    <s v="Manufacturing Director"/>
    <n v="3"/>
    <s v="Single"/>
    <n v="9667"/>
    <n v="2739"/>
    <n v="9"/>
    <s v="Y"/>
    <s v="No"/>
    <n v="14"/>
    <n v="3"/>
    <n v="2"/>
    <n v="80"/>
    <n v="0"/>
    <n v="9"/>
    <n v="3"/>
    <n v="3"/>
    <n v="7"/>
    <n v="7"/>
    <n v="0"/>
    <n v="2"/>
    <x v="2"/>
    <n v="0"/>
    <n v="0"/>
    <n v="1"/>
    <m/>
    <m/>
  </r>
  <r>
    <n v="26"/>
    <s v="Yes"/>
    <s v="Travel_Rarely"/>
    <n v="920"/>
    <s v="Human Resources"/>
    <n v="20"/>
    <n v="2"/>
    <s v="Medical"/>
    <n v="1"/>
    <n v="1818"/>
    <n v="4"/>
    <s v="Female"/>
    <n v="69"/>
    <n v="3"/>
    <n v="1"/>
    <s v="Human Resources"/>
    <n v="2"/>
    <s v="Married"/>
    <n v="2148"/>
    <n v="6889"/>
    <n v="0"/>
    <s v="Y"/>
    <s v="Yes"/>
    <n v="11"/>
    <n v="3"/>
    <n v="3"/>
    <n v="80"/>
    <n v="0"/>
    <n v="6"/>
    <n v="3"/>
    <n v="3"/>
    <n v="5"/>
    <n v="1"/>
    <n v="1"/>
    <n v="4"/>
    <x v="5"/>
    <n v="1"/>
    <n v="38664"/>
    <n v="1"/>
    <m/>
    <m/>
  </r>
  <r>
    <n v="46"/>
    <s v="Yes"/>
    <s v="Travel_Rarely"/>
    <n v="261"/>
    <s v="Research &amp; Development"/>
    <n v="21"/>
    <n v="2"/>
    <s v="Medical"/>
    <n v="1"/>
    <n v="1821"/>
    <n v="4"/>
    <s v="Female"/>
    <n v="66"/>
    <n v="3"/>
    <n v="2"/>
    <s v="Healthcare Representative"/>
    <n v="2"/>
    <s v="Married"/>
    <n v="8926"/>
    <n v="10842"/>
    <n v="4"/>
    <s v="Y"/>
    <s v="No"/>
    <n v="22"/>
    <n v="4"/>
    <n v="4"/>
    <n v="80"/>
    <n v="1"/>
    <n v="13"/>
    <n v="2"/>
    <n v="4"/>
    <n v="9"/>
    <n v="7"/>
    <n v="3"/>
    <n v="7"/>
    <x v="3"/>
    <n v="1"/>
    <n v="160668"/>
    <n v="1"/>
    <m/>
    <m/>
  </r>
  <r>
    <n v="40"/>
    <s v="No"/>
    <s v="Travel_Rarely"/>
    <n v="1194"/>
    <s v="Research &amp; Development"/>
    <n v="1"/>
    <n v="3"/>
    <s v="Life Sciences"/>
    <n v="1"/>
    <n v="1822"/>
    <n v="3"/>
    <s v="Female"/>
    <n v="52"/>
    <n v="3"/>
    <n v="2"/>
    <s v="Healthcare Representative"/>
    <n v="4"/>
    <s v="Divorced"/>
    <n v="6513"/>
    <n v="9060"/>
    <n v="4"/>
    <s v="Y"/>
    <s v="No"/>
    <n v="17"/>
    <n v="3"/>
    <n v="4"/>
    <n v="80"/>
    <n v="1"/>
    <n v="12"/>
    <n v="3"/>
    <n v="3"/>
    <n v="5"/>
    <n v="3"/>
    <n v="0"/>
    <n v="3"/>
    <x v="3"/>
    <n v="0"/>
    <n v="0"/>
    <n v="1"/>
    <m/>
    <m/>
  </r>
  <r>
    <n v="34"/>
    <s v="No"/>
    <s v="Travel_Rarely"/>
    <n v="810"/>
    <s v="Sales"/>
    <n v="8"/>
    <n v="2"/>
    <s v="Technical Degree"/>
    <n v="1"/>
    <n v="1823"/>
    <n v="2"/>
    <s v="Male"/>
    <n v="92"/>
    <n v="4"/>
    <n v="2"/>
    <s v="Sales Executive"/>
    <n v="3"/>
    <s v="Married"/>
    <n v="6799"/>
    <n v="22128"/>
    <n v="1"/>
    <s v="Y"/>
    <s v="No"/>
    <n v="21"/>
    <n v="4"/>
    <n v="3"/>
    <n v="80"/>
    <n v="2"/>
    <n v="10"/>
    <n v="5"/>
    <n v="3"/>
    <n v="10"/>
    <n v="8"/>
    <n v="4"/>
    <n v="8"/>
    <x v="0"/>
    <n v="0"/>
    <n v="0"/>
    <n v="1"/>
    <m/>
    <m/>
  </r>
  <r>
    <n v="58"/>
    <s v="No"/>
    <s v="Non-Travel"/>
    <n v="350"/>
    <s v="Sales"/>
    <n v="2"/>
    <n v="3"/>
    <s v="Medical"/>
    <n v="1"/>
    <n v="1824"/>
    <n v="2"/>
    <s v="Male"/>
    <n v="52"/>
    <n v="3"/>
    <n v="4"/>
    <s v="Manager"/>
    <n v="2"/>
    <s v="Divorced"/>
    <n v="16291"/>
    <n v="22577"/>
    <n v="4"/>
    <s v="Y"/>
    <s v="No"/>
    <n v="22"/>
    <n v="4"/>
    <n v="4"/>
    <n v="80"/>
    <n v="1"/>
    <n v="37"/>
    <n v="0"/>
    <n v="2"/>
    <n v="16"/>
    <n v="9"/>
    <n v="14"/>
    <n v="14"/>
    <x v="4"/>
    <n v="0"/>
    <n v="0"/>
    <n v="1"/>
    <m/>
    <m/>
  </r>
  <r>
    <n v="35"/>
    <s v="No"/>
    <s v="Travel_Rarely"/>
    <n v="185"/>
    <s v="Research &amp; Development"/>
    <n v="23"/>
    <n v="4"/>
    <s v="Medical"/>
    <n v="1"/>
    <n v="1826"/>
    <n v="2"/>
    <s v="Male"/>
    <n v="91"/>
    <n v="1"/>
    <n v="1"/>
    <s v="Laboratory Technician"/>
    <n v="3"/>
    <s v="Married"/>
    <n v="2705"/>
    <n v="9696"/>
    <n v="0"/>
    <s v="Y"/>
    <s v="No"/>
    <n v="16"/>
    <n v="3"/>
    <n v="2"/>
    <n v="80"/>
    <n v="1"/>
    <n v="6"/>
    <n v="2"/>
    <n v="4"/>
    <n v="5"/>
    <n v="4"/>
    <n v="0"/>
    <n v="3"/>
    <x v="1"/>
    <n v="0"/>
    <n v="0"/>
    <n v="1"/>
    <m/>
    <m/>
  </r>
  <r>
    <n v="47"/>
    <s v="No"/>
    <s v="Travel_Rarely"/>
    <n v="1001"/>
    <s v="Research &amp; Development"/>
    <n v="4"/>
    <n v="3"/>
    <s v="Life Sciences"/>
    <n v="1"/>
    <n v="1827"/>
    <n v="3"/>
    <s v="Female"/>
    <n v="92"/>
    <n v="2"/>
    <n v="3"/>
    <s v="Manufacturing Director"/>
    <n v="2"/>
    <s v="Divorced"/>
    <n v="10333"/>
    <n v="19271"/>
    <n v="8"/>
    <s v="Y"/>
    <s v="Yes"/>
    <n v="12"/>
    <n v="3"/>
    <n v="3"/>
    <n v="80"/>
    <n v="1"/>
    <n v="28"/>
    <n v="4"/>
    <n v="3"/>
    <n v="22"/>
    <n v="11"/>
    <n v="14"/>
    <n v="10"/>
    <x v="2"/>
    <n v="0"/>
    <n v="0"/>
    <n v="1"/>
    <m/>
    <m/>
  </r>
  <r>
    <n v="40"/>
    <s v="No"/>
    <s v="Travel_Rarely"/>
    <n v="750"/>
    <s v="Research &amp; Development"/>
    <n v="12"/>
    <n v="3"/>
    <s v="Life Sciences"/>
    <n v="1"/>
    <n v="1829"/>
    <n v="2"/>
    <s v="Female"/>
    <n v="47"/>
    <n v="3"/>
    <n v="2"/>
    <s v="Healthcare Representative"/>
    <n v="1"/>
    <s v="Divorced"/>
    <n v="4448"/>
    <n v="10748"/>
    <n v="2"/>
    <s v="Y"/>
    <s v="No"/>
    <n v="12"/>
    <n v="3"/>
    <n v="2"/>
    <n v="80"/>
    <n v="1"/>
    <n v="15"/>
    <n v="3"/>
    <n v="3"/>
    <n v="7"/>
    <n v="4"/>
    <n v="7"/>
    <n v="7"/>
    <x v="3"/>
    <n v="0"/>
    <n v="0"/>
    <n v="1"/>
    <m/>
    <m/>
  </r>
  <r>
    <n v="54"/>
    <s v="No"/>
    <s v="Travel_Rarely"/>
    <n v="431"/>
    <s v="Research &amp; Development"/>
    <n v="7"/>
    <n v="4"/>
    <s v="Medical"/>
    <n v="1"/>
    <n v="1830"/>
    <n v="4"/>
    <s v="Female"/>
    <n v="68"/>
    <n v="3"/>
    <n v="2"/>
    <s v="Research Scientist"/>
    <n v="4"/>
    <s v="Married"/>
    <n v="6854"/>
    <n v="15696"/>
    <n v="4"/>
    <s v="Y"/>
    <s v="No"/>
    <n v="15"/>
    <n v="3"/>
    <n v="2"/>
    <n v="80"/>
    <n v="1"/>
    <n v="14"/>
    <n v="2"/>
    <n v="2"/>
    <n v="7"/>
    <n v="1"/>
    <n v="1"/>
    <n v="7"/>
    <x v="1"/>
    <n v="0"/>
    <n v="0"/>
    <n v="1"/>
    <m/>
    <m/>
  </r>
  <r>
    <n v="31"/>
    <s v="No"/>
    <s v="Travel_Frequently"/>
    <n v="1125"/>
    <s v="Sales"/>
    <n v="7"/>
    <n v="4"/>
    <s v="Marketing"/>
    <n v="1"/>
    <n v="1833"/>
    <n v="1"/>
    <s v="Female"/>
    <n v="68"/>
    <n v="3"/>
    <n v="3"/>
    <s v="Sales Executive"/>
    <n v="1"/>
    <s v="Married"/>
    <n v="9637"/>
    <n v="8277"/>
    <n v="2"/>
    <s v="Y"/>
    <s v="No"/>
    <n v="14"/>
    <n v="3"/>
    <n v="4"/>
    <n v="80"/>
    <n v="2"/>
    <n v="9"/>
    <n v="3"/>
    <n v="3"/>
    <n v="3"/>
    <n v="2"/>
    <n v="2"/>
    <n v="2"/>
    <x v="0"/>
    <n v="0"/>
    <n v="0"/>
    <n v="1"/>
    <m/>
    <m/>
  </r>
  <r>
    <n v="28"/>
    <s v="No"/>
    <s v="Travel_Rarely"/>
    <n v="1217"/>
    <s v="Research &amp; Development"/>
    <n v="1"/>
    <n v="3"/>
    <s v="Medical"/>
    <n v="1"/>
    <n v="1834"/>
    <n v="3"/>
    <s v="Female"/>
    <n v="67"/>
    <n v="3"/>
    <n v="1"/>
    <s v="Research Scientist"/>
    <n v="1"/>
    <s v="Married"/>
    <n v="3591"/>
    <n v="12719"/>
    <n v="1"/>
    <s v="Y"/>
    <s v="No"/>
    <n v="25"/>
    <n v="4"/>
    <n v="3"/>
    <n v="80"/>
    <n v="1"/>
    <n v="3"/>
    <n v="3"/>
    <n v="3"/>
    <n v="3"/>
    <n v="2"/>
    <n v="1"/>
    <n v="2"/>
    <x v="1"/>
    <n v="0"/>
    <n v="0"/>
    <n v="1"/>
    <m/>
    <m/>
  </r>
  <r>
    <n v="38"/>
    <s v="No"/>
    <s v="Travel_Rarely"/>
    <n v="723"/>
    <s v="Sales"/>
    <n v="2"/>
    <n v="4"/>
    <s v="Marketing"/>
    <n v="1"/>
    <n v="1835"/>
    <n v="2"/>
    <s v="Female"/>
    <n v="77"/>
    <n v="1"/>
    <n v="2"/>
    <s v="Sales Representative"/>
    <n v="4"/>
    <s v="Married"/>
    <n v="5405"/>
    <n v="4244"/>
    <n v="2"/>
    <s v="Y"/>
    <s v="Yes"/>
    <n v="20"/>
    <n v="4"/>
    <n v="1"/>
    <n v="80"/>
    <n v="2"/>
    <n v="20"/>
    <n v="4"/>
    <n v="2"/>
    <n v="4"/>
    <n v="2"/>
    <n v="0"/>
    <n v="3"/>
    <x v="0"/>
    <n v="0"/>
    <n v="0"/>
    <n v="1"/>
    <m/>
    <m/>
  </r>
  <r>
    <n v="26"/>
    <s v="No"/>
    <s v="Travel_Rarely"/>
    <n v="572"/>
    <s v="Sales"/>
    <n v="10"/>
    <n v="3"/>
    <s v="Medical"/>
    <n v="1"/>
    <n v="1836"/>
    <n v="3"/>
    <s v="Male"/>
    <n v="46"/>
    <n v="3"/>
    <n v="2"/>
    <s v="Sales Executive"/>
    <n v="4"/>
    <s v="Single"/>
    <n v="4684"/>
    <n v="9125"/>
    <n v="1"/>
    <s v="Y"/>
    <s v="No"/>
    <n v="13"/>
    <n v="3"/>
    <n v="1"/>
    <n v="80"/>
    <n v="0"/>
    <n v="5"/>
    <n v="4"/>
    <n v="3"/>
    <n v="5"/>
    <n v="3"/>
    <n v="1"/>
    <n v="2"/>
    <x v="0"/>
    <n v="0"/>
    <n v="0"/>
    <n v="1"/>
    <m/>
    <m/>
  </r>
  <r>
    <n v="58"/>
    <s v="No"/>
    <s v="Travel_Frequently"/>
    <n v="1216"/>
    <s v="Research &amp; Development"/>
    <n v="15"/>
    <n v="4"/>
    <s v="Life Sciences"/>
    <n v="1"/>
    <n v="1837"/>
    <n v="1"/>
    <s v="Male"/>
    <n v="87"/>
    <n v="3"/>
    <n v="4"/>
    <s v="Research Director"/>
    <n v="3"/>
    <s v="Married"/>
    <n v="15787"/>
    <n v="21624"/>
    <n v="2"/>
    <s v="Y"/>
    <s v="Yes"/>
    <n v="14"/>
    <n v="3"/>
    <n v="2"/>
    <n v="80"/>
    <n v="0"/>
    <n v="23"/>
    <n v="3"/>
    <n v="3"/>
    <n v="2"/>
    <n v="2"/>
    <n v="2"/>
    <n v="2"/>
    <x v="1"/>
    <n v="0"/>
    <n v="0"/>
    <n v="1"/>
    <m/>
    <m/>
  </r>
  <r>
    <n v="18"/>
    <s v="No"/>
    <s v="Non-Travel"/>
    <n v="1431"/>
    <s v="Research &amp; Development"/>
    <n v="14"/>
    <n v="3"/>
    <s v="Medical"/>
    <n v="1"/>
    <n v="1839"/>
    <n v="2"/>
    <s v="Female"/>
    <n v="33"/>
    <n v="3"/>
    <n v="1"/>
    <s v="Research Scientist"/>
    <n v="3"/>
    <s v="Single"/>
    <n v="1514"/>
    <n v="8018"/>
    <n v="1"/>
    <s v="Y"/>
    <s v="No"/>
    <n v="16"/>
    <n v="3"/>
    <n v="3"/>
    <n v="80"/>
    <n v="0"/>
    <n v="0"/>
    <n v="4"/>
    <n v="1"/>
    <n v="0"/>
    <n v="0"/>
    <n v="0"/>
    <n v="0"/>
    <x v="1"/>
    <n v="0"/>
    <n v="0"/>
    <n v="1"/>
    <m/>
    <m/>
  </r>
  <r>
    <n v="31"/>
    <s v="Yes"/>
    <s v="Travel_Rarely"/>
    <n v="359"/>
    <s v="Human Resources"/>
    <n v="18"/>
    <n v="5"/>
    <s v="Human Resources"/>
    <n v="1"/>
    <n v="1842"/>
    <n v="4"/>
    <s v="Male"/>
    <n v="89"/>
    <n v="4"/>
    <n v="1"/>
    <s v="Human Resources"/>
    <n v="1"/>
    <s v="Married"/>
    <n v="2956"/>
    <n v="21495"/>
    <n v="0"/>
    <s v="Y"/>
    <s v="No"/>
    <n v="17"/>
    <n v="3"/>
    <n v="3"/>
    <n v="80"/>
    <n v="0"/>
    <n v="2"/>
    <n v="4"/>
    <n v="3"/>
    <n v="1"/>
    <n v="0"/>
    <n v="0"/>
    <n v="0"/>
    <x v="5"/>
    <n v="1"/>
    <n v="53208"/>
    <n v="1"/>
    <m/>
    <m/>
  </r>
  <r>
    <n v="29"/>
    <s v="Yes"/>
    <s v="Travel_Rarely"/>
    <n v="350"/>
    <s v="Human Resources"/>
    <n v="13"/>
    <n v="3"/>
    <s v="Human Resources"/>
    <n v="1"/>
    <n v="1844"/>
    <n v="1"/>
    <s v="Male"/>
    <n v="56"/>
    <n v="2"/>
    <n v="1"/>
    <s v="Human Resources"/>
    <n v="1"/>
    <s v="Divorced"/>
    <n v="2335"/>
    <n v="3157"/>
    <n v="4"/>
    <s v="Y"/>
    <s v="Yes"/>
    <n v="15"/>
    <n v="3"/>
    <n v="4"/>
    <n v="80"/>
    <n v="3"/>
    <n v="4"/>
    <n v="3"/>
    <n v="3"/>
    <n v="2"/>
    <n v="2"/>
    <n v="2"/>
    <n v="0"/>
    <x v="5"/>
    <n v="1"/>
    <n v="42030"/>
    <n v="1"/>
    <m/>
    <m/>
  </r>
  <r>
    <n v="45"/>
    <s v="No"/>
    <s v="Non-Travel"/>
    <n v="589"/>
    <s v="Sales"/>
    <n v="2"/>
    <n v="4"/>
    <s v="Life Sciences"/>
    <n v="1"/>
    <n v="1845"/>
    <n v="3"/>
    <s v="Female"/>
    <n v="67"/>
    <n v="3"/>
    <n v="2"/>
    <s v="Sales Executive"/>
    <n v="3"/>
    <s v="Married"/>
    <n v="5154"/>
    <n v="19665"/>
    <n v="4"/>
    <s v="Y"/>
    <s v="No"/>
    <n v="22"/>
    <n v="4"/>
    <n v="2"/>
    <n v="80"/>
    <n v="2"/>
    <n v="10"/>
    <n v="3"/>
    <n v="4"/>
    <n v="8"/>
    <n v="7"/>
    <n v="5"/>
    <n v="7"/>
    <x v="0"/>
    <n v="0"/>
    <n v="0"/>
    <n v="1"/>
    <m/>
    <m/>
  </r>
  <r>
    <n v="36"/>
    <s v="No"/>
    <s v="Travel_Rarely"/>
    <n v="430"/>
    <s v="Research &amp; Development"/>
    <n v="2"/>
    <n v="4"/>
    <s v="Other"/>
    <n v="1"/>
    <n v="1847"/>
    <n v="4"/>
    <s v="Female"/>
    <n v="73"/>
    <n v="3"/>
    <n v="2"/>
    <s v="Research Scientist"/>
    <n v="2"/>
    <s v="Married"/>
    <n v="6962"/>
    <n v="19573"/>
    <n v="4"/>
    <s v="Y"/>
    <s v="Yes"/>
    <n v="22"/>
    <n v="4"/>
    <n v="4"/>
    <n v="80"/>
    <n v="1"/>
    <n v="15"/>
    <n v="2"/>
    <n v="3"/>
    <n v="1"/>
    <n v="0"/>
    <n v="0"/>
    <n v="0"/>
    <x v="1"/>
    <n v="0"/>
    <n v="0"/>
    <n v="1"/>
    <m/>
    <m/>
  </r>
  <r>
    <n v="43"/>
    <s v="No"/>
    <s v="Travel_Frequently"/>
    <n v="1422"/>
    <s v="Sales"/>
    <n v="2"/>
    <n v="4"/>
    <s v="Life Sciences"/>
    <n v="1"/>
    <n v="1849"/>
    <n v="1"/>
    <s v="Male"/>
    <n v="92"/>
    <n v="3"/>
    <n v="2"/>
    <s v="Sales Executive"/>
    <n v="4"/>
    <s v="Married"/>
    <n v="5675"/>
    <n v="19246"/>
    <n v="1"/>
    <s v="Y"/>
    <s v="No"/>
    <n v="20"/>
    <n v="4"/>
    <n v="3"/>
    <n v="80"/>
    <n v="1"/>
    <n v="7"/>
    <n v="5"/>
    <n v="3"/>
    <n v="7"/>
    <n v="7"/>
    <n v="7"/>
    <n v="7"/>
    <x v="0"/>
    <n v="0"/>
    <n v="0"/>
    <n v="1"/>
    <m/>
    <m/>
  </r>
  <r>
    <n v="27"/>
    <s v="No"/>
    <s v="Travel_Frequently"/>
    <n v="1297"/>
    <s v="Research &amp; Development"/>
    <n v="5"/>
    <n v="2"/>
    <s v="Life Sciences"/>
    <n v="1"/>
    <n v="1850"/>
    <n v="4"/>
    <s v="Female"/>
    <n v="53"/>
    <n v="3"/>
    <n v="1"/>
    <s v="Laboratory Technician"/>
    <n v="4"/>
    <s v="Single"/>
    <n v="2379"/>
    <n v="19826"/>
    <n v="0"/>
    <s v="Y"/>
    <s v="Yes"/>
    <n v="14"/>
    <n v="3"/>
    <n v="3"/>
    <n v="80"/>
    <n v="0"/>
    <n v="6"/>
    <n v="3"/>
    <n v="2"/>
    <n v="5"/>
    <n v="4"/>
    <n v="0"/>
    <n v="2"/>
    <x v="1"/>
    <n v="0"/>
    <n v="0"/>
    <n v="1"/>
    <m/>
    <m/>
  </r>
  <r>
    <n v="29"/>
    <s v="No"/>
    <s v="Travel_Frequently"/>
    <n v="574"/>
    <s v="Research &amp; Development"/>
    <n v="20"/>
    <n v="1"/>
    <s v="Medical"/>
    <n v="1"/>
    <n v="1852"/>
    <n v="4"/>
    <s v="Male"/>
    <n v="40"/>
    <n v="3"/>
    <n v="1"/>
    <s v="Laboratory Technician"/>
    <n v="4"/>
    <s v="Married"/>
    <n v="3812"/>
    <n v="7003"/>
    <n v="1"/>
    <s v="Y"/>
    <s v="No"/>
    <n v="13"/>
    <n v="3"/>
    <n v="2"/>
    <n v="80"/>
    <n v="0"/>
    <n v="11"/>
    <n v="3"/>
    <n v="4"/>
    <n v="11"/>
    <n v="8"/>
    <n v="3"/>
    <n v="10"/>
    <x v="1"/>
    <n v="0"/>
    <n v="0"/>
    <n v="1"/>
    <m/>
    <m/>
  </r>
  <r>
    <n v="32"/>
    <s v="No"/>
    <s v="Travel_Frequently"/>
    <n v="1318"/>
    <s v="Sales"/>
    <n v="10"/>
    <n v="4"/>
    <s v="Marketing"/>
    <n v="1"/>
    <n v="1853"/>
    <n v="4"/>
    <s v="Male"/>
    <n v="79"/>
    <n v="3"/>
    <n v="2"/>
    <s v="Sales Executive"/>
    <n v="4"/>
    <s v="Single"/>
    <n v="4648"/>
    <n v="26075"/>
    <n v="8"/>
    <s v="Y"/>
    <s v="No"/>
    <n v="13"/>
    <n v="3"/>
    <n v="3"/>
    <n v="80"/>
    <n v="0"/>
    <n v="4"/>
    <n v="2"/>
    <n v="4"/>
    <n v="0"/>
    <n v="0"/>
    <n v="0"/>
    <n v="0"/>
    <x v="0"/>
    <n v="0"/>
    <n v="0"/>
    <n v="1"/>
    <m/>
    <m/>
  </r>
  <r>
    <n v="42"/>
    <s v="No"/>
    <s v="Non-Travel"/>
    <n v="355"/>
    <s v="Research &amp; Development"/>
    <n v="10"/>
    <n v="4"/>
    <s v="Technical Degree"/>
    <n v="1"/>
    <n v="1854"/>
    <n v="3"/>
    <s v="Male"/>
    <n v="38"/>
    <n v="3"/>
    <n v="1"/>
    <s v="Research Scientist"/>
    <n v="3"/>
    <s v="Married"/>
    <n v="2936"/>
    <n v="6161"/>
    <n v="3"/>
    <s v="Y"/>
    <s v="No"/>
    <n v="22"/>
    <n v="4"/>
    <n v="2"/>
    <n v="80"/>
    <n v="2"/>
    <n v="10"/>
    <n v="1"/>
    <n v="2"/>
    <n v="6"/>
    <n v="3"/>
    <n v="3"/>
    <n v="3"/>
    <x v="1"/>
    <n v="0"/>
    <n v="0"/>
    <n v="1"/>
    <m/>
    <m/>
  </r>
  <r>
    <n v="47"/>
    <s v="No"/>
    <s v="Travel_Rarely"/>
    <n v="207"/>
    <s v="Research &amp; Development"/>
    <n v="9"/>
    <n v="4"/>
    <s v="Life Sciences"/>
    <n v="1"/>
    <n v="1856"/>
    <n v="2"/>
    <s v="Female"/>
    <n v="64"/>
    <n v="3"/>
    <n v="1"/>
    <s v="Laboratory Technician"/>
    <n v="3"/>
    <s v="Single"/>
    <n v="2105"/>
    <n v="5411"/>
    <n v="4"/>
    <s v="Y"/>
    <s v="No"/>
    <n v="12"/>
    <n v="3"/>
    <n v="3"/>
    <n v="80"/>
    <n v="0"/>
    <n v="7"/>
    <n v="2"/>
    <n v="3"/>
    <n v="2"/>
    <n v="2"/>
    <n v="2"/>
    <n v="0"/>
    <x v="1"/>
    <n v="0"/>
    <n v="0"/>
    <n v="1"/>
    <m/>
    <m/>
  </r>
  <r>
    <n v="46"/>
    <s v="No"/>
    <s v="Travel_Rarely"/>
    <n v="706"/>
    <s v="Research &amp; Development"/>
    <n v="2"/>
    <n v="2"/>
    <s v="Life Sciences"/>
    <n v="1"/>
    <n v="1857"/>
    <n v="4"/>
    <s v="Male"/>
    <n v="82"/>
    <n v="3"/>
    <n v="3"/>
    <s v="Manufacturing Director"/>
    <n v="4"/>
    <s v="Divorced"/>
    <n v="8578"/>
    <n v="19989"/>
    <n v="3"/>
    <s v="Y"/>
    <s v="No"/>
    <n v="14"/>
    <n v="3"/>
    <n v="3"/>
    <n v="80"/>
    <n v="1"/>
    <n v="12"/>
    <n v="4"/>
    <n v="2"/>
    <n v="9"/>
    <n v="8"/>
    <n v="4"/>
    <n v="7"/>
    <x v="2"/>
    <n v="0"/>
    <n v="0"/>
    <n v="1"/>
    <m/>
    <m/>
  </r>
  <r>
    <n v="28"/>
    <s v="No"/>
    <s v="Non-Travel"/>
    <n v="280"/>
    <s v="Human Resources"/>
    <n v="1"/>
    <n v="2"/>
    <s v="Life Sciences"/>
    <n v="1"/>
    <n v="1858"/>
    <n v="3"/>
    <s v="Male"/>
    <n v="43"/>
    <n v="3"/>
    <n v="1"/>
    <s v="Human Resources"/>
    <n v="4"/>
    <s v="Divorced"/>
    <n v="2706"/>
    <n v="10494"/>
    <n v="1"/>
    <s v="Y"/>
    <s v="No"/>
    <n v="15"/>
    <n v="3"/>
    <n v="2"/>
    <n v="80"/>
    <n v="1"/>
    <n v="3"/>
    <n v="2"/>
    <n v="3"/>
    <n v="3"/>
    <n v="2"/>
    <n v="2"/>
    <n v="2"/>
    <x v="5"/>
    <n v="0"/>
    <n v="0"/>
    <n v="1"/>
    <m/>
    <m/>
  </r>
  <r>
    <n v="29"/>
    <s v="No"/>
    <s v="Travel_Rarely"/>
    <n v="726"/>
    <s v="Research &amp; Development"/>
    <n v="29"/>
    <n v="1"/>
    <s v="Life Sciences"/>
    <n v="1"/>
    <n v="1859"/>
    <n v="4"/>
    <s v="Male"/>
    <n v="93"/>
    <n v="1"/>
    <n v="2"/>
    <s v="Healthcare Representative"/>
    <n v="3"/>
    <s v="Divorced"/>
    <n v="6384"/>
    <n v="21143"/>
    <n v="8"/>
    <s v="Y"/>
    <s v="No"/>
    <n v="17"/>
    <n v="3"/>
    <n v="4"/>
    <n v="80"/>
    <n v="2"/>
    <n v="11"/>
    <n v="3"/>
    <n v="3"/>
    <n v="7"/>
    <n v="0"/>
    <n v="1"/>
    <n v="6"/>
    <x v="3"/>
    <n v="0"/>
    <n v="0"/>
    <n v="1"/>
    <m/>
    <m/>
  </r>
  <r>
    <n v="42"/>
    <s v="No"/>
    <s v="Travel_Rarely"/>
    <n v="1142"/>
    <s v="Research &amp; Development"/>
    <n v="8"/>
    <n v="3"/>
    <s v="Life Sciences"/>
    <n v="1"/>
    <n v="1860"/>
    <n v="4"/>
    <s v="Male"/>
    <n v="81"/>
    <n v="3"/>
    <n v="1"/>
    <s v="Laboratory Technician"/>
    <n v="3"/>
    <s v="Single"/>
    <n v="3968"/>
    <n v="13624"/>
    <n v="4"/>
    <s v="Y"/>
    <s v="No"/>
    <n v="13"/>
    <n v="3"/>
    <n v="4"/>
    <n v="80"/>
    <n v="0"/>
    <n v="8"/>
    <n v="3"/>
    <n v="3"/>
    <n v="0"/>
    <n v="0"/>
    <n v="0"/>
    <n v="0"/>
    <x v="1"/>
    <n v="0"/>
    <n v="0"/>
    <n v="1"/>
    <m/>
    <m/>
  </r>
  <r>
    <n v="32"/>
    <s v="Yes"/>
    <s v="Travel_Rarely"/>
    <n v="414"/>
    <s v="Sales"/>
    <n v="2"/>
    <n v="4"/>
    <s v="Marketing"/>
    <n v="1"/>
    <n v="1862"/>
    <n v="3"/>
    <s v="Male"/>
    <n v="82"/>
    <n v="2"/>
    <n v="2"/>
    <s v="Sales Executive"/>
    <n v="2"/>
    <s v="Single"/>
    <n v="9907"/>
    <n v="26186"/>
    <n v="7"/>
    <s v="Y"/>
    <s v="Yes"/>
    <n v="12"/>
    <n v="3"/>
    <n v="3"/>
    <n v="80"/>
    <n v="0"/>
    <n v="7"/>
    <n v="3"/>
    <n v="2"/>
    <n v="2"/>
    <n v="2"/>
    <n v="2"/>
    <n v="2"/>
    <x v="0"/>
    <n v="1"/>
    <n v="178326"/>
    <n v="1"/>
    <m/>
    <m/>
  </r>
  <r>
    <n v="46"/>
    <s v="No"/>
    <s v="Travel_Rarely"/>
    <n v="1319"/>
    <s v="Sales"/>
    <n v="3"/>
    <n v="3"/>
    <s v="Technical Degree"/>
    <n v="1"/>
    <n v="1863"/>
    <n v="1"/>
    <s v="Female"/>
    <n v="45"/>
    <n v="4"/>
    <n v="4"/>
    <s v="Sales Executive"/>
    <n v="1"/>
    <s v="Divorced"/>
    <n v="13225"/>
    <n v="7739"/>
    <n v="2"/>
    <s v="Y"/>
    <s v="No"/>
    <n v="12"/>
    <n v="3"/>
    <n v="4"/>
    <n v="80"/>
    <n v="1"/>
    <n v="25"/>
    <n v="5"/>
    <n v="3"/>
    <n v="19"/>
    <n v="17"/>
    <n v="2"/>
    <n v="8"/>
    <x v="0"/>
    <n v="0"/>
    <n v="0"/>
    <n v="1"/>
    <m/>
    <m/>
  </r>
  <r>
    <n v="27"/>
    <s v="No"/>
    <s v="Travel_Rarely"/>
    <n v="728"/>
    <s v="Sales"/>
    <n v="23"/>
    <n v="1"/>
    <s v="Medical"/>
    <n v="1"/>
    <n v="1864"/>
    <n v="2"/>
    <s v="Female"/>
    <n v="36"/>
    <n v="2"/>
    <n v="2"/>
    <s v="Sales Representative"/>
    <n v="3"/>
    <s v="Married"/>
    <n v="3540"/>
    <n v="7018"/>
    <n v="1"/>
    <s v="Y"/>
    <s v="No"/>
    <n v="21"/>
    <n v="4"/>
    <n v="4"/>
    <n v="80"/>
    <n v="1"/>
    <n v="9"/>
    <n v="5"/>
    <n v="3"/>
    <n v="9"/>
    <n v="8"/>
    <n v="5"/>
    <n v="8"/>
    <x v="0"/>
    <n v="0"/>
    <n v="0"/>
    <n v="1"/>
    <m/>
    <m/>
  </r>
  <r>
    <n v="29"/>
    <s v="No"/>
    <s v="Travel_Rarely"/>
    <n v="352"/>
    <s v="Human Resources"/>
    <n v="6"/>
    <n v="1"/>
    <s v="Medical"/>
    <n v="1"/>
    <n v="1865"/>
    <n v="4"/>
    <s v="Male"/>
    <n v="87"/>
    <n v="2"/>
    <n v="1"/>
    <s v="Human Resources"/>
    <n v="2"/>
    <s v="Married"/>
    <n v="2804"/>
    <n v="15434"/>
    <n v="1"/>
    <s v="Y"/>
    <s v="No"/>
    <n v="11"/>
    <n v="3"/>
    <n v="4"/>
    <n v="80"/>
    <n v="0"/>
    <n v="1"/>
    <n v="3"/>
    <n v="3"/>
    <n v="1"/>
    <n v="0"/>
    <n v="0"/>
    <n v="0"/>
    <x v="5"/>
    <n v="0"/>
    <n v="0"/>
    <n v="1"/>
    <m/>
    <m/>
  </r>
  <r>
    <n v="43"/>
    <s v="No"/>
    <s v="Travel_Rarely"/>
    <n v="823"/>
    <s v="Research &amp; Development"/>
    <n v="6"/>
    <n v="3"/>
    <s v="Medical"/>
    <n v="1"/>
    <n v="1866"/>
    <n v="1"/>
    <s v="Female"/>
    <n v="81"/>
    <n v="2"/>
    <n v="5"/>
    <s v="Manager"/>
    <n v="3"/>
    <s v="Married"/>
    <n v="19392"/>
    <n v="22539"/>
    <n v="7"/>
    <s v="Y"/>
    <s v="No"/>
    <n v="13"/>
    <n v="3"/>
    <n v="4"/>
    <n v="80"/>
    <n v="0"/>
    <n v="21"/>
    <n v="2"/>
    <n v="3"/>
    <n v="16"/>
    <n v="12"/>
    <n v="6"/>
    <n v="14"/>
    <x v="4"/>
    <n v="0"/>
    <n v="0"/>
    <n v="1"/>
    <m/>
    <m/>
  </r>
  <r>
    <n v="48"/>
    <s v="No"/>
    <s v="Travel_Rarely"/>
    <n v="1224"/>
    <s v="Research &amp; Development"/>
    <n v="10"/>
    <n v="3"/>
    <s v="Life Sciences"/>
    <n v="1"/>
    <n v="1867"/>
    <n v="4"/>
    <s v="Male"/>
    <n v="91"/>
    <n v="2"/>
    <n v="5"/>
    <s v="Research Director"/>
    <n v="2"/>
    <s v="Married"/>
    <n v="19665"/>
    <n v="13583"/>
    <n v="4"/>
    <s v="Y"/>
    <s v="No"/>
    <n v="12"/>
    <n v="3"/>
    <n v="4"/>
    <n v="80"/>
    <n v="0"/>
    <n v="29"/>
    <n v="3"/>
    <n v="3"/>
    <n v="22"/>
    <n v="10"/>
    <n v="12"/>
    <n v="9"/>
    <x v="1"/>
    <n v="0"/>
    <n v="0"/>
    <n v="1"/>
    <m/>
    <m/>
  </r>
  <r>
    <n v="29"/>
    <s v="Yes"/>
    <s v="Travel_Frequently"/>
    <n v="459"/>
    <s v="Research &amp; Development"/>
    <n v="24"/>
    <n v="2"/>
    <s v="Life Sciences"/>
    <n v="1"/>
    <n v="1868"/>
    <n v="4"/>
    <s v="Male"/>
    <n v="73"/>
    <n v="2"/>
    <n v="1"/>
    <s v="Research Scientist"/>
    <n v="4"/>
    <s v="Single"/>
    <n v="2439"/>
    <n v="14753"/>
    <n v="1"/>
    <s v="Y"/>
    <s v="Yes"/>
    <n v="24"/>
    <n v="4"/>
    <n v="2"/>
    <n v="80"/>
    <n v="0"/>
    <n v="1"/>
    <n v="3"/>
    <n v="2"/>
    <n v="1"/>
    <n v="0"/>
    <n v="1"/>
    <n v="0"/>
    <x v="1"/>
    <n v="1"/>
    <n v="43902"/>
    <n v="1"/>
    <m/>
    <m/>
  </r>
  <r>
    <n v="46"/>
    <s v="Yes"/>
    <s v="Travel_Rarely"/>
    <n v="1254"/>
    <s v="Sales"/>
    <n v="10"/>
    <n v="3"/>
    <s v="Life Sciences"/>
    <n v="1"/>
    <n v="1869"/>
    <n v="3"/>
    <s v="Female"/>
    <n v="64"/>
    <n v="3"/>
    <n v="3"/>
    <s v="Sales Executive"/>
    <n v="2"/>
    <s v="Married"/>
    <n v="7314"/>
    <n v="14011"/>
    <n v="5"/>
    <s v="Y"/>
    <s v="No"/>
    <n v="21"/>
    <n v="4"/>
    <n v="3"/>
    <n v="80"/>
    <n v="3"/>
    <n v="14"/>
    <n v="2"/>
    <n v="3"/>
    <n v="8"/>
    <n v="7"/>
    <n v="0"/>
    <n v="7"/>
    <x v="0"/>
    <n v="1"/>
    <n v="131652"/>
    <n v="1"/>
    <m/>
    <m/>
  </r>
  <r>
    <n v="27"/>
    <s v="No"/>
    <s v="Travel_Frequently"/>
    <n v="1131"/>
    <s v="Research &amp; Development"/>
    <n v="15"/>
    <n v="3"/>
    <s v="Life Sciences"/>
    <n v="1"/>
    <n v="1870"/>
    <n v="4"/>
    <s v="Female"/>
    <n v="77"/>
    <n v="2"/>
    <n v="1"/>
    <s v="Research Scientist"/>
    <n v="1"/>
    <s v="Married"/>
    <n v="4774"/>
    <n v="23844"/>
    <n v="0"/>
    <s v="Y"/>
    <s v="No"/>
    <n v="19"/>
    <n v="3"/>
    <n v="4"/>
    <n v="80"/>
    <n v="1"/>
    <n v="8"/>
    <n v="2"/>
    <n v="2"/>
    <n v="7"/>
    <n v="6"/>
    <n v="7"/>
    <n v="3"/>
    <x v="1"/>
    <n v="0"/>
    <n v="0"/>
    <n v="1"/>
    <m/>
    <m/>
  </r>
  <r>
    <n v="39"/>
    <s v="No"/>
    <s v="Travel_Rarely"/>
    <n v="835"/>
    <s v="Research &amp; Development"/>
    <n v="19"/>
    <n v="4"/>
    <s v="Other"/>
    <n v="1"/>
    <n v="1871"/>
    <n v="4"/>
    <s v="Male"/>
    <n v="41"/>
    <n v="3"/>
    <n v="2"/>
    <s v="Research Scientist"/>
    <n v="4"/>
    <s v="Divorced"/>
    <n v="3902"/>
    <n v="5141"/>
    <n v="8"/>
    <s v="Y"/>
    <s v="No"/>
    <n v="14"/>
    <n v="3"/>
    <n v="2"/>
    <n v="80"/>
    <n v="3"/>
    <n v="7"/>
    <n v="2"/>
    <n v="3"/>
    <n v="2"/>
    <n v="2"/>
    <n v="2"/>
    <n v="2"/>
    <x v="1"/>
    <n v="0"/>
    <n v="0"/>
    <n v="1"/>
    <m/>
    <m/>
  </r>
  <r>
    <n v="55"/>
    <s v="No"/>
    <s v="Travel_Rarely"/>
    <n v="836"/>
    <s v="Research &amp; Development"/>
    <n v="2"/>
    <n v="4"/>
    <s v="Technical Degree"/>
    <n v="1"/>
    <n v="1873"/>
    <n v="2"/>
    <s v="Male"/>
    <n v="98"/>
    <n v="2"/>
    <n v="1"/>
    <s v="Research Scientist"/>
    <n v="4"/>
    <s v="Married"/>
    <n v="2662"/>
    <n v="7975"/>
    <n v="8"/>
    <s v="Y"/>
    <s v="No"/>
    <n v="20"/>
    <n v="4"/>
    <n v="2"/>
    <n v="80"/>
    <n v="1"/>
    <n v="19"/>
    <n v="2"/>
    <n v="4"/>
    <n v="5"/>
    <n v="2"/>
    <n v="0"/>
    <n v="4"/>
    <x v="1"/>
    <n v="0"/>
    <n v="0"/>
    <n v="1"/>
    <m/>
    <m/>
  </r>
  <r>
    <n v="28"/>
    <s v="No"/>
    <s v="Travel_Rarely"/>
    <n v="1172"/>
    <s v="Sales"/>
    <n v="3"/>
    <n v="3"/>
    <s v="Medical"/>
    <n v="1"/>
    <n v="1875"/>
    <n v="2"/>
    <s v="Female"/>
    <n v="78"/>
    <n v="3"/>
    <n v="1"/>
    <s v="Sales Representative"/>
    <n v="2"/>
    <s v="Married"/>
    <n v="2856"/>
    <n v="3692"/>
    <n v="1"/>
    <s v="Y"/>
    <s v="No"/>
    <n v="19"/>
    <n v="3"/>
    <n v="4"/>
    <n v="80"/>
    <n v="1"/>
    <n v="1"/>
    <n v="3"/>
    <n v="3"/>
    <n v="1"/>
    <n v="0"/>
    <n v="0"/>
    <n v="0"/>
    <x v="0"/>
    <n v="0"/>
    <n v="0"/>
    <n v="1"/>
    <m/>
    <m/>
  </r>
  <r>
    <n v="30"/>
    <s v="Yes"/>
    <s v="Travel_Rarely"/>
    <n v="945"/>
    <s v="Sales"/>
    <n v="9"/>
    <n v="3"/>
    <s v="Medical"/>
    <n v="1"/>
    <n v="1876"/>
    <n v="2"/>
    <s v="Male"/>
    <n v="89"/>
    <n v="3"/>
    <n v="1"/>
    <s v="Sales Representative"/>
    <n v="4"/>
    <s v="Single"/>
    <n v="1081"/>
    <n v="16019"/>
    <n v="1"/>
    <s v="Y"/>
    <s v="No"/>
    <n v="13"/>
    <n v="3"/>
    <n v="3"/>
    <n v="80"/>
    <n v="0"/>
    <n v="1"/>
    <n v="3"/>
    <n v="2"/>
    <n v="1"/>
    <n v="0"/>
    <n v="0"/>
    <n v="0"/>
    <x v="0"/>
    <n v="1"/>
    <n v="19458"/>
    <n v="1"/>
    <m/>
    <m/>
  </r>
  <r>
    <n v="22"/>
    <s v="Yes"/>
    <s v="Travel_Rarely"/>
    <n v="391"/>
    <s v="Research &amp; Development"/>
    <n v="7"/>
    <n v="1"/>
    <s v="Life Sciences"/>
    <n v="1"/>
    <n v="1878"/>
    <n v="4"/>
    <s v="Male"/>
    <n v="75"/>
    <n v="3"/>
    <n v="1"/>
    <s v="Research Scientist"/>
    <n v="2"/>
    <s v="Single"/>
    <n v="2472"/>
    <n v="26092"/>
    <n v="1"/>
    <s v="Y"/>
    <s v="Yes"/>
    <n v="23"/>
    <n v="4"/>
    <n v="1"/>
    <n v="80"/>
    <n v="0"/>
    <n v="1"/>
    <n v="2"/>
    <n v="3"/>
    <n v="1"/>
    <n v="0"/>
    <n v="0"/>
    <n v="0"/>
    <x v="1"/>
    <n v="1"/>
    <n v="44496"/>
    <n v="1"/>
    <m/>
    <m/>
  </r>
  <r>
    <n v="36"/>
    <s v="No"/>
    <s v="Travel_Rarely"/>
    <n v="1266"/>
    <s v="Sales"/>
    <n v="10"/>
    <n v="4"/>
    <s v="Technical Degree"/>
    <n v="1"/>
    <n v="1880"/>
    <n v="2"/>
    <s v="Female"/>
    <n v="63"/>
    <n v="2"/>
    <n v="2"/>
    <s v="Sales Executive"/>
    <n v="3"/>
    <s v="Married"/>
    <n v="5673"/>
    <n v="6060"/>
    <n v="1"/>
    <s v="Y"/>
    <s v="Yes"/>
    <n v="13"/>
    <n v="3"/>
    <n v="1"/>
    <n v="80"/>
    <n v="1"/>
    <n v="10"/>
    <n v="4"/>
    <n v="3"/>
    <n v="10"/>
    <n v="9"/>
    <n v="1"/>
    <n v="7"/>
    <x v="0"/>
    <n v="0"/>
    <n v="0"/>
    <n v="1"/>
    <m/>
    <m/>
  </r>
  <r>
    <n v="31"/>
    <s v="No"/>
    <s v="Travel_Rarely"/>
    <n v="311"/>
    <s v="Research &amp; Development"/>
    <n v="20"/>
    <n v="3"/>
    <s v="Life Sciences"/>
    <n v="1"/>
    <n v="1881"/>
    <n v="2"/>
    <s v="Male"/>
    <n v="89"/>
    <n v="3"/>
    <n v="2"/>
    <s v="Laboratory Technician"/>
    <n v="3"/>
    <s v="Divorced"/>
    <n v="4197"/>
    <n v="18624"/>
    <n v="1"/>
    <s v="Y"/>
    <s v="No"/>
    <n v="11"/>
    <n v="3"/>
    <n v="1"/>
    <n v="80"/>
    <n v="1"/>
    <n v="10"/>
    <n v="2"/>
    <n v="3"/>
    <n v="10"/>
    <n v="8"/>
    <n v="0"/>
    <n v="2"/>
    <x v="1"/>
    <n v="0"/>
    <n v="0"/>
    <n v="1"/>
    <m/>
    <m/>
  </r>
  <r>
    <n v="34"/>
    <s v="No"/>
    <s v="Travel_Rarely"/>
    <n v="1480"/>
    <s v="Sales"/>
    <n v="4"/>
    <n v="3"/>
    <s v="Life Sciences"/>
    <n v="1"/>
    <n v="1882"/>
    <n v="3"/>
    <s v="Male"/>
    <n v="64"/>
    <n v="3"/>
    <n v="3"/>
    <s v="Sales Executive"/>
    <n v="4"/>
    <s v="Married"/>
    <n v="9713"/>
    <n v="24444"/>
    <n v="2"/>
    <s v="Y"/>
    <s v="Yes"/>
    <n v="13"/>
    <n v="3"/>
    <n v="4"/>
    <n v="80"/>
    <n v="3"/>
    <n v="9"/>
    <n v="3"/>
    <n v="3"/>
    <n v="5"/>
    <n v="3"/>
    <n v="1"/>
    <n v="0"/>
    <x v="0"/>
    <n v="0"/>
    <n v="0"/>
    <n v="1"/>
    <m/>
    <m/>
  </r>
  <r>
    <n v="29"/>
    <s v="No"/>
    <s v="Travel_Rarely"/>
    <n v="592"/>
    <s v="Research &amp; Development"/>
    <n v="7"/>
    <n v="3"/>
    <s v="Life Sciences"/>
    <n v="1"/>
    <n v="1883"/>
    <n v="4"/>
    <s v="Male"/>
    <n v="59"/>
    <n v="3"/>
    <n v="1"/>
    <s v="Laboratory Technician"/>
    <n v="1"/>
    <s v="Single"/>
    <n v="2062"/>
    <n v="19384"/>
    <n v="3"/>
    <s v="Y"/>
    <s v="No"/>
    <n v="14"/>
    <n v="3"/>
    <n v="2"/>
    <n v="80"/>
    <n v="0"/>
    <n v="11"/>
    <n v="2"/>
    <n v="3"/>
    <n v="3"/>
    <n v="2"/>
    <n v="1"/>
    <n v="2"/>
    <x v="1"/>
    <n v="0"/>
    <n v="0"/>
    <n v="1"/>
    <m/>
    <m/>
  </r>
  <r>
    <n v="37"/>
    <s v="No"/>
    <s v="Travel_Rarely"/>
    <n v="783"/>
    <s v="Research &amp; Development"/>
    <n v="7"/>
    <n v="4"/>
    <s v="Medical"/>
    <n v="1"/>
    <n v="1885"/>
    <n v="4"/>
    <s v="Male"/>
    <n v="78"/>
    <n v="3"/>
    <n v="2"/>
    <s v="Research Scientist"/>
    <n v="1"/>
    <s v="Married"/>
    <n v="4284"/>
    <n v="13588"/>
    <n v="5"/>
    <s v="Y"/>
    <s v="Yes"/>
    <n v="22"/>
    <n v="4"/>
    <n v="3"/>
    <n v="80"/>
    <n v="1"/>
    <n v="16"/>
    <n v="2"/>
    <n v="3"/>
    <n v="5"/>
    <n v="3"/>
    <n v="0"/>
    <n v="4"/>
    <x v="1"/>
    <n v="0"/>
    <n v="0"/>
    <n v="1"/>
    <m/>
    <m/>
  </r>
  <r>
    <n v="35"/>
    <s v="No"/>
    <s v="Travel_Rarely"/>
    <n v="219"/>
    <s v="Research &amp; Development"/>
    <n v="16"/>
    <n v="2"/>
    <s v="Other"/>
    <n v="1"/>
    <n v="1886"/>
    <n v="4"/>
    <s v="Female"/>
    <n v="44"/>
    <n v="2"/>
    <n v="2"/>
    <s v="Manufacturing Director"/>
    <n v="2"/>
    <s v="Married"/>
    <n v="4788"/>
    <n v="25388"/>
    <n v="0"/>
    <s v="Y"/>
    <s v="Yes"/>
    <n v="11"/>
    <n v="3"/>
    <n v="4"/>
    <n v="80"/>
    <n v="0"/>
    <n v="4"/>
    <n v="2"/>
    <n v="3"/>
    <n v="3"/>
    <n v="2"/>
    <n v="0"/>
    <n v="2"/>
    <x v="2"/>
    <n v="0"/>
    <n v="0"/>
    <n v="1"/>
    <m/>
    <m/>
  </r>
  <r>
    <n v="45"/>
    <s v="No"/>
    <s v="Travel_Rarely"/>
    <n v="556"/>
    <s v="Research &amp; Development"/>
    <n v="25"/>
    <n v="2"/>
    <s v="Life Sciences"/>
    <n v="1"/>
    <n v="1888"/>
    <n v="2"/>
    <s v="Female"/>
    <n v="93"/>
    <n v="2"/>
    <n v="2"/>
    <s v="Manufacturing Director"/>
    <n v="4"/>
    <s v="Married"/>
    <n v="5906"/>
    <n v="23888"/>
    <n v="0"/>
    <s v="Y"/>
    <s v="No"/>
    <n v="13"/>
    <n v="3"/>
    <n v="4"/>
    <n v="80"/>
    <n v="2"/>
    <n v="10"/>
    <n v="2"/>
    <n v="2"/>
    <n v="9"/>
    <n v="8"/>
    <n v="3"/>
    <n v="8"/>
    <x v="2"/>
    <n v="0"/>
    <n v="0"/>
    <n v="1"/>
    <m/>
    <m/>
  </r>
  <r>
    <n v="36"/>
    <s v="No"/>
    <s v="Travel_Frequently"/>
    <n v="1213"/>
    <s v="Human Resources"/>
    <n v="2"/>
    <n v="1"/>
    <s v="Human Resources"/>
    <n v="1"/>
    <n v="1890"/>
    <n v="2"/>
    <s v="Male"/>
    <n v="94"/>
    <n v="2"/>
    <n v="2"/>
    <s v="Human Resources"/>
    <n v="4"/>
    <s v="Single"/>
    <n v="3886"/>
    <n v="4223"/>
    <n v="1"/>
    <s v="Y"/>
    <s v="No"/>
    <n v="21"/>
    <n v="4"/>
    <n v="4"/>
    <n v="80"/>
    <n v="0"/>
    <n v="10"/>
    <n v="2"/>
    <n v="2"/>
    <n v="10"/>
    <n v="1"/>
    <n v="0"/>
    <n v="8"/>
    <x v="5"/>
    <n v="0"/>
    <n v="0"/>
    <n v="1"/>
    <m/>
    <m/>
  </r>
  <r>
    <n v="40"/>
    <s v="No"/>
    <s v="Travel_Rarely"/>
    <n v="1137"/>
    <s v="Research &amp; Development"/>
    <n v="1"/>
    <n v="4"/>
    <s v="Life Sciences"/>
    <n v="1"/>
    <n v="1892"/>
    <n v="1"/>
    <s v="Male"/>
    <n v="98"/>
    <n v="3"/>
    <n v="4"/>
    <s v="Manager"/>
    <n v="1"/>
    <s v="Divorced"/>
    <n v="16823"/>
    <n v="18991"/>
    <n v="2"/>
    <s v="Y"/>
    <s v="No"/>
    <n v="11"/>
    <n v="3"/>
    <n v="1"/>
    <n v="80"/>
    <n v="1"/>
    <n v="22"/>
    <n v="3"/>
    <n v="3"/>
    <n v="19"/>
    <n v="7"/>
    <n v="11"/>
    <n v="16"/>
    <x v="4"/>
    <n v="0"/>
    <n v="0"/>
    <n v="1"/>
    <m/>
    <m/>
  </r>
  <r>
    <n v="26"/>
    <s v="No"/>
    <s v="Travel_Rarely"/>
    <n v="482"/>
    <s v="Research &amp; Development"/>
    <n v="1"/>
    <n v="2"/>
    <s v="Life Sciences"/>
    <n v="1"/>
    <n v="1893"/>
    <n v="2"/>
    <s v="Female"/>
    <n v="90"/>
    <n v="2"/>
    <n v="1"/>
    <s v="Research Scientist"/>
    <n v="3"/>
    <s v="Married"/>
    <n v="2933"/>
    <n v="14908"/>
    <n v="1"/>
    <s v="Y"/>
    <s v="Yes"/>
    <n v="13"/>
    <n v="3"/>
    <n v="3"/>
    <n v="80"/>
    <n v="1"/>
    <n v="1"/>
    <n v="3"/>
    <n v="2"/>
    <n v="1"/>
    <n v="0"/>
    <n v="1"/>
    <n v="0"/>
    <x v="1"/>
    <n v="0"/>
    <n v="0"/>
    <n v="1"/>
    <m/>
    <m/>
  </r>
  <r>
    <n v="27"/>
    <s v="No"/>
    <s v="Travel_Rarely"/>
    <n v="511"/>
    <s v="Sales"/>
    <n v="2"/>
    <n v="2"/>
    <s v="Medical"/>
    <n v="1"/>
    <n v="1898"/>
    <n v="1"/>
    <s v="Female"/>
    <n v="89"/>
    <n v="4"/>
    <n v="2"/>
    <s v="Sales Executive"/>
    <n v="3"/>
    <s v="Single"/>
    <n v="6500"/>
    <n v="26997"/>
    <n v="0"/>
    <s v="Y"/>
    <s v="No"/>
    <n v="14"/>
    <n v="3"/>
    <n v="2"/>
    <n v="80"/>
    <n v="0"/>
    <n v="9"/>
    <n v="5"/>
    <n v="2"/>
    <n v="8"/>
    <n v="7"/>
    <n v="0"/>
    <n v="7"/>
    <x v="0"/>
    <n v="0"/>
    <n v="0"/>
    <n v="1"/>
    <m/>
    <m/>
  </r>
  <r>
    <n v="48"/>
    <s v="No"/>
    <s v="Travel_Frequently"/>
    <n v="117"/>
    <s v="Research &amp; Development"/>
    <n v="22"/>
    <n v="3"/>
    <s v="Medical"/>
    <n v="1"/>
    <n v="1900"/>
    <n v="4"/>
    <s v="Female"/>
    <n v="58"/>
    <n v="3"/>
    <n v="4"/>
    <s v="Manager"/>
    <n v="4"/>
    <s v="Divorced"/>
    <n v="17174"/>
    <n v="2437"/>
    <n v="3"/>
    <s v="Y"/>
    <s v="No"/>
    <n v="11"/>
    <n v="3"/>
    <n v="2"/>
    <n v="80"/>
    <n v="1"/>
    <n v="24"/>
    <n v="3"/>
    <n v="3"/>
    <n v="22"/>
    <n v="17"/>
    <n v="4"/>
    <n v="7"/>
    <x v="4"/>
    <n v="0"/>
    <n v="0"/>
    <n v="1"/>
    <m/>
    <m/>
  </r>
  <r>
    <n v="44"/>
    <s v="No"/>
    <s v="Travel_Rarely"/>
    <n v="170"/>
    <s v="Research &amp; Development"/>
    <n v="1"/>
    <n v="4"/>
    <s v="Life Sciences"/>
    <n v="1"/>
    <n v="1903"/>
    <n v="2"/>
    <s v="Male"/>
    <n v="78"/>
    <n v="4"/>
    <n v="2"/>
    <s v="Healthcare Representative"/>
    <n v="1"/>
    <s v="Married"/>
    <n v="5033"/>
    <n v="9364"/>
    <n v="2"/>
    <s v="Y"/>
    <s v="No"/>
    <n v="15"/>
    <n v="3"/>
    <n v="4"/>
    <n v="80"/>
    <n v="1"/>
    <n v="10"/>
    <n v="5"/>
    <n v="3"/>
    <n v="2"/>
    <n v="0"/>
    <n v="2"/>
    <n v="2"/>
    <x v="3"/>
    <n v="0"/>
    <n v="0"/>
    <n v="1"/>
    <m/>
    <m/>
  </r>
  <r>
    <n v="34"/>
    <s v="Yes"/>
    <s v="Non-Travel"/>
    <n v="967"/>
    <s v="Research &amp; Development"/>
    <n v="16"/>
    <n v="4"/>
    <s v="Technical Degree"/>
    <n v="1"/>
    <n v="1905"/>
    <n v="4"/>
    <s v="Male"/>
    <n v="85"/>
    <n v="1"/>
    <n v="1"/>
    <s v="Research Scientist"/>
    <n v="1"/>
    <s v="Married"/>
    <n v="2307"/>
    <n v="14460"/>
    <n v="1"/>
    <s v="Y"/>
    <s v="Yes"/>
    <n v="23"/>
    <n v="4"/>
    <n v="2"/>
    <n v="80"/>
    <n v="1"/>
    <n v="5"/>
    <n v="2"/>
    <n v="3"/>
    <n v="5"/>
    <n v="2"/>
    <n v="3"/>
    <n v="0"/>
    <x v="1"/>
    <n v="1"/>
    <n v="41526"/>
    <n v="1"/>
    <m/>
    <m/>
  </r>
  <r>
    <n v="56"/>
    <s v="Yes"/>
    <s v="Travel_Rarely"/>
    <n v="1162"/>
    <s v="Research &amp; Development"/>
    <n v="24"/>
    <n v="2"/>
    <s v="Life Sciences"/>
    <n v="1"/>
    <n v="1907"/>
    <n v="1"/>
    <s v="Male"/>
    <n v="97"/>
    <n v="3"/>
    <n v="1"/>
    <s v="Laboratory Technician"/>
    <n v="4"/>
    <s v="Single"/>
    <n v="2587"/>
    <n v="10261"/>
    <n v="1"/>
    <s v="Y"/>
    <s v="No"/>
    <n v="16"/>
    <n v="3"/>
    <n v="4"/>
    <n v="80"/>
    <n v="0"/>
    <n v="5"/>
    <n v="3"/>
    <n v="3"/>
    <n v="4"/>
    <n v="2"/>
    <n v="1"/>
    <n v="0"/>
    <x v="1"/>
    <n v="1"/>
    <n v="46566"/>
    <n v="1"/>
    <m/>
    <m/>
  </r>
  <r>
    <n v="36"/>
    <s v="No"/>
    <s v="Travel_Rarely"/>
    <n v="335"/>
    <s v="Sales"/>
    <n v="17"/>
    <n v="2"/>
    <s v="Marketing"/>
    <n v="1"/>
    <n v="1908"/>
    <n v="3"/>
    <s v="Male"/>
    <n v="33"/>
    <n v="2"/>
    <n v="2"/>
    <s v="Sales Executive"/>
    <n v="2"/>
    <s v="Married"/>
    <n v="5507"/>
    <n v="16822"/>
    <n v="2"/>
    <s v="Y"/>
    <s v="No"/>
    <n v="16"/>
    <n v="3"/>
    <n v="3"/>
    <n v="80"/>
    <n v="2"/>
    <n v="12"/>
    <n v="1"/>
    <n v="1"/>
    <n v="4"/>
    <n v="2"/>
    <n v="1"/>
    <n v="3"/>
    <x v="0"/>
    <n v="0"/>
    <n v="0"/>
    <n v="1"/>
    <m/>
    <m/>
  </r>
  <r>
    <n v="41"/>
    <s v="No"/>
    <s v="Travel_Rarely"/>
    <n v="337"/>
    <s v="Sales"/>
    <n v="8"/>
    <n v="3"/>
    <s v="Marketing"/>
    <n v="1"/>
    <n v="1909"/>
    <n v="3"/>
    <s v="Female"/>
    <n v="54"/>
    <n v="3"/>
    <n v="2"/>
    <s v="Sales Executive"/>
    <n v="2"/>
    <s v="Married"/>
    <n v="4393"/>
    <n v="26841"/>
    <n v="5"/>
    <s v="Y"/>
    <s v="No"/>
    <n v="21"/>
    <n v="4"/>
    <n v="3"/>
    <n v="80"/>
    <n v="1"/>
    <n v="14"/>
    <n v="3"/>
    <n v="3"/>
    <n v="5"/>
    <n v="4"/>
    <n v="1"/>
    <n v="4"/>
    <x v="0"/>
    <n v="0"/>
    <n v="0"/>
    <n v="1"/>
    <m/>
    <m/>
  </r>
  <r>
    <n v="42"/>
    <s v="No"/>
    <s v="Travel_Rarely"/>
    <n v="1396"/>
    <s v="Research &amp; Development"/>
    <n v="6"/>
    <n v="3"/>
    <s v="Medical"/>
    <n v="1"/>
    <n v="1911"/>
    <n v="3"/>
    <s v="Male"/>
    <n v="83"/>
    <n v="3"/>
    <n v="3"/>
    <s v="Research Director"/>
    <n v="1"/>
    <s v="Married"/>
    <n v="13348"/>
    <n v="14842"/>
    <n v="9"/>
    <s v="Y"/>
    <s v="No"/>
    <n v="13"/>
    <n v="3"/>
    <n v="2"/>
    <n v="80"/>
    <n v="1"/>
    <n v="18"/>
    <n v="3"/>
    <n v="4"/>
    <n v="13"/>
    <n v="7"/>
    <n v="5"/>
    <n v="7"/>
    <x v="1"/>
    <n v="0"/>
    <n v="0"/>
    <n v="1"/>
    <m/>
    <m/>
  </r>
  <r>
    <n v="31"/>
    <s v="No"/>
    <s v="Travel_Rarely"/>
    <n v="1079"/>
    <s v="Sales"/>
    <n v="10"/>
    <n v="2"/>
    <s v="Medical"/>
    <n v="1"/>
    <n v="1912"/>
    <n v="3"/>
    <s v="Female"/>
    <n v="86"/>
    <n v="3"/>
    <n v="2"/>
    <s v="Sales Executive"/>
    <n v="4"/>
    <s v="Divorced"/>
    <n v="6583"/>
    <n v="20115"/>
    <n v="2"/>
    <s v="Y"/>
    <s v="Yes"/>
    <n v="11"/>
    <n v="3"/>
    <n v="4"/>
    <n v="80"/>
    <n v="1"/>
    <n v="8"/>
    <n v="2"/>
    <n v="3"/>
    <n v="5"/>
    <n v="2"/>
    <n v="1"/>
    <n v="4"/>
    <x v="0"/>
    <n v="0"/>
    <n v="0"/>
    <n v="1"/>
    <m/>
    <m/>
  </r>
  <r>
    <n v="34"/>
    <s v="No"/>
    <s v="Travel_Rarely"/>
    <n v="735"/>
    <s v="Sales"/>
    <n v="3"/>
    <n v="1"/>
    <s v="Medical"/>
    <n v="1"/>
    <n v="1915"/>
    <n v="4"/>
    <s v="Female"/>
    <n v="75"/>
    <n v="2"/>
    <n v="2"/>
    <s v="Sales Executive"/>
    <n v="4"/>
    <s v="Married"/>
    <n v="8103"/>
    <n v="16495"/>
    <n v="3"/>
    <s v="Y"/>
    <s v="Yes"/>
    <n v="12"/>
    <n v="3"/>
    <n v="3"/>
    <n v="80"/>
    <n v="0"/>
    <n v="9"/>
    <n v="3"/>
    <n v="2"/>
    <n v="4"/>
    <n v="2"/>
    <n v="0"/>
    <n v="1"/>
    <x v="0"/>
    <n v="0"/>
    <n v="0"/>
    <n v="1"/>
    <m/>
    <m/>
  </r>
  <r>
    <n v="31"/>
    <s v="No"/>
    <s v="Travel_Rarely"/>
    <n v="471"/>
    <s v="Research &amp; Development"/>
    <n v="4"/>
    <n v="3"/>
    <s v="Medical"/>
    <n v="1"/>
    <n v="1916"/>
    <n v="1"/>
    <s v="Female"/>
    <n v="62"/>
    <n v="4"/>
    <n v="1"/>
    <s v="Laboratory Technician"/>
    <n v="3"/>
    <s v="Divorced"/>
    <n v="3978"/>
    <n v="16031"/>
    <n v="8"/>
    <s v="Y"/>
    <s v="No"/>
    <n v="12"/>
    <n v="3"/>
    <n v="2"/>
    <n v="80"/>
    <n v="1"/>
    <n v="4"/>
    <n v="0"/>
    <n v="2"/>
    <n v="2"/>
    <n v="2"/>
    <n v="2"/>
    <n v="2"/>
    <x v="1"/>
    <n v="0"/>
    <n v="0"/>
    <n v="1"/>
    <m/>
    <m/>
  </r>
  <r>
    <n v="26"/>
    <s v="No"/>
    <s v="Travel_Frequently"/>
    <n v="1096"/>
    <s v="Research &amp; Development"/>
    <n v="6"/>
    <n v="3"/>
    <s v="Other"/>
    <n v="1"/>
    <n v="1918"/>
    <n v="3"/>
    <s v="Male"/>
    <n v="61"/>
    <n v="4"/>
    <n v="1"/>
    <s v="Laboratory Technician"/>
    <n v="4"/>
    <s v="Married"/>
    <n v="2544"/>
    <n v="7102"/>
    <n v="0"/>
    <s v="Y"/>
    <s v="No"/>
    <n v="18"/>
    <n v="3"/>
    <n v="1"/>
    <n v="80"/>
    <n v="1"/>
    <n v="8"/>
    <n v="3"/>
    <n v="3"/>
    <n v="7"/>
    <n v="7"/>
    <n v="7"/>
    <n v="7"/>
    <x v="1"/>
    <n v="0"/>
    <n v="0"/>
    <n v="1"/>
    <m/>
    <m/>
  </r>
  <r>
    <n v="45"/>
    <s v="No"/>
    <s v="Travel_Frequently"/>
    <n v="1297"/>
    <s v="Research &amp; Development"/>
    <n v="1"/>
    <n v="4"/>
    <s v="Medical"/>
    <n v="1"/>
    <n v="1922"/>
    <n v="2"/>
    <s v="Male"/>
    <n v="44"/>
    <n v="3"/>
    <n v="2"/>
    <s v="Healthcare Representative"/>
    <n v="3"/>
    <s v="Single"/>
    <n v="5399"/>
    <n v="14511"/>
    <n v="4"/>
    <s v="Y"/>
    <s v="No"/>
    <n v="12"/>
    <n v="3"/>
    <n v="3"/>
    <n v="80"/>
    <n v="0"/>
    <n v="12"/>
    <n v="3"/>
    <n v="3"/>
    <n v="4"/>
    <n v="2"/>
    <n v="0"/>
    <n v="3"/>
    <x v="3"/>
    <n v="0"/>
    <n v="0"/>
    <n v="1"/>
    <m/>
    <m/>
  </r>
  <r>
    <n v="33"/>
    <s v="No"/>
    <s v="Travel_Rarely"/>
    <n v="217"/>
    <s v="Sales"/>
    <n v="10"/>
    <n v="4"/>
    <s v="Marketing"/>
    <n v="1"/>
    <n v="1924"/>
    <n v="2"/>
    <s v="Male"/>
    <n v="43"/>
    <n v="3"/>
    <n v="2"/>
    <s v="Sales Executive"/>
    <n v="3"/>
    <s v="Single"/>
    <n v="5487"/>
    <n v="10410"/>
    <n v="1"/>
    <s v="Y"/>
    <s v="No"/>
    <n v="14"/>
    <n v="3"/>
    <n v="2"/>
    <n v="80"/>
    <n v="0"/>
    <n v="10"/>
    <n v="2"/>
    <n v="2"/>
    <n v="10"/>
    <n v="4"/>
    <n v="0"/>
    <n v="9"/>
    <x v="0"/>
    <n v="0"/>
    <n v="0"/>
    <n v="1"/>
    <m/>
    <m/>
  </r>
  <r>
    <n v="28"/>
    <s v="No"/>
    <s v="Travel_Frequently"/>
    <n v="783"/>
    <s v="Sales"/>
    <n v="1"/>
    <n v="2"/>
    <s v="Life Sciences"/>
    <n v="1"/>
    <n v="1927"/>
    <n v="3"/>
    <s v="Male"/>
    <n v="42"/>
    <n v="2"/>
    <n v="2"/>
    <s v="Sales Executive"/>
    <n v="4"/>
    <s v="Married"/>
    <n v="6834"/>
    <n v="19255"/>
    <n v="1"/>
    <s v="Y"/>
    <s v="Yes"/>
    <n v="12"/>
    <n v="3"/>
    <n v="3"/>
    <n v="80"/>
    <n v="1"/>
    <n v="7"/>
    <n v="2"/>
    <n v="3"/>
    <n v="7"/>
    <n v="7"/>
    <n v="0"/>
    <n v="7"/>
    <x v="0"/>
    <n v="0"/>
    <n v="0"/>
    <n v="1"/>
    <m/>
    <m/>
  </r>
  <r>
    <n v="29"/>
    <s v="Yes"/>
    <s v="Travel_Frequently"/>
    <n v="746"/>
    <s v="Sales"/>
    <n v="24"/>
    <n v="3"/>
    <s v="Technical Degree"/>
    <n v="1"/>
    <n v="1928"/>
    <n v="3"/>
    <s v="Male"/>
    <n v="45"/>
    <n v="4"/>
    <n v="1"/>
    <s v="Sales Representative"/>
    <n v="1"/>
    <s v="Single"/>
    <n v="1091"/>
    <n v="10642"/>
    <n v="1"/>
    <s v="Y"/>
    <s v="No"/>
    <n v="17"/>
    <n v="3"/>
    <n v="4"/>
    <n v="80"/>
    <n v="0"/>
    <n v="1"/>
    <n v="3"/>
    <n v="3"/>
    <n v="1"/>
    <n v="0"/>
    <n v="0"/>
    <n v="0"/>
    <x v="0"/>
    <n v="1"/>
    <n v="19638"/>
    <n v="1"/>
    <m/>
    <m/>
  </r>
  <r>
    <n v="39"/>
    <s v="No"/>
    <s v="Non-Travel"/>
    <n v="1251"/>
    <s v="Sales"/>
    <n v="21"/>
    <n v="4"/>
    <s v="Life Sciences"/>
    <n v="1"/>
    <n v="1929"/>
    <n v="1"/>
    <s v="Female"/>
    <n v="32"/>
    <n v="1"/>
    <n v="2"/>
    <s v="Sales Executive"/>
    <n v="3"/>
    <s v="Married"/>
    <n v="5736"/>
    <n v="3987"/>
    <n v="6"/>
    <s v="Y"/>
    <s v="No"/>
    <n v="19"/>
    <n v="3"/>
    <n v="3"/>
    <n v="80"/>
    <n v="1"/>
    <n v="10"/>
    <n v="1"/>
    <n v="3"/>
    <n v="3"/>
    <n v="2"/>
    <n v="1"/>
    <n v="2"/>
    <x v="0"/>
    <n v="0"/>
    <n v="0"/>
    <n v="1"/>
    <m/>
    <m/>
  </r>
  <r>
    <n v="27"/>
    <s v="No"/>
    <s v="Travel_Rarely"/>
    <n v="1354"/>
    <s v="Research &amp; Development"/>
    <n v="2"/>
    <n v="4"/>
    <s v="Technical Degree"/>
    <n v="1"/>
    <n v="1931"/>
    <n v="2"/>
    <s v="Male"/>
    <n v="41"/>
    <n v="3"/>
    <n v="1"/>
    <s v="Research Scientist"/>
    <n v="2"/>
    <s v="Married"/>
    <n v="2226"/>
    <n v="6073"/>
    <n v="1"/>
    <s v="Y"/>
    <s v="No"/>
    <n v="11"/>
    <n v="3"/>
    <n v="3"/>
    <n v="80"/>
    <n v="1"/>
    <n v="6"/>
    <n v="3"/>
    <n v="2"/>
    <n v="5"/>
    <n v="3"/>
    <n v="1"/>
    <n v="2"/>
    <x v="1"/>
    <n v="0"/>
    <n v="0"/>
    <n v="1"/>
    <m/>
    <m/>
  </r>
  <r>
    <n v="34"/>
    <s v="No"/>
    <s v="Travel_Frequently"/>
    <n v="735"/>
    <s v="Research &amp; Development"/>
    <n v="22"/>
    <n v="4"/>
    <s v="Other"/>
    <n v="1"/>
    <n v="1932"/>
    <n v="3"/>
    <s v="Male"/>
    <n v="86"/>
    <n v="2"/>
    <n v="2"/>
    <s v="Research Scientist"/>
    <n v="4"/>
    <s v="Married"/>
    <n v="5747"/>
    <n v="26496"/>
    <n v="1"/>
    <s v="Y"/>
    <s v="Yes"/>
    <n v="15"/>
    <n v="3"/>
    <n v="2"/>
    <n v="80"/>
    <n v="0"/>
    <n v="16"/>
    <n v="3"/>
    <n v="3"/>
    <n v="15"/>
    <n v="10"/>
    <n v="6"/>
    <n v="11"/>
    <x v="1"/>
    <n v="0"/>
    <n v="0"/>
    <n v="1"/>
    <m/>
    <m/>
  </r>
  <r>
    <n v="28"/>
    <s v="Yes"/>
    <s v="Travel_Rarely"/>
    <n v="1475"/>
    <s v="Sales"/>
    <n v="13"/>
    <n v="2"/>
    <s v="Marketing"/>
    <n v="1"/>
    <n v="1933"/>
    <n v="4"/>
    <s v="Female"/>
    <n v="84"/>
    <n v="3"/>
    <n v="2"/>
    <s v="Sales Executive"/>
    <n v="3"/>
    <s v="Single"/>
    <n v="9854"/>
    <n v="23352"/>
    <n v="3"/>
    <s v="Y"/>
    <s v="Yes"/>
    <n v="11"/>
    <n v="3"/>
    <n v="4"/>
    <n v="80"/>
    <n v="0"/>
    <n v="6"/>
    <n v="0"/>
    <n v="3"/>
    <n v="2"/>
    <n v="0"/>
    <n v="2"/>
    <n v="2"/>
    <x v="0"/>
    <n v="1"/>
    <n v="177372"/>
    <n v="1"/>
    <m/>
    <m/>
  </r>
  <r>
    <n v="47"/>
    <s v="No"/>
    <s v="Non-Travel"/>
    <n v="1169"/>
    <s v="Research &amp; Development"/>
    <n v="14"/>
    <n v="4"/>
    <s v="Technical Degree"/>
    <n v="1"/>
    <n v="1934"/>
    <n v="3"/>
    <s v="Male"/>
    <n v="64"/>
    <n v="3"/>
    <n v="2"/>
    <s v="Research Scientist"/>
    <n v="2"/>
    <s v="Married"/>
    <n v="5467"/>
    <n v="2125"/>
    <n v="8"/>
    <s v="Y"/>
    <s v="No"/>
    <n v="18"/>
    <n v="3"/>
    <n v="3"/>
    <n v="80"/>
    <n v="1"/>
    <n v="16"/>
    <n v="4"/>
    <n v="4"/>
    <n v="8"/>
    <n v="7"/>
    <n v="1"/>
    <n v="7"/>
    <x v="1"/>
    <n v="0"/>
    <n v="0"/>
    <n v="1"/>
    <m/>
    <m/>
  </r>
  <r>
    <n v="56"/>
    <s v="No"/>
    <s v="Travel_Rarely"/>
    <n v="1443"/>
    <s v="Sales"/>
    <n v="11"/>
    <n v="5"/>
    <s v="Marketing"/>
    <n v="1"/>
    <n v="1935"/>
    <n v="4"/>
    <s v="Female"/>
    <n v="89"/>
    <n v="2"/>
    <n v="2"/>
    <s v="Sales Executive"/>
    <n v="1"/>
    <s v="Married"/>
    <n v="5380"/>
    <n v="20328"/>
    <n v="4"/>
    <s v="Y"/>
    <s v="No"/>
    <n v="16"/>
    <n v="3"/>
    <n v="3"/>
    <n v="80"/>
    <n v="1"/>
    <n v="6"/>
    <n v="3"/>
    <n v="3"/>
    <n v="0"/>
    <n v="0"/>
    <n v="0"/>
    <n v="0"/>
    <x v="0"/>
    <n v="0"/>
    <n v="0"/>
    <n v="1"/>
    <m/>
    <m/>
  </r>
  <r>
    <n v="39"/>
    <s v="No"/>
    <s v="Travel_Rarely"/>
    <n v="867"/>
    <s v="Research &amp; Development"/>
    <n v="9"/>
    <n v="2"/>
    <s v="Medical"/>
    <n v="1"/>
    <n v="1936"/>
    <n v="1"/>
    <s v="Male"/>
    <n v="87"/>
    <n v="3"/>
    <n v="2"/>
    <s v="Manufacturing Director"/>
    <n v="1"/>
    <s v="Married"/>
    <n v="5151"/>
    <n v="12315"/>
    <n v="1"/>
    <s v="Y"/>
    <s v="No"/>
    <n v="25"/>
    <n v="4"/>
    <n v="4"/>
    <n v="80"/>
    <n v="1"/>
    <n v="10"/>
    <n v="3"/>
    <n v="3"/>
    <n v="10"/>
    <n v="0"/>
    <n v="7"/>
    <n v="9"/>
    <x v="2"/>
    <n v="0"/>
    <n v="0"/>
    <n v="1"/>
    <m/>
    <m/>
  </r>
  <r>
    <n v="38"/>
    <s v="No"/>
    <s v="Travel_Frequently"/>
    <n v="1394"/>
    <s v="Research &amp; Development"/>
    <n v="8"/>
    <n v="3"/>
    <s v="Medical"/>
    <n v="1"/>
    <n v="1937"/>
    <n v="4"/>
    <s v="Female"/>
    <n v="58"/>
    <n v="2"/>
    <n v="2"/>
    <s v="Research Scientist"/>
    <n v="2"/>
    <s v="Divorced"/>
    <n v="2133"/>
    <n v="18115"/>
    <n v="1"/>
    <s v="Y"/>
    <s v="Yes"/>
    <n v="16"/>
    <n v="3"/>
    <n v="3"/>
    <n v="80"/>
    <n v="1"/>
    <n v="20"/>
    <n v="3"/>
    <n v="3"/>
    <n v="20"/>
    <n v="11"/>
    <n v="0"/>
    <n v="7"/>
    <x v="1"/>
    <n v="0"/>
    <n v="0"/>
    <n v="1"/>
    <m/>
    <m/>
  </r>
  <r>
    <n v="58"/>
    <s v="No"/>
    <s v="Travel_Rarely"/>
    <n v="605"/>
    <s v="Sales"/>
    <n v="21"/>
    <n v="3"/>
    <s v="Life Sciences"/>
    <n v="1"/>
    <n v="1938"/>
    <n v="4"/>
    <s v="Female"/>
    <n v="72"/>
    <n v="3"/>
    <n v="4"/>
    <s v="Manager"/>
    <n v="4"/>
    <s v="Married"/>
    <n v="17875"/>
    <n v="11761"/>
    <n v="4"/>
    <s v="Y"/>
    <s v="Yes"/>
    <n v="13"/>
    <n v="3"/>
    <n v="3"/>
    <n v="80"/>
    <n v="1"/>
    <n v="29"/>
    <n v="2"/>
    <n v="2"/>
    <n v="1"/>
    <n v="0"/>
    <n v="0"/>
    <n v="0"/>
    <x v="4"/>
    <n v="0"/>
    <n v="0"/>
    <n v="1"/>
    <m/>
    <m/>
  </r>
  <r>
    <n v="32"/>
    <s v="Yes"/>
    <s v="Travel_Frequently"/>
    <n v="238"/>
    <s v="Research &amp; Development"/>
    <n v="5"/>
    <n v="2"/>
    <s v="Life Sciences"/>
    <n v="1"/>
    <n v="1939"/>
    <n v="1"/>
    <s v="Female"/>
    <n v="47"/>
    <n v="4"/>
    <n v="1"/>
    <s v="Research Scientist"/>
    <n v="3"/>
    <s v="Single"/>
    <n v="2432"/>
    <n v="15318"/>
    <n v="3"/>
    <s v="Y"/>
    <s v="Yes"/>
    <n v="14"/>
    <n v="3"/>
    <n v="1"/>
    <n v="80"/>
    <n v="0"/>
    <n v="8"/>
    <n v="2"/>
    <n v="3"/>
    <n v="4"/>
    <n v="1"/>
    <n v="0"/>
    <n v="3"/>
    <x v="1"/>
    <n v="1"/>
    <n v="43776"/>
    <n v="1"/>
    <m/>
    <m/>
  </r>
  <r>
    <n v="38"/>
    <s v="No"/>
    <s v="Travel_Rarely"/>
    <n v="1206"/>
    <s v="Research &amp; Development"/>
    <n v="9"/>
    <n v="2"/>
    <s v="Life Sciences"/>
    <n v="1"/>
    <n v="1940"/>
    <n v="2"/>
    <s v="Male"/>
    <n v="71"/>
    <n v="3"/>
    <n v="1"/>
    <s v="Research Scientist"/>
    <n v="4"/>
    <s v="Divorced"/>
    <n v="4771"/>
    <n v="14293"/>
    <n v="2"/>
    <s v="Y"/>
    <s v="No"/>
    <n v="19"/>
    <n v="3"/>
    <n v="4"/>
    <n v="80"/>
    <n v="2"/>
    <n v="10"/>
    <n v="0"/>
    <n v="4"/>
    <n v="5"/>
    <n v="2"/>
    <n v="0"/>
    <n v="3"/>
    <x v="1"/>
    <n v="0"/>
    <n v="0"/>
    <n v="1"/>
    <m/>
    <m/>
  </r>
  <r>
    <n v="49"/>
    <s v="No"/>
    <s v="Travel_Frequently"/>
    <n v="1064"/>
    <s v="Research &amp; Development"/>
    <n v="2"/>
    <n v="1"/>
    <s v="Life Sciences"/>
    <n v="1"/>
    <n v="1941"/>
    <n v="2"/>
    <s v="Male"/>
    <n v="42"/>
    <n v="3"/>
    <n v="5"/>
    <s v="Research Director"/>
    <n v="4"/>
    <s v="Married"/>
    <n v="19161"/>
    <n v="13738"/>
    <n v="3"/>
    <s v="Y"/>
    <s v="No"/>
    <n v="15"/>
    <n v="3"/>
    <n v="4"/>
    <n v="80"/>
    <n v="0"/>
    <n v="28"/>
    <n v="3"/>
    <n v="3"/>
    <n v="5"/>
    <n v="4"/>
    <n v="4"/>
    <n v="3"/>
    <x v="1"/>
    <n v="0"/>
    <n v="0"/>
    <n v="1"/>
    <m/>
    <m/>
  </r>
  <r>
    <n v="42"/>
    <s v="No"/>
    <s v="Travel_Rarely"/>
    <n v="419"/>
    <s v="Sales"/>
    <n v="12"/>
    <n v="4"/>
    <s v="Marketing"/>
    <n v="1"/>
    <n v="1943"/>
    <n v="2"/>
    <s v="Male"/>
    <n v="77"/>
    <n v="3"/>
    <n v="2"/>
    <s v="Sales Executive"/>
    <n v="4"/>
    <s v="Divorced"/>
    <n v="5087"/>
    <n v="2900"/>
    <n v="3"/>
    <s v="Y"/>
    <s v="Yes"/>
    <n v="12"/>
    <n v="3"/>
    <n v="3"/>
    <n v="80"/>
    <n v="2"/>
    <n v="14"/>
    <n v="4"/>
    <n v="3"/>
    <n v="0"/>
    <n v="0"/>
    <n v="0"/>
    <n v="0"/>
    <x v="0"/>
    <n v="0"/>
    <n v="0"/>
    <n v="1"/>
    <m/>
    <m/>
  </r>
  <r>
    <n v="27"/>
    <s v="Yes"/>
    <s v="Travel_Frequently"/>
    <n v="1337"/>
    <s v="Human Resources"/>
    <n v="22"/>
    <n v="3"/>
    <s v="Human Resources"/>
    <n v="1"/>
    <n v="1944"/>
    <n v="1"/>
    <s v="Female"/>
    <n v="58"/>
    <n v="2"/>
    <n v="1"/>
    <s v="Human Resources"/>
    <n v="2"/>
    <s v="Married"/>
    <n v="2863"/>
    <n v="19555"/>
    <n v="1"/>
    <s v="Y"/>
    <s v="No"/>
    <n v="12"/>
    <n v="3"/>
    <n v="1"/>
    <n v="80"/>
    <n v="0"/>
    <n v="1"/>
    <n v="2"/>
    <n v="3"/>
    <n v="1"/>
    <n v="0"/>
    <n v="0"/>
    <n v="0"/>
    <x v="5"/>
    <n v="1"/>
    <n v="51534"/>
    <n v="1"/>
    <m/>
    <m/>
  </r>
  <r>
    <n v="35"/>
    <s v="No"/>
    <s v="Travel_Rarely"/>
    <n v="682"/>
    <s v="Sales"/>
    <n v="18"/>
    <n v="4"/>
    <s v="Medical"/>
    <n v="1"/>
    <n v="1945"/>
    <n v="2"/>
    <s v="Male"/>
    <n v="71"/>
    <n v="3"/>
    <n v="2"/>
    <s v="Sales Executive"/>
    <n v="1"/>
    <s v="Married"/>
    <n v="5561"/>
    <n v="15975"/>
    <n v="0"/>
    <s v="Y"/>
    <s v="No"/>
    <n v="16"/>
    <n v="3"/>
    <n v="4"/>
    <n v="80"/>
    <n v="1"/>
    <n v="6"/>
    <n v="2"/>
    <n v="1"/>
    <n v="5"/>
    <n v="3"/>
    <n v="0"/>
    <n v="4"/>
    <x v="0"/>
    <n v="0"/>
    <n v="0"/>
    <n v="1"/>
    <m/>
    <m/>
  </r>
  <r>
    <n v="28"/>
    <s v="No"/>
    <s v="Non-Travel"/>
    <n v="1103"/>
    <s v="Research &amp; Development"/>
    <n v="16"/>
    <n v="3"/>
    <s v="Medical"/>
    <n v="1"/>
    <n v="1947"/>
    <n v="3"/>
    <s v="Male"/>
    <n v="49"/>
    <n v="3"/>
    <n v="1"/>
    <s v="Research Scientist"/>
    <n v="3"/>
    <s v="Single"/>
    <n v="2144"/>
    <n v="2122"/>
    <n v="1"/>
    <s v="Y"/>
    <s v="No"/>
    <n v="14"/>
    <n v="3"/>
    <n v="3"/>
    <n v="80"/>
    <n v="0"/>
    <n v="5"/>
    <n v="3"/>
    <n v="2"/>
    <n v="5"/>
    <n v="3"/>
    <n v="1"/>
    <n v="4"/>
    <x v="1"/>
    <n v="0"/>
    <n v="0"/>
    <n v="1"/>
    <m/>
    <m/>
  </r>
  <r>
    <n v="31"/>
    <s v="No"/>
    <s v="Non-Travel"/>
    <n v="976"/>
    <s v="Research &amp; Development"/>
    <n v="3"/>
    <n v="2"/>
    <s v="Medical"/>
    <n v="1"/>
    <n v="1948"/>
    <n v="3"/>
    <s v="Male"/>
    <n v="48"/>
    <n v="3"/>
    <n v="1"/>
    <s v="Research Scientist"/>
    <n v="1"/>
    <s v="Divorced"/>
    <n v="3065"/>
    <n v="3995"/>
    <n v="1"/>
    <s v="Y"/>
    <s v="Yes"/>
    <n v="13"/>
    <n v="3"/>
    <n v="4"/>
    <n v="80"/>
    <n v="1"/>
    <n v="4"/>
    <n v="3"/>
    <n v="4"/>
    <n v="4"/>
    <n v="2"/>
    <n v="2"/>
    <n v="3"/>
    <x v="1"/>
    <n v="0"/>
    <n v="0"/>
    <n v="1"/>
    <m/>
    <m/>
  </r>
  <r>
    <n v="36"/>
    <s v="No"/>
    <s v="Non-Travel"/>
    <n v="1351"/>
    <s v="Research &amp; Development"/>
    <n v="9"/>
    <n v="4"/>
    <s v="Life Sciences"/>
    <n v="1"/>
    <n v="1949"/>
    <n v="1"/>
    <s v="Male"/>
    <n v="66"/>
    <n v="4"/>
    <n v="1"/>
    <s v="Laboratory Technician"/>
    <n v="2"/>
    <s v="Married"/>
    <n v="2810"/>
    <n v="9238"/>
    <n v="1"/>
    <s v="Y"/>
    <s v="No"/>
    <n v="22"/>
    <n v="4"/>
    <n v="2"/>
    <n v="80"/>
    <n v="0"/>
    <n v="5"/>
    <n v="3"/>
    <n v="3"/>
    <n v="5"/>
    <n v="4"/>
    <n v="0"/>
    <n v="2"/>
    <x v="1"/>
    <n v="0"/>
    <n v="0"/>
    <n v="1"/>
    <m/>
    <m/>
  </r>
  <r>
    <n v="34"/>
    <s v="No"/>
    <s v="Travel_Rarely"/>
    <n v="937"/>
    <s v="Sales"/>
    <n v="1"/>
    <n v="3"/>
    <s v="Marketing"/>
    <n v="1"/>
    <n v="1950"/>
    <n v="1"/>
    <s v="Male"/>
    <n v="32"/>
    <n v="3"/>
    <n v="3"/>
    <s v="Sales Executive"/>
    <n v="4"/>
    <s v="Single"/>
    <n v="9888"/>
    <n v="6770"/>
    <n v="1"/>
    <s v="Y"/>
    <s v="No"/>
    <n v="21"/>
    <n v="4"/>
    <n v="1"/>
    <n v="80"/>
    <n v="0"/>
    <n v="14"/>
    <n v="3"/>
    <n v="2"/>
    <n v="14"/>
    <n v="8"/>
    <n v="2"/>
    <n v="1"/>
    <x v="0"/>
    <n v="0"/>
    <n v="0"/>
    <n v="1"/>
    <m/>
    <m/>
  </r>
  <r>
    <n v="34"/>
    <s v="No"/>
    <s v="Travel_Rarely"/>
    <n v="1239"/>
    <s v="Sales"/>
    <n v="13"/>
    <n v="4"/>
    <s v="Medical"/>
    <n v="1"/>
    <n v="1951"/>
    <n v="4"/>
    <s v="Male"/>
    <n v="39"/>
    <n v="3"/>
    <n v="3"/>
    <s v="Sales Executive"/>
    <n v="3"/>
    <s v="Divorced"/>
    <n v="8628"/>
    <n v="22914"/>
    <n v="1"/>
    <s v="Y"/>
    <s v="No"/>
    <n v="18"/>
    <n v="3"/>
    <n v="3"/>
    <n v="80"/>
    <n v="1"/>
    <n v="9"/>
    <n v="2"/>
    <n v="2"/>
    <n v="8"/>
    <n v="7"/>
    <n v="1"/>
    <n v="1"/>
    <x v="0"/>
    <n v="0"/>
    <n v="0"/>
    <n v="1"/>
    <m/>
    <m/>
  </r>
  <r>
    <n v="26"/>
    <s v="No"/>
    <s v="Travel_Rarely"/>
    <n v="157"/>
    <s v="Research &amp; Development"/>
    <n v="1"/>
    <n v="3"/>
    <s v="Medical"/>
    <n v="1"/>
    <n v="1952"/>
    <n v="3"/>
    <s v="Male"/>
    <n v="95"/>
    <n v="3"/>
    <n v="1"/>
    <s v="Laboratory Technician"/>
    <n v="1"/>
    <s v="Single"/>
    <n v="2867"/>
    <n v="20006"/>
    <n v="0"/>
    <s v="Y"/>
    <s v="No"/>
    <n v="13"/>
    <n v="3"/>
    <n v="4"/>
    <n v="80"/>
    <n v="0"/>
    <n v="8"/>
    <n v="6"/>
    <n v="2"/>
    <n v="7"/>
    <n v="7"/>
    <n v="7"/>
    <n v="6"/>
    <x v="1"/>
    <n v="0"/>
    <n v="0"/>
    <n v="1"/>
    <m/>
    <m/>
  </r>
  <r>
    <n v="29"/>
    <s v="No"/>
    <s v="Travel_Rarely"/>
    <n v="136"/>
    <s v="Research &amp; Development"/>
    <n v="1"/>
    <n v="3"/>
    <s v="Life Sciences"/>
    <n v="1"/>
    <n v="1954"/>
    <n v="1"/>
    <s v="Male"/>
    <n v="89"/>
    <n v="3"/>
    <n v="2"/>
    <s v="Healthcare Representative"/>
    <n v="1"/>
    <s v="Married"/>
    <n v="5373"/>
    <n v="6225"/>
    <n v="0"/>
    <s v="Y"/>
    <s v="No"/>
    <n v="12"/>
    <n v="3"/>
    <n v="1"/>
    <n v="80"/>
    <n v="1"/>
    <n v="6"/>
    <n v="5"/>
    <n v="2"/>
    <n v="5"/>
    <n v="3"/>
    <n v="0"/>
    <n v="2"/>
    <x v="3"/>
    <n v="0"/>
    <n v="0"/>
    <n v="1"/>
    <m/>
    <m/>
  </r>
  <r>
    <n v="32"/>
    <s v="No"/>
    <s v="Non-Travel"/>
    <n v="1146"/>
    <s v="Research &amp; Development"/>
    <n v="15"/>
    <n v="4"/>
    <s v="Medical"/>
    <n v="1"/>
    <n v="1955"/>
    <n v="3"/>
    <s v="Female"/>
    <n v="34"/>
    <n v="3"/>
    <n v="2"/>
    <s v="Healthcare Representative"/>
    <n v="4"/>
    <s v="Divorced"/>
    <n v="6667"/>
    <n v="16542"/>
    <n v="5"/>
    <s v="Y"/>
    <s v="No"/>
    <n v="18"/>
    <n v="3"/>
    <n v="2"/>
    <n v="80"/>
    <n v="1"/>
    <n v="9"/>
    <n v="6"/>
    <n v="3"/>
    <n v="5"/>
    <n v="1"/>
    <n v="1"/>
    <n v="2"/>
    <x v="3"/>
    <n v="0"/>
    <n v="0"/>
    <n v="1"/>
    <m/>
    <m/>
  </r>
  <r>
    <n v="31"/>
    <s v="No"/>
    <s v="Travel_Frequently"/>
    <n v="1125"/>
    <s v="Research &amp; Development"/>
    <n v="1"/>
    <n v="3"/>
    <s v="Life Sciences"/>
    <n v="1"/>
    <n v="1956"/>
    <n v="4"/>
    <s v="Male"/>
    <n v="48"/>
    <n v="1"/>
    <n v="2"/>
    <s v="Research Scientist"/>
    <n v="1"/>
    <s v="Married"/>
    <n v="5003"/>
    <n v="5771"/>
    <n v="1"/>
    <s v="Y"/>
    <s v="No"/>
    <n v="21"/>
    <n v="4"/>
    <n v="2"/>
    <n v="80"/>
    <n v="0"/>
    <n v="10"/>
    <n v="6"/>
    <n v="3"/>
    <n v="10"/>
    <n v="8"/>
    <n v="8"/>
    <n v="7"/>
    <x v="1"/>
    <n v="0"/>
    <n v="0"/>
    <n v="1"/>
    <m/>
    <m/>
  </r>
  <r>
    <n v="28"/>
    <s v="Yes"/>
    <s v="Travel_Rarely"/>
    <n v="1404"/>
    <s v="Research &amp; Development"/>
    <n v="17"/>
    <n v="3"/>
    <s v="Technical Degree"/>
    <n v="1"/>
    <n v="1960"/>
    <n v="3"/>
    <s v="Male"/>
    <n v="32"/>
    <n v="2"/>
    <n v="1"/>
    <s v="Laboratory Technician"/>
    <n v="4"/>
    <s v="Divorced"/>
    <n v="2367"/>
    <n v="18779"/>
    <n v="5"/>
    <s v="Y"/>
    <s v="No"/>
    <n v="12"/>
    <n v="3"/>
    <n v="1"/>
    <n v="80"/>
    <n v="1"/>
    <n v="6"/>
    <n v="2"/>
    <n v="2"/>
    <n v="4"/>
    <n v="1"/>
    <n v="0"/>
    <n v="3"/>
    <x v="1"/>
    <n v="1"/>
    <n v="42606"/>
    <n v="1"/>
    <m/>
    <m/>
  </r>
  <r>
    <n v="38"/>
    <s v="No"/>
    <s v="Travel_Rarely"/>
    <n v="1404"/>
    <s v="Sales"/>
    <n v="1"/>
    <n v="3"/>
    <s v="Life Sciences"/>
    <n v="1"/>
    <n v="1961"/>
    <n v="1"/>
    <s v="Male"/>
    <n v="59"/>
    <n v="2"/>
    <n v="1"/>
    <s v="Sales Representative"/>
    <n v="1"/>
    <s v="Single"/>
    <n v="2858"/>
    <n v="11473"/>
    <n v="4"/>
    <s v="Y"/>
    <s v="No"/>
    <n v="14"/>
    <n v="3"/>
    <n v="1"/>
    <n v="80"/>
    <n v="0"/>
    <n v="20"/>
    <n v="3"/>
    <n v="2"/>
    <n v="1"/>
    <n v="0"/>
    <n v="0"/>
    <n v="0"/>
    <x v="0"/>
    <n v="0"/>
    <n v="0"/>
    <n v="1"/>
    <m/>
    <m/>
  </r>
  <r>
    <n v="35"/>
    <s v="No"/>
    <s v="Travel_Rarely"/>
    <n v="1224"/>
    <s v="Sales"/>
    <n v="7"/>
    <n v="4"/>
    <s v="Life Sciences"/>
    <n v="1"/>
    <n v="1962"/>
    <n v="3"/>
    <s v="Female"/>
    <n v="55"/>
    <n v="3"/>
    <n v="2"/>
    <s v="Sales Executive"/>
    <n v="4"/>
    <s v="Married"/>
    <n v="5204"/>
    <n v="13586"/>
    <n v="1"/>
    <s v="Y"/>
    <s v="Yes"/>
    <n v="11"/>
    <n v="3"/>
    <n v="4"/>
    <n v="80"/>
    <n v="0"/>
    <n v="10"/>
    <n v="2"/>
    <n v="3"/>
    <n v="10"/>
    <n v="8"/>
    <n v="0"/>
    <n v="9"/>
    <x v="0"/>
    <n v="0"/>
    <n v="0"/>
    <n v="1"/>
    <m/>
    <m/>
  </r>
  <r>
    <n v="27"/>
    <s v="No"/>
    <s v="Travel_Rarely"/>
    <n v="954"/>
    <s v="Sales"/>
    <n v="9"/>
    <n v="3"/>
    <s v="Marketing"/>
    <n v="1"/>
    <n v="1965"/>
    <n v="4"/>
    <s v="Male"/>
    <n v="44"/>
    <n v="3"/>
    <n v="2"/>
    <s v="Sales Executive"/>
    <n v="4"/>
    <s v="Single"/>
    <n v="4105"/>
    <n v="5099"/>
    <n v="1"/>
    <s v="Y"/>
    <s v="No"/>
    <n v="14"/>
    <n v="3"/>
    <n v="1"/>
    <n v="80"/>
    <n v="0"/>
    <n v="7"/>
    <n v="5"/>
    <n v="3"/>
    <n v="7"/>
    <n v="7"/>
    <n v="0"/>
    <n v="7"/>
    <x v="0"/>
    <n v="0"/>
    <n v="0"/>
    <n v="1"/>
    <m/>
    <m/>
  </r>
  <r>
    <n v="32"/>
    <s v="No"/>
    <s v="Travel_Rarely"/>
    <n v="1373"/>
    <s v="Research &amp; Development"/>
    <n v="5"/>
    <n v="4"/>
    <s v="Life Sciences"/>
    <n v="1"/>
    <n v="1966"/>
    <n v="4"/>
    <s v="Male"/>
    <n v="56"/>
    <n v="2"/>
    <n v="2"/>
    <s v="Manufacturing Director"/>
    <n v="4"/>
    <s v="Single"/>
    <n v="9679"/>
    <n v="10138"/>
    <n v="8"/>
    <s v="Y"/>
    <s v="No"/>
    <n v="24"/>
    <n v="4"/>
    <n v="2"/>
    <n v="80"/>
    <n v="0"/>
    <n v="8"/>
    <n v="1"/>
    <n v="3"/>
    <n v="1"/>
    <n v="0"/>
    <n v="0"/>
    <n v="0"/>
    <x v="2"/>
    <n v="0"/>
    <n v="0"/>
    <n v="1"/>
    <m/>
    <m/>
  </r>
  <r>
    <n v="31"/>
    <s v="Yes"/>
    <s v="Travel_Frequently"/>
    <n v="754"/>
    <s v="Sales"/>
    <n v="26"/>
    <n v="4"/>
    <s v="Marketing"/>
    <n v="1"/>
    <n v="1967"/>
    <n v="1"/>
    <s v="Male"/>
    <n v="63"/>
    <n v="3"/>
    <n v="2"/>
    <s v="Sales Executive"/>
    <n v="4"/>
    <s v="Married"/>
    <n v="5617"/>
    <n v="21075"/>
    <n v="1"/>
    <s v="Y"/>
    <s v="Yes"/>
    <n v="11"/>
    <n v="3"/>
    <n v="3"/>
    <n v="80"/>
    <n v="0"/>
    <n v="10"/>
    <n v="4"/>
    <n v="3"/>
    <n v="10"/>
    <n v="7"/>
    <n v="0"/>
    <n v="8"/>
    <x v="0"/>
    <n v="1"/>
    <n v="101106"/>
    <n v="1"/>
    <m/>
    <m/>
  </r>
  <r>
    <n v="53"/>
    <s v="Yes"/>
    <s v="Travel_Rarely"/>
    <n v="1168"/>
    <s v="Sales"/>
    <n v="24"/>
    <n v="4"/>
    <s v="Life Sciences"/>
    <n v="1"/>
    <n v="1968"/>
    <n v="1"/>
    <s v="Male"/>
    <n v="66"/>
    <n v="3"/>
    <n v="3"/>
    <s v="Sales Executive"/>
    <n v="1"/>
    <s v="Single"/>
    <n v="10448"/>
    <n v="5843"/>
    <n v="6"/>
    <s v="Y"/>
    <s v="Yes"/>
    <n v="13"/>
    <n v="3"/>
    <n v="2"/>
    <n v="80"/>
    <n v="0"/>
    <n v="15"/>
    <n v="2"/>
    <n v="2"/>
    <n v="2"/>
    <n v="2"/>
    <n v="2"/>
    <n v="2"/>
    <x v="0"/>
    <n v="1"/>
    <n v="188064"/>
    <n v="1"/>
    <m/>
    <m/>
  </r>
  <r>
    <n v="54"/>
    <s v="No"/>
    <s v="Travel_Rarely"/>
    <n v="155"/>
    <s v="Research &amp; Development"/>
    <n v="9"/>
    <n v="2"/>
    <s v="Life Sciences"/>
    <n v="1"/>
    <n v="1969"/>
    <n v="1"/>
    <s v="Female"/>
    <n v="67"/>
    <n v="3"/>
    <n v="2"/>
    <s v="Research Scientist"/>
    <n v="3"/>
    <s v="Married"/>
    <n v="2897"/>
    <n v="22474"/>
    <n v="3"/>
    <s v="Y"/>
    <s v="No"/>
    <n v="11"/>
    <n v="3"/>
    <n v="3"/>
    <n v="80"/>
    <n v="2"/>
    <n v="9"/>
    <n v="6"/>
    <n v="2"/>
    <n v="4"/>
    <n v="3"/>
    <n v="2"/>
    <n v="3"/>
    <x v="1"/>
    <n v="0"/>
    <n v="0"/>
    <n v="1"/>
    <m/>
    <m/>
  </r>
  <r>
    <n v="33"/>
    <s v="No"/>
    <s v="Travel_Frequently"/>
    <n v="1303"/>
    <s v="Research &amp; Development"/>
    <n v="7"/>
    <n v="2"/>
    <s v="Life Sciences"/>
    <n v="1"/>
    <n v="1970"/>
    <n v="4"/>
    <s v="Male"/>
    <n v="36"/>
    <n v="3"/>
    <n v="2"/>
    <s v="Healthcare Representative"/>
    <n v="3"/>
    <s v="Divorced"/>
    <n v="5968"/>
    <n v="18079"/>
    <n v="1"/>
    <s v="Y"/>
    <s v="No"/>
    <n v="20"/>
    <n v="4"/>
    <n v="3"/>
    <n v="80"/>
    <n v="3"/>
    <n v="9"/>
    <n v="2"/>
    <n v="3"/>
    <n v="9"/>
    <n v="7"/>
    <n v="2"/>
    <n v="8"/>
    <x v="3"/>
    <n v="0"/>
    <n v="0"/>
    <n v="1"/>
    <m/>
    <m/>
  </r>
  <r>
    <n v="43"/>
    <s v="No"/>
    <s v="Travel_Rarely"/>
    <n v="574"/>
    <s v="Research &amp; Development"/>
    <n v="11"/>
    <n v="3"/>
    <s v="Life Sciences"/>
    <n v="1"/>
    <n v="1971"/>
    <n v="1"/>
    <s v="Male"/>
    <n v="30"/>
    <n v="3"/>
    <n v="3"/>
    <s v="Healthcare Representative"/>
    <n v="3"/>
    <s v="Married"/>
    <n v="7510"/>
    <n v="16873"/>
    <n v="1"/>
    <s v="Y"/>
    <s v="No"/>
    <n v="17"/>
    <n v="3"/>
    <n v="2"/>
    <n v="80"/>
    <n v="1"/>
    <n v="10"/>
    <n v="1"/>
    <n v="3"/>
    <n v="10"/>
    <n v="9"/>
    <n v="0"/>
    <n v="9"/>
    <x v="3"/>
    <n v="0"/>
    <n v="0"/>
    <n v="1"/>
    <m/>
    <m/>
  </r>
  <r>
    <n v="38"/>
    <s v="No"/>
    <s v="Travel_Frequently"/>
    <n v="1444"/>
    <s v="Human Resources"/>
    <n v="1"/>
    <n v="4"/>
    <s v="Other"/>
    <n v="1"/>
    <n v="1972"/>
    <n v="4"/>
    <s v="Male"/>
    <n v="88"/>
    <n v="3"/>
    <n v="1"/>
    <s v="Human Resources"/>
    <n v="2"/>
    <s v="Married"/>
    <n v="2991"/>
    <n v="5224"/>
    <n v="0"/>
    <s v="Y"/>
    <s v="Yes"/>
    <n v="11"/>
    <n v="3"/>
    <n v="2"/>
    <n v="80"/>
    <n v="1"/>
    <n v="7"/>
    <n v="2"/>
    <n v="3"/>
    <n v="6"/>
    <n v="2"/>
    <n v="1"/>
    <n v="2"/>
    <x v="5"/>
    <n v="0"/>
    <n v="0"/>
    <n v="1"/>
    <m/>
    <m/>
  </r>
  <r>
    <n v="55"/>
    <s v="No"/>
    <s v="Travel_Rarely"/>
    <n v="189"/>
    <s v="Human Resources"/>
    <n v="26"/>
    <n v="4"/>
    <s v="Human Resources"/>
    <n v="1"/>
    <n v="1973"/>
    <n v="3"/>
    <s v="Male"/>
    <n v="71"/>
    <n v="4"/>
    <n v="5"/>
    <s v="Manager"/>
    <n v="2"/>
    <s v="Married"/>
    <n v="19636"/>
    <n v="25811"/>
    <n v="4"/>
    <s v="Y"/>
    <s v="Yes"/>
    <n v="18"/>
    <n v="3"/>
    <n v="1"/>
    <n v="80"/>
    <n v="1"/>
    <n v="35"/>
    <n v="0"/>
    <n v="3"/>
    <n v="10"/>
    <n v="9"/>
    <n v="1"/>
    <n v="4"/>
    <x v="4"/>
    <n v="0"/>
    <n v="0"/>
    <n v="1"/>
    <m/>
    <m/>
  </r>
  <r>
    <n v="31"/>
    <s v="No"/>
    <s v="Travel_Rarely"/>
    <n v="1276"/>
    <s v="Research &amp; Development"/>
    <n v="2"/>
    <n v="1"/>
    <s v="Medical"/>
    <n v="1"/>
    <n v="1974"/>
    <n v="4"/>
    <s v="Female"/>
    <n v="59"/>
    <n v="1"/>
    <n v="1"/>
    <s v="Laboratory Technician"/>
    <n v="4"/>
    <s v="Divorced"/>
    <n v="1129"/>
    <n v="17536"/>
    <n v="1"/>
    <s v="Y"/>
    <s v="Yes"/>
    <n v="11"/>
    <n v="3"/>
    <n v="3"/>
    <n v="80"/>
    <n v="3"/>
    <n v="1"/>
    <n v="4"/>
    <n v="3"/>
    <n v="1"/>
    <n v="0"/>
    <n v="0"/>
    <n v="0"/>
    <x v="1"/>
    <n v="0"/>
    <n v="0"/>
    <n v="1"/>
    <m/>
    <m/>
  </r>
  <r>
    <n v="39"/>
    <s v="No"/>
    <s v="Travel_Rarely"/>
    <n v="119"/>
    <s v="Sales"/>
    <n v="15"/>
    <n v="4"/>
    <s v="Marketing"/>
    <n v="1"/>
    <n v="1975"/>
    <n v="2"/>
    <s v="Male"/>
    <n v="77"/>
    <n v="3"/>
    <n v="4"/>
    <s v="Sales Executive"/>
    <n v="1"/>
    <s v="Single"/>
    <n v="13341"/>
    <n v="25098"/>
    <n v="0"/>
    <s v="Y"/>
    <s v="No"/>
    <n v="12"/>
    <n v="3"/>
    <n v="1"/>
    <n v="80"/>
    <n v="0"/>
    <n v="21"/>
    <n v="3"/>
    <n v="3"/>
    <n v="20"/>
    <n v="8"/>
    <n v="11"/>
    <n v="10"/>
    <x v="0"/>
    <n v="0"/>
    <n v="0"/>
    <n v="1"/>
    <m/>
    <m/>
  </r>
  <r>
    <n v="42"/>
    <s v="No"/>
    <s v="Non-Travel"/>
    <n v="335"/>
    <s v="Research &amp; Development"/>
    <n v="23"/>
    <n v="2"/>
    <s v="Life Sciences"/>
    <n v="1"/>
    <n v="1976"/>
    <n v="4"/>
    <s v="Male"/>
    <n v="37"/>
    <n v="2"/>
    <n v="2"/>
    <s v="Research Scientist"/>
    <n v="3"/>
    <s v="Single"/>
    <n v="4332"/>
    <n v="14811"/>
    <n v="1"/>
    <s v="Y"/>
    <s v="No"/>
    <n v="12"/>
    <n v="3"/>
    <n v="4"/>
    <n v="80"/>
    <n v="0"/>
    <n v="20"/>
    <n v="2"/>
    <n v="3"/>
    <n v="20"/>
    <n v="9"/>
    <n v="3"/>
    <n v="7"/>
    <x v="1"/>
    <n v="0"/>
    <n v="0"/>
    <n v="1"/>
    <m/>
    <m/>
  </r>
  <r>
    <n v="31"/>
    <s v="No"/>
    <s v="Non-Travel"/>
    <n v="697"/>
    <s v="Research &amp; Development"/>
    <n v="10"/>
    <n v="3"/>
    <s v="Medical"/>
    <n v="1"/>
    <n v="1979"/>
    <n v="3"/>
    <s v="Female"/>
    <n v="40"/>
    <n v="3"/>
    <n v="3"/>
    <s v="Research Director"/>
    <n v="3"/>
    <s v="Married"/>
    <n v="11031"/>
    <n v="26862"/>
    <n v="4"/>
    <s v="Y"/>
    <s v="No"/>
    <n v="20"/>
    <n v="4"/>
    <n v="3"/>
    <n v="80"/>
    <n v="1"/>
    <n v="13"/>
    <n v="2"/>
    <n v="4"/>
    <n v="11"/>
    <n v="7"/>
    <n v="4"/>
    <n v="8"/>
    <x v="1"/>
    <n v="0"/>
    <n v="0"/>
    <n v="1"/>
    <m/>
    <m/>
  </r>
  <r>
    <n v="54"/>
    <s v="No"/>
    <s v="Travel_Rarely"/>
    <n v="157"/>
    <s v="Research &amp; Development"/>
    <n v="10"/>
    <n v="3"/>
    <s v="Medical"/>
    <n v="1"/>
    <n v="1980"/>
    <n v="3"/>
    <s v="Female"/>
    <n v="77"/>
    <n v="3"/>
    <n v="2"/>
    <s v="Manufacturing Director"/>
    <n v="1"/>
    <s v="Single"/>
    <n v="4440"/>
    <n v="25198"/>
    <n v="6"/>
    <s v="Y"/>
    <s v="Yes"/>
    <n v="19"/>
    <n v="3"/>
    <n v="4"/>
    <n v="80"/>
    <n v="0"/>
    <n v="9"/>
    <n v="3"/>
    <n v="3"/>
    <n v="5"/>
    <n v="2"/>
    <n v="1"/>
    <n v="4"/>
    <x v="2"/>
    <n v="0"/>
    <n v="0"/>
    <n v="1"/>
    <m/>
    <m/>
  </r>
  <r>
    <n v="24"/>
    <s v="No"/>
    <s v="Travel_Rarely"/>
    <n v="771"/>
    <s v="Research &amp; Development"/>
    <n v="1"/>
    <n v="2"/>
    <s v="Life Sciences"/>
    <n v="1"/>
    <n v="1981"/>
    <n v="2"/>
    <s v="Male"/>
    <n v="45"/>
    <n v="2"/>
    <n v="2"/>
    <s v="Healthcare Representative"/>
    <n v="3"/>
    <s v="Single"/>
    <n v="4617"/>
    <n v="14120"/>
    <n v="1"/>
    <s v="Y"/>
    <s v="No"/>
    <n v="12"/>
    <n v="3"/>
    <n v="2"/>
    <n v="80"/>
    <n v="0"/>
    <n v="4"/>
    <n v="2"/>
    <n v="2"/>
    <n v="4"/>
    <n v="3"/>
    <n v="1"/>
    <n v="2"/>
    <x v="3"/>
    <n v="0"/>
    <n v="0"/>
    <n v="1"/>
    <m/>
    <m/>
  </r>
  <r>
    <n v="23"/>
    <s v="No"/>
    <s v="Travel_Rarely"/>
    <n v="571"/>
    <s v="Research &amp; Development"/>
    <n v="12"/>
    <n v="2"/>
    <s v="Other"/>
    <n v="1"/>
    <n v="1982"/>
    <n v="4"/>
    <s v="Male"/>
    <n v="78"/>
    <n v="3"/>
    <n v="1"/>
    <s v="Laboratory Technician"/>
    <n v="4"/>
    <s v="Single"/>
    <n v="2647"/>
    <n v="13672"/>
    <n v="1"/>
    <s v="Y"/>
    <s v="No"/>
    <n v="13"/>
    <n v="3"/>
    <n v="3"/>
    <n v="80"/>
    <n v="0"/>
    <n v="5"/>
    <n v="6"/>
    <n v="4"/>
    <n v="5"/>
    <n v="2"/>
    <n v="1"/>
    <n v="4"/>
    <x v="1"/>
    <n v="0"/>
    <n v="0"/>
    <n v="1"/>
    <m/>
    <m/>
  </r>
  <r>
    <n v="40"/>
    <s v="No"/>
    <s v="Travel_Frequently"/>
    <n v="692"/>
    <s v="Research &amp; Development"/>
    <n v="11"/>
    <n v="3"/>
    <s v="Technical Degree"/>
    <n v="1"/>
    <n v="1985"/>
    <n v="4"/>
    <s v="Female"/>
    <n v="73"/>
    <n v="3"/>
    <n v="2"/>
    <s v="Laboratory Technician"/>
    <n v="3"/>
    <s v="Married"/>
    <n v="6323"/>
    <n v="26849"/>
    <n v="1"/>
    <s v="Y"/>
    <s v="No"/>
    <n v="11"/>
    <n v="3"/>
    <n v="1"/>
    <n v="80"/>
    <n v="1"/>
    <n v="10"/>
    <n v="2"/>
    <n v="4"/>
    <n v="10"/>
    <n v="9"/>
    <n v="9"/>
    <n v="4"/>
    <x v="1"/>
    <n v="0"/>
    <n v="0"/>
    <n v="1"/>
    <m/>
    <m/>
  </r>
  <r>
    <n v="40"/>
    <s v="No"/>
    <s v="Travel_Rarely"/>
    <n v="444"/>
    <s v="Sales"/>
    <n v="2"/>
    <n v="2"/>
    <s v="Marketing"/>
    <n v="1"/>
    <n v="1986"/>
    <n v="2"/>
    <s v="Female"/>
    <n v="92"/>
    <n v="3"/>
    <n v="2"/>
    <s v="Sales Executive"/>
    <n v="2"/>
    <s v="Married"/>
    <n v="5677"/>
    <n v="4258"/>
    <n v="3"/>
    <s v="Y"/>
    <s v="No"/>
    <n v="14"/>
    <n v="3"/>
    <n v="3"/>
    <n v="80"/>
    <n v="1"/>
    <n v="15"/>
    <n v="4"/>
    <n v="3"/>
    <n v="11"/>
    <n v="8"/>
    <n v="5"/>
    <n v="10"/>
    <x v="0"/>
    <n v="0"/>
    <n v="0"/>
    <n v="1"/>
    <m/>
    <m/>
  </r>
  <r>
    <n v="25"/>
    <s v="No"/>
    <s v="Travel_Rarely"/>
    <n v="309"/>
    <s v="Human Resources"/>
    <n v="2"/>
    <n v="3"/>
    <s v="Human Resources"/>
    <n v="1"/>
    <n v="1987"/>
    <n v="3"/>
    <s v="Female"/>
    <n v="82"/>
    <n v="3"/>
    <n v="1"/>
    <s v="Human Resources"/>
    <n v="2"/>
    <s v="Married"/>
    <n v="2187"/>
    <n v="19655"/>
    <n v="4"/>
    <s v="Y"/>
    <s v="No"/>
    <n v="14"/>
    <n v="3"/>
    <n v="3"/>
    <n v="80"/>
    <n v="0"/>
    <n v="6"/>
    <n v="3"/>
    <n v="3"/>
    <n v="2"/>
    <n v="0"/>
    <n v="1"/>
    <n v="2"/>
    <x v="5"/>
    <n v="0"/>
    <n v="0"/>
    <n v="1"/>
    <m/>
    <m/>
  </r>
  <r>
    <n v="30"/>
    <s v="No"/>
    <s v="Travel_Rarely"/>
    <n v="911"/>
    <s v="Research &amp; Development"/>
    <n v="1"/>
    <n v="2"/>
    <s v="Medical"/>
    <n v="1"/>
    <n v="1989"/>
    <n v="4"/>
    <s v="Male"/>
    <n v="76"/>
    <n v="3"/>
    <n v="1"/>
    <s v="Laboratory Technician"/>
    <n v="2"/>
    <s v="Married"/>
    <n v="3748"/>
    <n v="4077"/>
    <n v="1"/>
    <s v="Y"/>
    <s v="No"/>
    <n v="13"/>
    <n v="3"/>
    <n v="3"/>
    <n v="80"/>
    <n v="0"/>
    <n v="12"/>
    <n v="6"/>
    <n v="2"/>
    <n v="12"/>
    <n v="8"/>
    <n v="1"/>
    <n v="7"/>
    <x v="1"/>
    <n v="0"/>
    <n v="0"/>
    <n v="1"/>
    <m/>
    <m/>
  </r>
  <r>
    <n v="25"/>
    <s v="No"/>
    <s v="Travel_Rarely"/>
    <n v="977"/>
    <s v="Research &amp; Development"/>
    <n v="2"/>
    <n v="1"/>
    <s v="Other"/>
    <n v="1"/>
    <n v="1992"/>
    <n v="4"/>
    <s v="Male"/>
    <n v="57"/>
    <n v="3"/>
    <n v="1"/>
    <s v="Laboratory Technician"/>
    <n v="3"/>
    <s v="Divorced"/>
    <n v="3977"/>
    <n v="7298"/>
    <n v="6"/>
    <s v="Y"/>
    <s v="Yes"/>
    <n v="19"/>
    <n v="3"/>
    <n v="3"/>
    <n v="80"/>
    <n v="1"/>
    <n v="7"/>
    <n v="2"/>
    <n v="2"/>
    <n v="2"/>
    <n v="2"/>
    <n v="0"/>
    <n v="2"/>
    <x v="1"/>
    <n v="0"/>
    <n v="0"/>
    <n v="1"/>
    <m/>
    <m/>
  </r>
  <r>
    <n v="47"/>
    <s v="No"/>
    <s v="Travel_Rarely"/>
    <n v="1180"/>
    <s v="Research &amp; Development"/>
    <n v="25"/>
    <n v="3"/>
    <s v="Medical"/>
    <n v="1"/>
    <n v="1993"/>
    <n v="1"/>
    <s v="Male"/>
    <n v="84"/>
    <n v="3"/>
    <n v="3"/>
    <s v="Healthcare Representative"/>
    <n v="3"/>
    <s v="Single"/>
    <n v="8633"/>
    <n v="13084"/>
    <n v="2"/>
    <s v="Y"/>
    <s v="No"/>
    <n v="23"/>
    <n v="4"/>
    <n v="2"/>
    <n v="80"/>
    <n v="0"/>
    <n v="25"/>
    <n v="3"/>
    <n v="3"/>
    <n v="17"/>
    <n v="14"/>
    <n v="12"/>
    <n v="11"/>
    <x v="3"/>
    <n v="0"/>
    <n v="0"/>
    <n v="1"/>
    <m/>
    <m/>
  </r>
  <r>
    <n v="33"/>
    <s v="No"/>
    <s v="Non-Travel"/>
    <n v="1313"/>
    <s v="Research &amp; Development"/>
    <n v="1"/>
    <n v="2"/>
    <s v="Medical"/>
    <n v="1"/>
    <n v="1994"/>
    <n v="2"/>
    <s v="Male"/>
    <n v="59"/>
    <n v="2"/>
    <n v="1"/>
    <s v="Laboratory Technician"/>
    <n v="3"/>
    <s v="Divorced"/>
    <n v="2008"/>
    <n v="20439"/>
    <n v="1"/>
    <s v="Y"/>
    <s v="No"/>
    <n v="12"/>
    <n v="3"/>
    <n v="3"/>
    <n v="80"/>
    <n v="3"/>
    <n v="1"/>
    <n v="2"/>
    <n v="2"/>
    <n v="1"/>
    <n v="1"/>
    <n v="0"/>
    <n v="0"/>
    <x v="1"/>
    <n v="0"/>
    <n v="0"/>
    <n v="1"/>
    <m/>
    <m/>
  </r>
  <r>
    <n v="38"/>
    <s v="No"/>
    <s v="Travel_Rarely"/>
    <n v="1321"/>
    <s v="Sales"/>
    <n v="1"/>
    <n v="4"/>
    <s v="Life Sciences"/>
    <n v="1"/>
    <n v="1995"/>
    <n v="4"/>
    <s v="Male"/>
    <n v="86"/>
    <n v="3"/>
    <n v="2"/>
    <s v="Sales Executive"/>
    <n v="2"/>
    <s v="Married"/>
    <n v="4440"/>
    <n v="7636"/>
    <n v="0"/>
    <s v="Y"/>
    <s v="No"/>
    <n v="15"/>
    <n v="3"/>
    <n v="1"/>
    <n v="80"/>
    <n v="2"/>
    <n v="16"/>
    <n v="3"/>
    <n v="3"/>
    <n v="15"/>
    <n v="13"/>
    <n v="5"/>
    <n v="8"/>
    <x v="0"/>
    <n v="0"/>
    <n v="0"/>
    <n v="1"/>
    <m/>
    <m/>
  </r>
  <r>
    <n v="31"/>
    <s v="No"/>
    <s v="Travel_Rarely"/>
    <n v="1154"/>
    <s v="Sales"/>
    <n v="2"/>
    <n v="2"/>
    <s v="Life Sciences"/>
    <n v="1"/>
    <n v="1996"/>
    <n v="1"/>
    <s v="Male"/>
    <n v="54"/>
    <n v="3"/>
    <n v="1"/>
    <s v="Sales Representative"/>
    <n v="3"/>
    <s v="Married"/>
    <n v="3067"/>
    <n v="6393"/>
    <n v="0"/>
    <s v="Y"/>
    <s v="No"/>
    <n v="19"/>
    <n v="3"/>
    <n v="3"/>
    <n v="80"/>
    <n v="1"/>
    <n v="3"/>
    <n v="1"/>
    <n v="3"/>
    <n v="2"/>
    <n v="2"/>
    <n v="1"/>
    <n v="2"/>
    <x v="0"/>
    <n v="0"/>
    <n v="0"/>
    <n v="1"/>
    <m/>
    <m/>
  </r>
  <r>
    <n v="38"/>
    <s v="No"/>
    <s v="Travel_Frequently"/>
    <n v="508"/>
    <s v="Research &amp; Development"/>
    <n v="6"/>
    <n v="4"/>
    <s v="Life Sciences"/>
    <n v="1"/>
    <n v="1997"/>
    <n v="1"/>
    <s v="Male"/>
    <n v="72"/>
    <n v="2"/>
    <n v="2"/>
    <s v="Manufacturing Director"/>
    <n v="3"/>
    <s v="Married"/>
    <n v="5321"/>
    <n v="14284"/>
    <n v="2"/>
    <s v="Y"/>
    <s v="No"/>
    <n v="11"/>
    <n v="3"/>
    <n v="4"/>
    <n v="80"/>
    <n v="1"/>
    <n v="10"/>
    <n v="1"/>
    <n v="3"/>
    <n v="8"/>
    <n v="3"/>
    <n v="7"/>
    <n v="7"/>
    <x v="2"/>
    <n v="0"/>
    <n v="0"/>
    <n v="1"/>
    <m/>
    <m/>
  </r>
  <r>
    <n v="42"/>
    <s v="No"/>
    <s v="Travel_Rarely"/>
    <n v="557"/>
    <s v="Research &amp; Development"/>
    <n v="18"/>
    <n v="4"/>
    <s v="Life Sciences"/>
    <n v="1"/>
    <n v="1998"/>
    <n v="4"/>
    <s v="Male"/>
    <n v="35"/>
    <n v="3"/>
    <n v="2"/>
    <s v="Research Scientist"/>
    <n v="1"/>
    <s v="Divorced"/>
    <n v="5410"/>
    <n v="11189"/>
    <n v="6"/>
    <s v="Y"/>
    <s v="Yes"/>
    <n v="17"/>
    <n v="3"/>
    <n v="3"/>
    <n v="80"/>
    <n v="1"/>
    <n v="9"/>
    <n v="3"/>
    <n v="2"/>
    <n v="4"/>
    <n v="3"/>
    <n v="1"/>
    <n v="2"/>
    <x v="1"/>
    <n v="0"/>
    <n v="0"/>
    <n v="1"/>
    <m/>
    <m/>
  </r>
  <r>
    <n v="41"/>
    <s v="No"/>
    <s v="Travel_Rarely"/>
    <n v="642"/>
    <s v="Research &amp; Development"/>
    <n v="1"/>
    <n v="3"/>
    <s v="Life Sciences"/>
    <n v="1"/>
    <n v="1999"/>
    <n v="4"/>
    <s v="Male"/>
    <n v="76"/>
    <n v="3"/>
    <n v="1"/>
    <s v="Research Scientist"/>
    <n v="4"/>
    <s v="Married"/>
    <n v="2782"/>
    <n v="21412"/>
    <n v="3"/>
    <s v="Y"/>
    <s v="No"/>
    <n v="22"/>
    <n v="4"/>
    <n v="1"/>
    <n v="80"/>
    <n v="1"/>
    <n v="12"/>
    <n v="3"/>
    <n v="3"/>
    <n v="5"/>
    <n v="3"/>
    <n v="1"/>
    <n v="0"/>
    <x v="1"/>
    <n v="0"/>
    <n v="0"/>
    <n v="1"/>
    <m/>
    <m/>
  </r>
  <r>
    <n v="47"/>
    <s v="No"/>
    <s v="Non-Travel"/>
    <n v="1162"/>
    <s v="Research &amp; Development"/>
    <n v="1"/>
    <n v="1"/>
    <s v="Medical"/>
    <n v="1"/>
    <n v="2000"/>
    <n v="3"/>
    <s v="Female"/>
    <n v="98"/>
    <n v="3"/>
    <n v="3"/>
    <s v="Research Director"/>
    <n v="2"/>
    <s v="Married"/>
    <n v="11957"/>
    <n v="17231"/>
    <n v="0"/>
    <s v="Y"/>
    <s v="No"/>
    <n v="18"/>
    <n v="3"/>
    <n v="1"/>
    <n v="80"/>
    <n v="2"/>
    <n v="14"/>
    <n v="3"/>
    <n v="1"/>
    <n v="13"/>
    <n v="8"/>
    <n v="5"/>
    <n v="12"/>
    <x v="1"/>
    <n v="0"/>
    <n v="0"/>
    <n v="1"/>
    <m/>
    <m/>
  </r>
  <r>
    <n v="35"/>
    <s v="No"/>
    <s v="Travel_Rarely"/>
    <n v="1490"/>
    <s v="Research &amp; Development"/>
    <n v="11"/>
    <n v="4"/>
    <s v="Medical"/>
    <n v="1"/>
    <n v="2003"/>
    <n v="4"/>
    <s v="Male"/>
    <n v="43"/>
    <n v="3"/>
    <n v="1"/>
    <s v="Laboratory Technician"/>
    <n v="3"/>
    <s v="Married"/>
    <n v="2660"/>
    <n v="20232"/>
    <n v="7"/>
    <s v="Y"/>
    <s v="Yes"/>
    <n v="11"/>
    <n v="3"/>
    <n v="3"/>
    <n v="80"/>
    <n v="1"/>
    <n v="5"/>
    <n v="3"/>
    <n v="3"/>
    <n v="2"/>
    <n v="2"/>
    <n v="2"/>
    <n v="2"/>
    <x v="1"/>
    <n v="0"/>
    <n v="0"/>
    <n v="1"/>
    <m/>
    <m/>
  </r>
  <r>
    <n v="22"/>
    <s v="No"/>
    <s v="Travel_Rarely"/>
    <n v="581"/>
    <s v="Research &amp; Development"/>
    <n v="1"/>
    <n v="2"/>
    <s v="Life Sciences"/>
    <n v="1"/>
    <n v="2007"/>
    <n v="4"/>
    <s v="Male"/>
    <n v="63"/>
    <n v="3"/>
    <n v="1"/>
    <s v="Research Scientist"/>
    <n v="3"/>
    <s v="Single"/>
    <n v="3375"/>
    <n v="17624"/>
    <n v="0"/>
    <s v="Y"/>
    <s v="No"/>
    <n v="12"/>
    <n v="3"/>
    <n v="4"/>
    <n v="80"/>
    <n v="0"/>
    <n v="4"/>
    <n v="2"/>
    <n v="4"/>
    <n v="3"/>
    <n v="2"/>
    <n v="1"/>
    <n v="2"/>
    <x v="1"/>
    <n v="0"/>
    <n v="0"/>
    <n v="1"/>
    <m/>
    <m/>
  </r>
  <r>
    <n v="35"/>
    <s v="No"/>
    <s v="Travel_Rarely"/>
    <n v="1395"/>
    <s v="Research &amp; Development"/>
    <n v="9"/>
    <n v="4"/>
    <s v="Medical"/>
    <n v="1"/>
    <n v="2008"/>
    <n v="2"/>
    <s v="Male"/>
    <n v="48"/>
    <n v="3"/>
    <n v="2"/>
    <s v="Research Scientist"/>
    <n v="3"/>
    <s v="Single"/>
    <n v="5098"/>
    <n v="18698"/>
    <n v="1"/>
    <s v="Y"/>
    <s v="No"/>
    <n v="19"/>
    <n v="3"/>
    <n v="2"/>
    <n v="80"/>
    <n v="0"/>
    <n v="10"/>
    <n v="5"/>
    <n v="3"/>
    <n v="10"/>
    <n v="7"/>
    <n v="0"/>
    <n v="8"/>
    <x v="1"/>
    <n v="0"/>
    <n v="0"/>
    <n v="1"/>
    <m/>
    <m/>
  </r>
  <r>
    <n v="33"/>
    <s v="No"/>
    <s v="Travel_Rarely"/>
    <n v="501"/>
    <s v="Research &amp; Development"/>
    <n v="15"/>
    <n v="2"/>
    <s v="Medical"/>
    <n v="1"/>
    <n v="2009"/>
    <n v="2"/>
    <s v="Female"/>
    <n v="95"/>
    <n v="3"/>
    <n v="2"/>
    <s v="Healthcare Representative"/>
    <n v="4"/>
    <s v="Married"/>
    <n v="4878"/>
    <n v="21653"/>
    <n v="0"/>
    <s v="Y"/>
    <s v="Yes"/>
    <n v="13"/>
    <n v="3"/>
    <n v="1"/>
    <n v="80"/>
    <n v="1"/>
    <n v="10"/>
    <n v="6"/>
    <n v="3"/>
    <n v="9"/>
    <n v="7"/>
    <n v="8"/>
    <n v="1"/>
    <x v="3"/>
    <n v="0"/>
    <n v="0"/>
    <n v="1"/>
    <m/>
    <m/>
  </r>
  <r>
    <n v="32"/>
    <s v="No"/>
    <s v="Travel_Rarely"/>
    <n v="267"/>
    <s v="Research &amp; Development"/>
    <n v="29"/>
    <n v="4"/>
    <s v="Life Sciences"/>
    <n v="1"/>
    <n v="2010"/>
    <n v="3"/>
    <s v="Female"/>
    <n v="49"/>
    <n v="2"/>
    <n v="1"/>
    <s v="Laboratory Technician"/>
    <n v="2"/>
    <s v="Single"/>
    <n v="2837"/>
    <n v="15919"/>
    <n v="1"/>
    <s v="Y"/>
    <s v="No"/>
    <n v="13"/>
    <n v="3"/>
    <n v="3"/>
    <n v="80"/>
    <n v="0"/>
    <n v="6"/>
    <n v="3"/>
    <n v="3"/>
    <n v="6"/>
    <n v="2"/>
    <n v="4"/>
    <n v="1"/>
    <x v="1"/>
    <n v="0"/>
    <n v="0"/>
    <n v="1"/>
    <m/>
    <m/>
  </r>
  <r>
    <n v="40"/>
    <s v="No"/>
    <s v="Travel_Rarely"/>
    <n v="543"/>
    <s v="Research &amp; Development"/>
    <n v="1"/>
    <n v="4"/>
    <s v="Life Sciences"/>
    <n v="1"/>
    <n v="2012"/>
    <n v="1"/>
    <s v="Male"/>
    <n v="83"/>
    <n v="3"/>
    <n v="1"/>
    <s v="Laboratory Technician"/>
    <n v="4"/>
    <s v="Married"/>
    <n v="2406"/>
    <n v="4060"/>
    <n v="8"/>
    <s v="Y"/>
    <s v="No"/>
    <n v="19"/>
    <n v="3"/>
    <n v="3"/>
    <n v="80"/>
    <n v="2"/>
    <n v="8"/>
    <n v="3"/>
    <n v="2"/>
    <n v="1"/>
    <n v="0"/>
    <n v="0"/>
    <n v="0"/>
    <x v="1"/>
    <n v="0"/>
    <n v="0"/>
    <n v="1"/>
    <m/>
    <m/>
  </r>
  <r>
    <n v="32"/>
    <s v="No"/>
    <s v="Travel_Rarely"/>
    <n v="234"/>
    <s v="Sales"/>
    <n v="1"/>
    <n v="4"/>
    <s v="Medical"/>
    <n v="1"/>
    <n v="2013"/>
    <n v="2"/>
    <s v="Male"/>
    <n v="68"/>
    <n v="2"/>
    <n v="1"/>
    <s v="Sales Representative"/>
    <n v="2"/>
    <s v="Married"/>
    <n v="2269"/>
    <n v="18024"/>
    <n v="0"/>
    <s v="Y"/>
    <s v="No"/>
    <n v="14"/>
    <n v="3"/>
    <n v="2"/>
    <n v="80"/>
    <n v="1"/>
    <n v="3"/>
    <n v="2"/>
    <n v="3"/>
    <n v="2"/>
    <n v="2"/>
    <n v="2"/>
    <n v="2"/>
    <x v="0"/>
    <n v="0"/>
    <n v="0"/>
    <n v="1"/>
    <m/>
    <m/>
  </r>
  <r>
    <n v="39"/>
    <s v="No"/>
    <s v="Travel_Rarely"/>
    <n v="116"/>
    <s v="Research &amp; Development"/>
    <n v="24"/>
    <n v="1"/>
    <s v="Life Sciences"/>
    <n v="1"/>
    <n v="2014"/>
    <n v="1"/>
    <s v="Male"/>
    <n v="52"/>
    <n v="3"/>
    <n v="2"/>
    <s v="Research Scientist"/>
    <n v="4"/>
    <s v="Single"/>
    <n v="4108"/>
    <n v="5340"/>
    <n v="7"/>
    <s v="Y"/>
    <s v="No"/>
    <n v="13"/>
    <n v="3"/>
    <n v="1"/>
    <n v="80"/>
    <n v="0"/>
    <n v="18"/>
    <n v="2"/>
    <n v="3"/>
    <n v="7"/>
    <n v="7"/>
    <n v="1"/>
    <n v="7"/>
    <x v="1"/>
    <n v="0"/>
    <n v="0"/>
    <n v="1"/>
    <m/>
    <m/>
  </r>
  <r>
    <n v="38"/>
    <s v="No"/>
    <s v="Travel_Rarely"/>
    <n v="201"/>
    <s v="Research &amp; Development"/>
    <n v="10"/>
    <n v="3"/>
    <s v="Medical"/>
    <n v="1"/>
    <n v="2015"/>
    <n v="2"/>
    <s v="Female"/>
    <n v="99"/>
    <n v="1"/>
    <n v="3"/>
    <s v="Research Director"/>
    <n v="3"/>
    <s v="Married"/>
    <n v="13206"/>
    <n v="3376"/>
    <n v="3"/>
    <s v="Y"/>
    <s v="No"/>
    <n v="12"/>
    <n v="3"/>
    <n v="1"/>
    <n v="80"/>
    <n v="1"/>
    <n v="20"/>
    <n v="3"/>
    <n v="3"/>
    <n v="18"/>
    <n v="16"/>
    <n v="1"/>
    <n v="11"/>
    <x v="1"/>
    <n v="0"/>
    <n v="0"/>
    <n v="1"/>
    <m/>
    <m/>
  </r>
  <r>
    <n v="32"/>
    <s v="No"/>
    <s v="Travel_Rarely"/>
    <n v="801"/>
    <s v="Sales"/>
    <n v="1"/>
    <n v="4"/>
    <s v="Marketing"/>
    <n v="1"/>
    <n v="2016"/>
    <n v="3"/>
    <s v="Female"/>
    <n v="48"/>
    <n v="3"/>
    <n v="3"/>
    <s v="Sales Executive"/>
    <n v="4"/>
    <s v="Married"/>
    <n v="10422"/>
    <n v="24032"/>
    <n v="1"/>
    <s v="Y"/>
    <s v="No"/>
    <n v="19"/>
    <n v="3"/>
    <n v="3"/>
    <n v="80"/>
    <n v="2"/>
    <n v="14"/>
    <n v="3"/>
    <n v="3"/>
    <n v="14"/>
    <n v="10"/>
    <n v="5"/>
    <n v="7"/>
    <x v="0"/>
    <n v="0"/>
    <n v="0"/>
    <n v="1"/>
    <m/>
    <m/>
  </r>
  <r>
    <n v="37"/>
    <s v="No"/>
    <s v="Travel_Rarely"/>
    <n v="161"/>
    <s v="Research &amp; Development"/>
    <n v="10"/>
    <n v="3"/>
    <s v="Life Sciences"/>
    <n v="1"/>
    <n v="2017"/>
    <n v="3"/>
    <s v="Female"/>
    <n v="42"/>
    <n v="4"/>
    <n v="3"/>
    <s v="Research Director"/>
    <n v="4"/>
    <s v="Married"/>
    <n v="13744"/>
    <n v="15471"/>
    <n v="1"/>
    <s v="Y"/>
    <s v="Yes"/>
    <n v="25"/>
    <n v="4"/>
    <n v="1"/>
    <n v="80"/>
    <n v="1"/>
    <n v="16"/>
    <n v="2"/>
    <n v="3"/>
    <n v="16"/>
    <n v="11"/>
    <n v="6"/>
    <n v="8"/>
    <x v="1"/>
    <n v="0"/>
    <n v="0"/>
    <n v="1"/>
    <m/>
    <m/>
  </r>
  <r>
    <n v="25"/>
    <s v="No"/>
    <s v="Travel_Rarely"/>
    <n v="1382"/>
    <s v="Sales"/>
    <n v="8"/>
    <n v="2"/>
    <s v="Other"/>
    <n v="1"/>
    <n v="2018"/>
    <n v="1"/>
    <s v="Female"/>
    <n v="85"/>
    <n v="3"/>
    <n v="2"/>
    <s v="Sales Executive"/>
    <n v="3"/>
    <s v="Divorced"/>
    <n v="4907"/>
    <n v="13684"/>
    <n v="0"/>
    <s v="Y"/>
    <s v="Yes"/>
    <n v="22"/>
    <n v="4"/>
    <n v="2"/>
    <n v="80"/>
    <n v="1"/>
    <n v="6"/>
    <n v="3"/>
    <n v="2"/>
    <n v="5"/>
    <n v="3"/>
    <n v="0"/>
    <n v="4"/>
    <x v="0"/>
    <n v="0"/>
    <n v="0"/>
    <n v="1"/>
    <m/>
    <m/>
  </r>
  <r>
    <n v="52"/>
    <s v="No"/>
    <s v="Non-Travel"/>
    <n v="585"/>
    <s v="Sales"/>
    <n v="29"/>
    <n v="4"/>
    <s v="Life Sciences"/>
    <n v="1"/>
    <n v="2019"/>
    <n v="1"/>
    <s v="Male"/>
    <n v="40"/>
    <n v="3"/>
    <n v="1"/>
    <s v="Sales Representative"/>
    <n v="4"/>
    <s v="Divorced"/>
    <n v="3482"/>
    <n v="19788"/>
    <n v="2"/>
    <s v="Y"/>
    <s v="No"/>
    <n v="15"/>
    <n v="3"/>
    <n v="2"/>
    <n v="80"/>
    <n v="2"/>
    <n v="16"/>
    <n v="3"/>
    <n v="2"/>
    <n v="9"/>
    <n v="8"/>
    <n v="0"/>
    <n v="0"/>
    <x v="0"/>
    <n v="0"/>
    <n v="0"/>
    <n v="1"/>
    <m/>
    <m/>
  </r>
  <r>
    <n v="44"/>
    <s v="No"/>
    <s v="Travel_Rarely"/>
    <n v="1037"/>
    <s v="Research &amp; Development"/>
    <n v="1"/>
    <n v="3"/>
    <s v="Medical"/>
    <n v="1"/>
    <n v="2020"/>
    <n v="2"/>
    <s v="Male"/>
    <n v="42"/>
    <n v="3"/>
    <n v="1"/>
    <s v="Research Scientist"/>
    <n v="4"/>
    <s v="Single"/>
    <n v="2436"/>
    <n v="13422"/>
    <n v="6"/>
    <s v="Y"/>
    <s v="Yes"/>
    <n v="12"/>
    <n v="3"/>
    <n v="3"/>
    <n v="80"/>
    <n v="0"/>
    <n v="6"/>
    <n v="2"/>
    <n v="3"/>
    <n v="4"/>
    <n v="3"/>
    <n v="1"/>
    <n v="2"/>
    <x v="1"/>
    <n v="0"/>
    <n v="0"/>
    <n v="1"/>
    <m/>
    <m/>
  </r>
  <r>
    <n v="21"/>
    <s v="No"/>
    <s v="Travel_Rarely"/>
    <n v="501"/>
    <s v="Sales"/>
    <n v="5"/>
    <n v="1"/>
    <s v="Medical"/>
    <n v="1"/>
    <n v="2021"/>
    <n v="3"/>
    <s v="Male"/>
    <n v="58"/>
    <n v="3"/>
    <n v="1"/>
    <s v="Sales Representative"/>
    <n v="1"/>
    <s v="Single"/>
    <n v="2380"/>
    <n v="25479"/>
    <n v="1"/>
    <s v="Y"/>
    <s v="Yes"/>
    <n v="11"/>
    <n v="3"/>
    <n v="4"/>
    <n v="80"/>
    <n v="0"/>
    <n v="2"/>
    <n v="6"/>
    <n v="3"/>
    <n v="2"/>
    <n v="2"/>
    <n v="1"/>
    <n v="2"/>
    <x v="0"/>
    <n v="0"/>
    <n v="0"/>
    <n v="1"/>
    <m/>
    <m/>
  </r>
  <r>
    <n v="39"/>
    <s v="No"/>
    <s v="Non-Travel"/>
    <n v="105"/>
    <s v="Research &amp; Development"/>
    <n v="9"/>
    <n v="3"/>
    <s v="Life Sciences"/>
    <n v="1"/>
    <n v="2022"/>
    <n v="4"/>
    <s v="Male"/>
    <n v="87"/>
    <n v="3"/>
    <n v="5"/>
    <s v="Manager"/>
    <n v="4"/>
    <s v="Single"/>
    <n v="19431"/>
    <n v="15302"/>
    <n v="2"/>
    <s v="Y"/>
    <s v="No"/>
    <n v="13"/>
    <n v="3"/>
    <n v="3"/>
    <n v="80"/>
    <n v="0"/>
    <n v="21"/>
    <n v="3"/>
    <n v="2"/>
    <n v="6"/>
    <n v="0"/>
    <n v="1"/>
    <n v="3"/>
    <x v="4"/>
    <n v="0"/>
    <n v="0"/>
    <n v="1"/>
    <m/>
    <m/>
  </r>
  <r>
    <n v="23"/>
    <s v="Yes"/>
    <s v="Travel_Frequently"/>
    <n v="638"/>
    <s v="Sales"/>
    <n v="9"/>
    <n v="3"/>
    <s v="Marketing"/>
    <n v="1"/>
    <n v="2023"/>
    <n v="4"/>
    <s v="Male"/>
    <n v="33"/>
    <n v="3"/>
    <n v="1"/>
    <s v="Sales Representative"/>
    <n v="1"/>
    <s v="Married"/>
    <n v="1790"/>
    <n v="26956"/>
    <n v="1"/>
    <s v="Y"/>
    <s v="No"/>
    <n v="19"/>
    <n v="3"/>
    <n v="1"/>
    <n v="80"/>
    <n v="1"/>
    <n v="1"/>
    <n v="3"/>
    <n v="2"/>
    <n v="1"/>
    <n v="0"/>
    <n v="1"/>
    <n v="0"/>
    <x v="0"/>
    <n v="1"/>
    <n v="32220"/>
    <n v="1"/>
    <m/>
    <m/>
  </r>
  <r>
    <n v="36"/>
    <s v="No"/>
    <s v="Travel_Rarely"/>
    <n v="557"/>
    <s v="Sales"/>
    <n v="3"/>
    <n v="3"/>
    <s v="Medical"/>
    <n v="1"/>
    <n v="2024"/>
    <n v="1"/>
    <s v="Female"/>
    <n v="94"/>
    <n v="2"/>
    <n v="3"/>
    <s v="Sales Executive"/>
    <n v="4"/>
    <s v="Married"/>
    <n v="7644"/>
    <n v="12695"/>
    <n v="0"/>
    <s v="Y"/>
    <s v="No"/>
    <n v="19"/>
    <n v="3"/>
    <n v="3"/>
    <n v="80"/>
    <n v="2"/>
    <n v="10"/>
    <n v="2"/>
    <n v="3"/>
    <n v="9"/>
    <n v="7"/>
    <n v="3"/>
    <n v="4"/>
    <x v="0"/>
    <n v="0"/>
    <n v="0"/>
    <n v="1"/>
    <m/>
    <m/>
  </r>
  <r>
    <n v="36"/>
    <s v="No"/>
    <s v="Travel_Frequently"/>
    <n v="688"/>
    <s v="Research &amp; Development"/>
    <n v="4"/>
    <n v="2"/>
    <s v="Life Sciences"/>
    <n v="1"/>
    <n v="2025"/>
    <n v="4"/>
    <s v="Female"/>
    <n v="97"/>
    <n v="3"/>
    <n v="2"/>
    <s v="Manufacturing Director"/>
    <n v="2"/>
    <s v="Divorced"/>
    <n v="5131"/>
    <n v="9192"/>
    <n v="7"/>
    <s v="Y"/>
    <s v="No"/>
    <n v="13"/>
    <n v="3"/>
    <n v="2"/>
    <n v="80"/>
    <n v="3"/>
    <n v="18"/>
    <n v="3"/>
    <n v="3"/>
    <n v="4"/>
    <n v="2"/>
    <n v="0"/>
    <n v="2"/>
    <x v="2"/>
    <n v="0"/>
    <n v="0"/>
    <n v="1"/>
    <m/>
    <m/>
  </r>
  <r>
    <n v="56"/>
    <s v="No"/>
    <s v="Non-Travel"/>
    <n v="667"/>
    <s v="Research &amp; Development"/>
    <n v="1"/>
    <n v="4"/>
    <s v="Life Sciences"/>
    <n v="1"/>
    <n v="2026"/>
    <n v="3"/>
    <s v="Male"/>
    <n v="57"/>
    <n v="3"/>
    <n v="2"/>
    <s v="Healthcare Representative"/>
    <n v="3"/>
    <s v="Divorced"/>
    <n v="6306"/>
    <n v="26236"/>
    <n v="1"/>
    <s v="Y"/>
    <s v="No"/>
    <n v="21"/>
    <n v="4"/>
    <n v="1"/>
    <n v="80"/>
    <n v="1"/>
    <n v="13"/>
    <n v="2"/>
    <n v="2"/>
    <n v="13"/>
    <n v="12"/>
    <n v="1"/>
    <n v="9"/>
    <x v="3"/>
    <n v="0"/>
    <n v="0"/>
    <n v="1"/>
    <m/>
    <m/>
  </r>
  <r>
    <n v="29"/>
    <s v="Yes"/>
    <s v="Travel_Rarely"/>
    <n v="1092"/>
    <s v="Research &amp; Development"/>
    <n v="1"/>
    <n v="4"/>
    <s v="Medical"/>
    <n v="1"/>
    <n v="2027"/>
    <n v="1"/>
    <s v="Male"/>
    <n v="36"/>
    <n v="3"/>
    <n v="1"/>
    <s v="Research Scientist"/>
    <n v="4"/>
    <s v="Married"/>
    <n v="4787"/>
    <n v="26124"/>
    <n v="9"/>
    <s v="Y"/>
    <s v="Yes"/>
    <n v="14"/>
    <n v="3"/>
    <n v="2"/>
    <n v="80"/>
    <n v="3"/>
    <n v="4"/>
    <n v="3"/>
    <n v="4"/>
    <n v="2"/>
    <n v="2"/>
    <n v="2"/>
    <n v="2"/>
    <x v="1"/>
    <n v="1"/>
    <n v="86166"/>
    <n v="1"/>
    <m/>
    <m/>
  </r>
  <r>
    <n v="42"/>
    <s v="No"/>
    <s v="Travel_Rarely"/>
    <n v="300"/>
    <s v="Research &amp; Development"/>
    <n v="2"/>
    <n v="3"/>
    <s v="Life Sciences"/>
    <n v="1"/>
    <n v="2031"/>
    <n v="1"/>
    <s v="Male"/>
    <n v="56"/>
    <n v="3"/>
    <n v="5"/>
    <s v="Manager"/>
    <n v="3"/>
    <s v="Married"/>
    <n v="18880"/>
    <n v="17312"/>
    <n v="5"/>
    <s v="Y"/>
    <s v="No"/>
    <n v="11"/>
    <n v="3"/>
    <n v="1"/>
    <n v="80"/>
    <n v="0"/>
    <n v="24"/>
    <n v="2"/>
    <n v="2"/>
    <n v="22"/>
    <n v="6"/>
    <n v="4"/>
    <n v="14"/>
    <x v="4"/>
    <n v="0"/>
    <n v="0"/>
    <n v="1"/>
    <m/>
    <m/>
  </r>
  <r>
    <n v="56"/>
    <s v="Yes"/>
    <s v="Travel_Rarely"/>
    <n v="310"/>
    <s v="Research &amp; Development"/>
    <n v="7"/>
    <n v="2"/>
    <s v="Technical Degree"/>
    <n v="1"/>
    <n v="2032"/>
    <n v="4"/>
    <s v="Male"/>
    <n v="72"/>
    <n v="3"/>
    <n v="1"/>
    <s v="Laboratory Technician"/>
    <n v="3"/>
    <s v="Married"/>
    <n v="2339"/>
    <n v="3666"/>
    <n v="8"/>
    <s v="Y"/>
    <s v="No"/>
    <n v="11"/>
    <n v="3"/>
    <n v="4"/>
    <n v="80"/>
    <n v="1"/>
    <n v="14"/>
    <n v="4"/>
    <n v="1"/>
    <n v="10"/>
    <n v="9"/>
    <n v="9"/>
    <n v="8"/>
    <x v="1"/>
    <n v="1"/>
    <n v="42102"/>
    <n v="1"/>
    <m/>
    <m/>
  </r>
  <r>
    <n v="41"/>
    <s v="No"/>
    <s v="Travel_Rarely"/>
    <n v="582"/>
    <s v="Research &amp; Development"/>
    <n v="28"/>
    <n v="4"/>
    <s v="Life Sciences"/>
    <n v="1"/>
    <n v="2034"/>
    <n v="1"/>
    <s v="Female"/>
    <n v="60"/>
    <n v="2"/>
    <n v="4"/>
    <s v="Manufacturing Director"/>
    <n v="2"/>
    <s v="Married"/>
    <n v="13570"/>
    <n v="5640"/>
    <n v="0"/>
    <s v="Y"/>
    <s v="No"/>
    <n v="23"/>
    <n v="4"/>
    <n v="3"/>
    <n v="80"/>
    <n v="1"/>
    <n v="21"/>
    <n v="3"/>
    <n v="3"/>
    <n v="20"/>
    <n v="7"/>
    <n v="0"/>
    <n v="10"/>
    <x v="2"/>
    <n v="0"/>
    <n v="0"/>
    <n v="1"/>
    <m/>
    <m/>
  </r>
  <r>
    <n v="34"/>
    <s v="No"/>
    <s v="Travel_Rarely"/>
    <n v="704"/>
    <s v="Sales"/>
    <n v="28"/>
    <n v="3"/>
    <s v="Marketing"/>
    <n v="1"/>
    <n v="2035"/>
    <n v="4"/>
    <s v="Female"/>
    <n v="95"/>
    <n v="2"/>
    <n v="2"/>
    <s v="Sales Executive"/>
    <n v="3"/>
    <s v="Married"/>
    <n v="6712"/>
    <n v="8978"/>
    <n v="1"/>
    <s v="Y"/>
    <s v="No"/>
    <n v="21"/>
    <n v="4"/>
    <n v="4"/>
    <n v="80"/>
    <n v="2"/>
    <n v="8"/>
    <n v="2"/>
    <n v="3"/>
    <n v="8"/>
    <n v="7"/>
    <n v="1"/>
    <n v="7"/>
    <x v="0"/>
    <n v="0"/>
    <n v="0"/>
    <n v="1"/>
    <m/>
    <m/>
  </r>
  <r>
    <n v="36"/>
    <s v="No"/>
    <s v="Non-Travel"/>
    <n v="301"/>
    <s v="Sales"/>
    <n v="15"/>
    <n v="4"/>
    <s v="Marketing"/>
    <n v="1"/>
    <n v="2036"/>
    <n v="4"/>
    <s v="Male"/>
    <n v="88"/>
    <n v="1"/>
    <n v="2"/>
    <s v="Sales Executive"/>
    <n v="4"/>
    <s v="Divorced"/>
    <n v="5406"/>
    <n v="10436"/>
    <n v="1"/>
    <s v="Y"/>
    <s v="No"/>
    <n v="24"/>
    <n v="4"/>
    <n v="1"/>
    <n v="80"/>
    <n v="1"/>
    <n v="15"/>
    <n v="4"/>
    <n v="2"/>
    <n v="15"/>
    <n v="12"/>
    <n v="11"/>
    <n v="11"/>
    <x v="0"/>
    <n v="0"/>
    <n v="0"/>
    <n v="1"/>
    <m/>
    <m/>
  </r>
  <r>
    <n v="41"/>
    <s v="No"/>
    <s v="Travel_Rarely"/>
    <n v="930"/>
    <s v="Sales"/>
    <n v="3"/>
    <n v="3"/>
    <s v="Life Sciences"/>
    <n v="1"/>
    <n v="2037"/>
    <n v="3"/>
    <s v="Male"/>
    <n v="57"/>
    <n v="2"/>
    <n v="2"/>
    <s v="Sales Executive"/>
    <n v="2"/>
    <s v="Divorced"/>
    <n v="8938"/>
    <n v="12227"/>
    <n v="2"/>
    <s v="Y"/>
    <s v="No"/>
    <n v="11"/>
    <n v="3"/>
    <n v="3"/>
    <n v="80"/>
    <n v="1"/>
    <n v="14"/>
    <n v="5"/>
    <n v="3"/>
    <n v="5"/>
    <n v="4"/>
    <n v="0"/>
    <n v="4"/>
    <x v="0"/>
    <n v="0"/>
    <n v="0"/>
    <n v="1"/>
    <m/>
    <m/>
  </r>
  <r>
    <n v="32"/>
    <s v="No"/>
    <s v="Travel_Rarely"/>
    <n v="529"/>
    <s v="Research &amp; Development"/>
    <n v="2"/>
    <n v="3"/>
    <s v="Technical Degree"/>
    <n v="1"/>
    <n v="2038"/>
    <n v="4"/>
    <s v="Male"/>
    <n v="78"/>
    <n v="3"/>
    <n v="1"/>
    <s v="Research Scientist"/>
    <n v="1"/>
    <s v="Single"/>
    <n v="2439"/>
    <n v="11288"/>
    <n v="1"/>
    <s v="Y"/>
    <s v="No"/>
    <n v="14"/>
    <n v="3"/>
    <n v="4"/>
    <n v="80"/>
    <n v="0"/>
    <n v="4"/>
    <n v="4"/>
    <n v="3"/>
    <n v="4"/>
    <n v="2"/>
    <n v="1"/>
    <n v="2"/>
    <x v="1"/>
    <n v="0"/>
    <n v="0"/>
    <n v="1"/>
    <m/>
    <m/>
  </r>
  <r>
    <n v="35"/>
    <s v="No"/>
    <s v="Travel_Rarely"/>
    <n v="1146"/>
    <s v="Human Resources"/>
    <n v="26"/>
    <n v="4"/>
    <s v="Life Sciences"/>
    <n v="1"/>
    <n v="2040"/>
    <n v="3"/>
    <s v="Female"/>
    <n v="31"/>
    <n v="3"/>
    <n v="3"/>
    <s v="Human Resources"/>
    <n v="4"/>
    <s v="Single"/>
    <n v="8837"/>
    <n v="16642"/>
    <n v="1"/>
    <s v="Y"/>
    <s v="Yes"/>
    <n v="16"/>
    <n v="3"/>
    <n v="3"/>
    <n v="80"/>
    <n v="0"/>
    <n v="9"/>
    <n v="2"/>
    <n v="3"/>
    <n v="9"/>
    <n v="0"/>
    <n v="1"/>
    <n v="7"/>
    <x v="5"/>
    <n v="0"/>
    <n v="0"/>
    <n v="1"/>
    <m/>
    <m/>
  </r>
  <r>
    <n v="38"/>
    <s v="No"/>
    <s v="Travel_Rarely"/>
    <n v="345"/>
    <s v="Sales"/>
    <n v="10"/>
    <n v="2"/>
    <s v="Life Sciences"/>
    <n v="1"/>
    <n v="2041"/>
    <n v="1"/>
    <s v="Female"/>
    <n v="100"/>
    <n v="3"/>
    <n v="2"/>
    <s v="Sales Executive"/>
    <n v="4"/>
    <s v="Married"/>
    <n v="5343"/>
    <n v="5982"/>
    <n v="1"/>
    <s v="Y"/>
    <s v="No"/>
    <n v="11"/>
    <n v="3"/>
    <n v="3"/>
    <n v="80"/>
    <n v="1"/>
    <n v="10"/>
    <n v="1"/>
    <n v="3"/>
    <n v="10"/>
    <n v="7"/>
    <n v="1"/>
    <n v="9"/>
    <x v="0"/>
    <n v="0"/>
    <n v="0"/>
    <n v="1"/>
    <m/>
    <m/>
  </r>
  <r>
    <n v="50"/>
    <s v="Yes"/>
    <s v="Travel_Frequently"/>
    <n v="878"/>
    <s v="Sales"/>
    <n v="1"/>
    <n v="4"/>
    <s v="Life Sciences"/>
    <n v="1"/>
    <n v="2044"/>
    <n v="2"/>
    <s v="Male"/>
    <n v="94"/>
    <n v="3"/>
    <n v="2"/>
    <s v="Sales Executive"/>
    <n v="3"/>
    <s v="Divorced"/>
    <n v="6728"/>
    <n v="14255"/>
    <n v="7"/>
    <s v="Y"/>
    <s v="No"/>
    <n v="12"/>
    <n v="3"/>
    <n v="4"/>
    <n v="80"/>
    <n v="2"/>
    <n v="12"/>
    <n v="3"/>
    <n v="3"/>
    <n v="6"/>
    <n v="3"/>
    <n v="0"/>
    <n v="1"/>
    <x v="0"/>
    <n v="1"/>
    <n v="121104"/>
    <n v="1"/>
    <m/>
    <m/>
  </r>
  <r>
    <n v="36"/>
    <s v="No"/>
    <s v="Travel_Rarely"/>
    <n v="1120"/>
    <s v="Sales"/>
    <n v="11"/>
    <n v="4"/>
    <s v="Marketing"/>
    <n v="1"/>
    <n v="2045"/>
    <n v="2"/>
    <s v="Female"/>
    <n v="100"/>
    <n v="2"/>
    <n v="2"/>
    <s v="Sales Executive"/>
    <n v="4"/>
    <s v="Married"/>
    <n v="6652"/>
    <n v="14369"/>
    <n v="4"/>
    <s v="Y"/>
    <s v="No"/>
    <n v="13"/>
    <n v="3"/>
    <n v="1"/>
    <n v="80"/>
    <n v="1"/>
    <n v="8"/>
    <n v="2"/>
    <n v="2"/>
    <n v="6"/>
    <n v="3"/>
    <n v="0"/>
    <n v="0"/>
    <x v="0"/>
    <n v="0"/>
    <n v="0"/>
    <n v="1"/>
    <m/>
    <m/>
  </r>
  <r>
    <n v="45"/>
    <s v="No"/>
    <s v="Travel_Rarely"/>
    <n v="374"/>
    <s v="Sales"/>
    <n v="20"/>
    <n v="3"/>
    <s v="Life Sciences"/>
    <n v="1"/>
    <n v="2046"/>
    <n v="4"/>
    <s v="Female"/>
    <n v="50"/>
    <n v="3"/>
    <n v="2"/>
    <s v="Sales Executive"/>
    <n v="3"/>
    <s v="Single"/>
    <n v="4850"/>
    <n v="23333"/>
    <n v="8"/>
    <s v="Y"/>
    <s v="No"/>
    <n v="15"/>
    <n v="3"/>
    <n v="3"/>
    <n v="80"/>
    <n v="0"/>
    <n v="8"/>
    <n v="3"/>
    <n v="3"/>
    <n v="5"/>
    <n v="3"/>
    <n v="0"/>
    <n v="1"/>
    <x v="0"/>
    <n v="0"/>
    <n v="0"/>
    <n v="1"/>
    <m/>
    <m/>
  </r>
  <r>
    <n v="40"/>
    <s v="No"/>
    <s v="Travel_Rarely"/>
    <n v="1322"/>
    <s v="Research &amp; Development"/>
    <n v="2"/>
    <n v="4"/>
    <s v="Life Sciences"/>
    <n v="1"/>
    <n v="2048"/>
    <n v="3"/>
    <s v="Male"/>
    <n v="52"/>
    <n v="2"/>
    <n v="1"/>
    <s v="Research Scientist"/>
    <n v="3"/>
    <s v="Single"/>
    <n v="2809"/>
    <n v="2725"/>
    <n v="2"/>
    <s v="Y"/>
    <s v="No"/>
    <n v="14"/>
    <n v="3"/>
    <n v="4"/>
    <n v="80"/>
    <n v="0"/>
    <n v="8"/>
    <n v="2"/>
    <n v="3"/>
    <n v="2"/>
    <n v="2"/>
    <n v="2"/>
    <n v="2"/>
    <x v="1"/>
    <n v="0"/>
    <n v="0"/>
    <n v="1"/>
    <m/>
    <m/>
  </r>
  <r>
    <n v="35"/>
    <s v="No"/>
    <s v="Travel_Frequently"/>
    <n v="1199"/>
    <s v="Research &amp; Development"/>
    <n v="18"/>
    <n v="4"/>
    <s v="Life Sciences"/>
    <n v="1"/>
    <n v="2049"/>
    <n v="3"/>
    <s v="Male"/>
    <n v="80"/>
    <n v="3"/>
    <n v="2"/>
    <s v="Healthcare Representative"/>
    <n v="3"/>
    <s v="Married"/>
    <n v="5689"/>
    <n v="24594"/>
    <n v="1"/>
    <s v="Y"/>
    <s v="Yes"/>
    <n v="14"/>
    <n v="3"/>
    <n v="4"/>
    <n v="80"/>
    <n v="2"/>
    <n v="10"/>
    <n v="2"/>
    <n v="4"/>
    <n v="10"/>
    <n v="2"/>
    <n v="0"/>
    <n v="2"/>
    <x v="3"/>
    <n v="0"/>
    <n v="0"/>
    <n v="1"/>
    <m/>
    <m/>
  </r>
  <r>
    <n v="40"/>
    <s v="No"/>
    <s v="Travel_Rarely"/>
    <n v="1194"/>
    <s v="Research &amp; Development"/>
    <n v="2"/>
    <n v="4"/>
    <s v="Medical"/>
    <n v="1"/>
    <n v="2051"/>
    <n v="3"/>
    <s v="Female"/>
    <n v="98"/>
    <n v="3"/>
    <n v="1"/>
    <s v="Research Scientist"/>
    <n v="3"/>
    <s v="Married"/>
    <n v="2001"/>
    <n v="12549"/>
    <n v="2"/>
    <s v="Y"/>
    <s v="No"/>
    <n v="14"/>
    <n v="3"/>
    <n v="2"/>
    <n v="80"/>
    <n v="3"/>
    <n v="20"/>
    <n v="2"/>
    <n v="3"/>
    <n v="5"/>
    <n v="3"/>
    <n v="0"/>
    <n v="2"/>
    <x v="1"/>
    <n v="0"/>
    <n v="0"/>
    <n v="1"/>
    <m/>
    <m/>
  </r>
  <r>
    <n v="35"/>
    <s v="No"/>
    <s v="Travel_Rarely"/>
    <n v="287"/>
    <s v="Research &amp; Development"/>
    <n v="1"/>
    <n v="4"/>
    <s v="Life Sciences"/>
    <n v="1"/>
    <n v="2052"/>
    <n v="3"/>
    <s v="Female"/>
    <n v="62"/>
    <n v="1"/>
    <n v="1"/>
    <s v="Research Scientist"/>
    <n v="4"/>
    <s v="Married"/>
    <n v="2977"/>
    <n v="8952"/>
    <n v="1"/>
    <s v="Y"/>
    <s v="No"/>
    <n v="12"/>
    <n v="3"/>
    <n v="4"/>
    <n v="80"/>
    <n v="1"/>
    <n v="4"/>
    <n v="5"/>
    <n v="3"/>
    <n v="4"/>
    <n v="3"/>
    <n v="1"/>
    <n v="1"/>
    <x v="1"/>
    <n v="0"/>
    <n v="0"/>
    <n v="1"/>
    <m/>
    <m/>
  </r>
  <r>
    <n v="29"/>
    <s v="No"/>
    <s v="Travel_Rarely"/>
    <n v="1378"/>
    <s v="Research &amp; Development"/>
    <n v="13"/>
    <n v="2"/>
    <s v="Other"/>
    <n v="1"/>
    <n v="2053"/>
    <n v="4"/>
    <s v="Male"/>
    <n v="46"/>
    <n v="2"/>
    <n v="2"/>
    <s v="Laboratory Technician"/>
    <n v="2"/>
    <s v="Married"/>
    <n v="4025"/>
    <n v="23679"/>
    <n v="4"/>
    <s v="Y"/>
    <s v="Yes"/>
    <n v="13"/>
    <n v="3"/>
    <n v="1"/>
    <n v="80"/>
    <n v="1"/>
    <n v="10"/>
    <n v="2"/>
    <n v="3"/>
    <n v="4"/>
    <n v="3"/>
    <n v="0"/>
    <n v="3"/>
    <x v="1"/>
    <n v="0"/>
    <n v="0"/>
    <n v="1"/>
    <m/>
    <m/>
  </r>
  <r>
    <n v="29"/>
    <s v="No"/>
    <s v="Travel_Rarely"/>
    <n v="468"/>
    <s v="Research &amp; Development"/>
    <n v="28"/>
    <n v="4"/>
    <s v="Medical"/>
    <n v="1"/>
    <n v="2054"/>
    <n v="4"/>
    <s v="Female"/>
    <n v="73"/>
    <n v="2"/>
    <n v="1"/>
    <s v="Research Scientist"/>
    <n v="1"/>
    <s v="Single"/>
    <n v="3785"/>
    <n v="8489"/>
    <n v="1"/>
    <s v="Y"/>
    <s v="No"/>
    <n v="14"/>
    <n v="3"/>
    <n v="2"/>
    <n v="80"/>
    <n v="0"/>
    <n v="5"/>
    <n v="3"/>
    <n v="1"/>
    <n v="5"/>
    <n v="4"/>
    <n v="0"/>
    <n v="4"/>
    <x v="1"/>
    <n v="0"/>
    <n v="0"/>
    <n v="1"/>
    <m/>
    <m/>
  </r>
  <r>
    <n v="50"/>
    <s v="Yes"/>
    <s v="Travel_Rarely"/>
    <n v="410"/>
    <s v="Sales"/>
    <n v="28"/>
    <n v="3"/>
    <s v="Marketing"/>
    <n v="1"/>
    <n v="2055"/>
    <n v="4"/>
    <s v="Male"/>
    <n v="39"/>
    <n v="2"/>
    <n v="3"/>
    <s v="Sales Executive"/>
    <n v="1"/>
    <s v="Divorced"/>
    <n v="10854"/>
    <n v="16586"/>
    <n v="4"/>
    <s v="Y"/>
    <s v="Yes"/>
    <n v="13"/>
    <n v="3"/>
    <n v="2"/>
    <n v="80"/>
    <n v="1"/>
    <n v="20"/>
    <n v="3"/>
    <n v="3"/>
    <n v="3"/>
    <n v="2"/>
    <n v="2"/>
    <n v="0"/>
    <x v="0"/>
    <n v="1"/>
    <n v="195372"/>
    <n v="1"/>
    <m/>
    <m/>
  </r>
  <r>
    <n v="39"/>
    <s v="No"/>
    <s v="Travel_Rarely"/>
    <n v="722"/>
    <s v="Sales"/>
    <n v="24"/>
    <n v="1"/>
    <s v="Marketing"/>
    <n v="1"/>
    <n v="2056"/>
    <n v="2"/>
    <s v="Female"/>
    <n v="60"/>
    <n v="2"/>
    <n v="4"/>
    <s v="Sales Executive"/>
    <n v="4"/>
    <s v="Married"/>
    <n v="12031"/>
    <n v="8828"/>
    <n v="0"/>
    <s v="Y"/>
    <s v="No"/>
    <n v="11"/>
    <n v="3"/>
    <n v="1"/>
    <n v="80"/>
    <n v="1"/>
    <n v="21"/>
    <n v="2"/>
    <n v="2"/>
    <n v="20"/>
    <n v="9"/>
    <n v="9"/>
    <n v="6"/>
    <x v="0"/>
    <n v="0"/>
    <n v="0"/>
    <n v="1"/>
    <m/>
    <m/>
  </r>
  <r>
    <n v="31"/>
    <s v="No"/>
    <s v="Non-Travel"/>
    <n v="325"/>
    <s v="Research &amp; Development"/>
    <n v="5"/>
    <n v="3"/>
    <s v="Medical"/>
    <n v="1"/>
    <n v="2057"/>
    <n v="2"/>
    <s v="Male"/>
    <n v="74"/>
    <n v="3"/>
    <n v="2"/>
    <s v="Manufacturing Director"/>
    <n v="1"/>
    <s v="Single"/>
    <n v="9936"/>
    <n v="3787"/>
    <n v="0"/>
    <s v="Y"/>
    <s v="No"/>
    <n v="19"/>
    <n v="3"/>
    <n v="2"/>
    <n v="80"/>
    <n v="0"/>
    <n v="10"/>
    <n v="2"/>
    <n v="3"/>
    <n v="9"/>
    <n v="4"/>
    <n v="1"/>
    <n v="7"/>
    <x v="2"/>
    <n v="0"/>
    <n v="0"/>
    <n v="1"/>
    <m/>
    <m/>
  </r>
  <r>
    <n v="26"/>
    <s v="No"/>
    <s v="Travel_Rarely"/>
    <n v="1167"/>
    <s v="Sales"/>
    <n v="5"/>
    <n v="3"/>
    <s v="Other"/>
    <n v="1"/>
    <n v="2060"/>
    <n v="4"/>
    <s v="Female"/>
    <n v="30"/>
    <n v="2"/>
    <n v="1"/>
    <s v="Sales Representative"/>
    <n v="3"/>
    <s v="Single"/>
    <n v="2966"/>
    <n v="21378"/>
    <n v="0"/>
    <s v="Y"/>
    <s v="No"/>
    <n v="18"/>
    <n v="3"/>
    <n v="4"/>
    <n v="80"/>
    <n v="0"/>
    <n v="5"/>
    <n v="2"/>
    <n v="3"/>
    <n v="4"/>
    <n v="2"/>
    <n v="0"/>
    <n v="0"/>
    <x v="0"/>
    <n v="0"/>
    <n v="0"/>
    <n v="1"/>
    <m/>
    <m/>
  </r>
  <r>
    <n v="36"/>
    <s v="No"/>
    <s v="Travel_Frequently"/>
    <n v="884"/>
    <s v="Research &amp; Development"/>
    <n v="23"/>
    <n v="2"/>
    <s v="Medical"/>
    <n v="1"/>
    <n v="2061"/>
    <n v="3"/>
    <s v="Male"/>
    <n v="41"/>
    <n v="4"/>
    <n v="2"/>
    <s v="Laboratory Technician"/>
    <n v="4"/>
    <s v="Married"/>
    <n v="2571"/>
    <n v="12290"/>
    <n v="4"/>
    <s v="Y"/>
    <s v="No"/>
    <n v="17"/>
    <n v="3"/>
    <n v="3"/>
    <n v="80"/>
    <n v="1"/>
    <n v="17"/>
    <n v="3"/>
    <n v="3"/>
    <n v="5"/>
    <n v="2"/>
    <n v="0"/>
    <n v="3"/>
    <x v="1"/>
    <n v="0"/>
    <n v="0"/>
    <n v="1"/>
    <m/>
    <m/>
  </r>
  <r>
    <n v="39"/>
    <s v="No"/>
    <s v="Travel_Rarely"/>
    <n v="613"/>
    <s v="Research &amp; Development"/>
    <n v="6"/>
    <n v="1"/>
    <s v="Medical"/>
    <n v="1"/>
    <n v="2062"/>
    <n v="4"/>
    <s v="Male"/>
    <n v="42"/>
    <n v="2"/>
    <n v="3"/>
    <s v="Healthcare Representative"/>
    <n v="1"/>
    <s v="Married"/>
    <n v="9991"/>
    <n v="21457"/>
    <n v="4"/>
    <s v="Y"/>
    <s v="No"/>
    <n v="15"/>
    <n v="3"/>
    <n v="1"/>
    <n v="80"/>
    <n v="1"/>
    <n v="9"/>
    <n v="5"/>
    <n v="3"/>
    <n v="7"/>
    <n v="7"/>
    <n v="1"/>
    <n v="7"/>
    <x v="3"/>
    <n v="0"/>
    <n v="0"/>
    <n v="1"/>
    <m/>
    <m/>
  </r>
  <r>
    <n v="27"/>
    <s v="No"/>
    <s v="Travel_Rarely"/>
    <n v="155"/>
    <s v="Research &amp; Development"/>
    <n v="4"/>
    <n v="3"/>
    <s v="Life Sciences"/>
    <n v="1"/>
    <n v="2064"/>
    <n v="2"/>
    <s v="Male"/>
    <n v="87"/>
    <n v="4"/>
    <n v="2"/>
    <s v="Manufacturing Director"/>
    <n v="2"/>
    <s v="Married"/>
    <n v="6142"/>
    <n v="5174"/>
    <n v="1"/>
    <s v="Y"/>
    <s v="Yes"/>
    <n v="20"/>
    <n v="4"/>
    <n v="2"/>
    <n v="80"/>
    <n v="1"/>
    <n v="6"/>
    <n v="0"/>
    <n v="3"/>
    <n v="6"/>
    <n v="2"/>
    <n v="0"/>
    <n v="3"/>
    <x v="2"/>
    <n v="0"/>
    <n v="0"/>
    <n v="1"/>
    <m/>
    <m/>
  </r>
  <r>
    <n v="49"/>
    <s v="No"/>
    <s v="Travel_Frequently"/>
    <n v="1023"/>
    <s v="Sales"/>
    <n v="2"/>
    <n v="3"/>
    <s v="Medical"/>
    <n v="1"/>
    <n v="2065"/>
    <n v="4"/>
    <s v="Male"/>
    <n v="63"/>
    <n v="2"/>
    <n v="2"/>
    <s v="Sales Executive"/>
    <n v="2"/>
    <s v="Married"/>
    <n v="5390"/>
    <n v="13243"/>
    <n v="2"/>
    <s v="Y"/>
    <s v="No"/>
    <n v="14"/>
    <n v="3"/>
    <n v="4"/>
    <n v="80"/>
    <n v="0"/>
    <n v="17"/>
    <n v="3"/>
    <n v="2"/>
    <n v="9"/>
    <n v="6"/>
    <n v="0"/>
    <n v="8"/>
    <x v="0"/>
    <n v="0"/>
    <n v="0"/>
    <n v="1"/>
    <m/>
    <m/>
  </r>
  <r>
    <n v="34"/>
    <s v="No"/>
    <s v="Travel_Rarely"/>
    <n v="628"/>
    <s v="Research &amp; Development"/>
    <n v="8"/>
    <n v="3"/>
    <s v="Medical"/>
    <n v="1"/>
    <n v="2068"/>
    <n v="2"/>
    <s v="Male"/>
    <n v="82"/>
    <n v="4"/>
    <n v="2"/>
    <s v="Laboratory Technician"/>
    <n v="3"/>
    <s v="Married"/>
    <n v="4404"/>
    <n v="10228"/>
    <n v="2"/>
    <s v="Y"/>
    <s v="No"/>
    <n v="12"/>
    <n v="3"/>
    <n v="1"/>
    <n v="80"/>
    <n v="0"/>
    <n v="6"/>
    <n v="3"/>
    <n v="4"/>
    <n v="4"/>
    <n v="3"/>
    <n v="1"/>
    <n v="2"/>
    <x v="1"/>
    <n v="0"/>
    <n v="0"/>
    <n v="1"/>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s v="Sales"/>
    <n v="1"/>
    <n v="2"/>
    <s v="Life Sciences"/>
    <n v="1"/>
    <n v="1"/>
    <n v="2"/>
    <x v="0"/>
    <n v="94"/>
    <n v="3"/>
    <x v="0"/>
    <x v="0"/>
    <x v="0"/>
    <s v="Single"/>
    <n v="5993"/>
    <n v="19479"/>
    <n v="8"/>
    <s v="Y"/>
    <s v="Yes"/>
    <n v="11"/>
    <n v="3"/>
    <n v="1"/>
    <n v="80"/>
    <n v="0"/>
    <n v="8"/>
    <n v="0"/>
    <n v="1"/>
    <x v="0"/>
    <n v="4"/>
    <n v="0"/>
    <n v="5"/>
    <x v="0"/>
    <n v="1"/>
    <n v="107874"/>
    <x v="0"/>
    <n v="1"/>
    <s v="Healthcare Representative"/>
    <s v="Healthcare"/>
  </r>
  <r>
    <n v="49"/>
    <x v="1"/>
    <s v="Travel_Frequently"/>
    <n v="279"/>
    <s v="Research &amp; Development"/>
    <n v="8"/>
    <n v="1"/>
    <s v="Life Sciences"/>
    <n v="1"/>
    <n v="2"/>
    <n v="3"/>
    <x v="1"/>
    <n v="61"/>
    <n v="2"/>
    <x v="0"/>
    <x v="1"/>
    <x v="1"/>
    <s v="Married"/>
    <n v="5130"/>
    <n v="24907"/>
    <n v="1"/>
    <s v="Y"/>
    <s v="No"/>
    <n v="23"/>
    <n v="4"/>
    <n v="4"/>
    <n v="80"/>
    <n v="1"/>
    <n v="10"/>
    <n v="3"/>
    <n v="3"/>
    <x v="1"/>
    <n v="7"/>
    <n v="1"/>
    <n v="7"/>
    <x v="1"/>
    <n v="0"/>
    <n v="0"/>
    <x v="0"/>
    <n v="1"/>
    <s v="Human Resources"/>
    <s v="Human Resources"/>
  </r>
  <r>
    <n v="37"/>
    <x v="0"/>
    <s v="Travel_Rarely"/>
    <n v="1373"/>
    <s v="Research &amp; Development"/>
    <n v="2"/>
    <n v="2"/>
    <s v="Other"/>
    <n v="1"/>
    <n v="4"/>
    <n v="4"/>
    <x v="1"/>
    <n v="92"/>
    <n v="2"/>
    <x v="1"/>
    <x v="2"/>
    <x v="2"/>
    <s v="Single"/>
    <n v="2090"/>
    <n v="2396"/>
    <n v="6"/>
    <s v="Y"/>
    <s v="Yes"/>
    <n v="15"/>
    <n v="3"/>
    <n v="2"/>
    <n v="80"/>
    <n v="0"/>
    <n v="7"/>
    <n v="3"/>
    <n v="3"/>
    <x v="2"/>
    <n v="0"/>
    <n v="0"/>
    <n v="0"/>
    <x v="1"/>
    <n v="1"/>
    <n v="37620"/>
    <x v="1"/>
    <n v="1"/>
    <s v="Laboratory Technician"/>
    <s v="Research"/>
  </r>
  <r>
    <n v="33"/>
    <x v="1"/>
    <s v="Travel_Frequently"/>
    <n v="1392"/>
    <s v="Research &amp; Development"/>
    <n v="3"/>
    <n v="4"/>
    <s v="Life Sciences"/>
    <n v="1"/>
    <n v="5"/>
    <n v="4"/>
    <x v="0"/>
    <n v="56"/>
    <n v="3"/>
    <x v="1"/>
    <x v="1"/>
    <x v="2"/>
    <s v="Married"/>
    <n v="2909"/>
    <n v="23159"/>
    <n v="1"/>
    <s v="Y"/>
    <s v="Yes"/>
    <n v="11"/>
    <n v="3"/>
    <n v="3"/>
    <n v="80"/>
    <n v="0"/>
    <n v="8"/>
    <n v="3"/>
    <n v="3"/>
    <x v="3"/>
    <n v="7"/>
    <n v="3"/>
    <n v="0"/>
    <x v="1"/>
    <n v="0"/>
    <n v="0"/>
    <x v="1"/>
    <n v="1"/>
    <s v="Manager"/>
    <s v="Management"/>
  </r>
  <r>
    <n v="27"/>
    <x v="1"/>
    <s v="Travel_Rarely"/>
    <n v="591"/>
    <s v="Research &amp; Development"/>
    <n v="2"/>
    <n v="1"/>
    <s v="Medical"/>
    <n v="1"/>
    <n v="7"/>
    <n v="1"/>
    <x v="1"/>
    <n v="40"/>
    <n v="3"/>
    <x v="1"/>
    <x v="2"/>
    <x v="1"/>
    <s v="Married"/>
    <n v="3468"/>
    <n v="16632"/>
    <n v="9"/>
    <s v="Y"/>
    <s v="No"/>
    <n v="12"/>
    <n v="3"/>
    <n v="4"/>
    <n v="80"/>
    <n v="1"/>
    <n v="6"/>
    <n v="3"/>
    <n v="3"/>
    <x v="4"/>
    <n v="2"/>
    <n v="2"/>
    <n v="2"/>
    <x v="1"/>
    <n v="0"/>
    <n v="0"/>
    <x v="0"/>
    <n v="1"/>
    <s v="Manufacturing Director"/>
    <s v="Operations"/>
  </r>
  <r>
    <n v="32"/>
    <x v="1"/>
    <s v="Travel_Frequently"/>
    <n v="1005"/>
    <s v="Research &amp; Development"/>
    <n v="2"/>
    <n v="2"/>
    <s v="Life Sciences"/>
    <n v="1"/>
    <n v="8"/>
    <n v="4"/>
    <x v="1"/>
    <n v="79"/>
    <n v="3"/>
    <x v="1"/>
    <x v="2"/>
    <x v="0"/>
    <s v="Single"/>
    <n v="3068"/>
    <n v="11864"/>
    <n v="0"/>
    <s v="Y"/>
    <s v="No"/>
    <n v="13"/>
    <n v="3"/>
    <n v="3"/>
    <n v="80"/>
    <n v="0"/>
    <n v="8"/>
    <n v="2"/>
    <n v="2"/>
    <x v="5"/>
    <n v="7"/>
    <n v="3"/>
    <n v="6"/>
    <x v="1"/>
    <n v="0"/>
    <n v="0"/>
    <x v="0"/>
    <n v="1"/>
    <s v="Research Scientist"/>
    <s v="Research"/>
  </r>
  <r>
    <n v="59"/>
    <x v="1"/>
    <s v="Travel_Rarely"/>
    <n v="1324"/>
    <s v="Research &amp; Development"/>
    <n v="3"/>
    <n v="3"/>
    <s v="Medical"/>
    <n v="1"/>
    <n v="10"/>
    <n v="3"/>
    <x v="0"/>
    <n v="81"/>
    <n v="4"/>
    <x v="1"/>
    <x v="2"/>
    <x v="3"/>
    <s v="Married"/>
    <n v="2670"/>
    <n v="9964"/>
    <n v="4"/>
    <s v="Y"/>
    <s v="Yes"/>
    <n v="20"/>
    <n v="4"/>
    <n v="1"/>
    <n v="80"/>
    <n v="3"/>
    <n v="12"/>
    <n v="3"/>
    <n v="2"/>
    <x v="6"/>
    <n v="0"/>
    <n v="0"/>
    <n v="0"/>
    <x v="1"/>
    <n v="0"/>
    <n v="0"/>
    <x v="1"/>
    <n v="1"/>
    <s v="Research Director"/>
    <s v="Research"/>
  </r>
  <r>
    <n v="30"/>
    <x v="1"/>
    <s v="Travel_Rarely"/>
    <n v="1358"/>
    <s v="Research &amp; Development"/>
    <n v="24"/>
    <n v="1"/>
    <s v="Life Sciences"/>
    <n v="1"/>
    <n v="11"/>
    <n v="4"/>
    <x v="1"/>
    <n v="67"/>
    <n v="3"/>
    <x v="1"/>
    <x v="2"/>
    <x v="2"/>
    <s v="Divorced"/>
    <n v="2693"/>
    <n v="13335"/>
    <n v="1"/>
    <s v="Y"/>
    <s v="No"/>
    <n v="22"/>
    <n v="4"/>
    <n v="2"/>
    <n v="80"/>
    <n v="1"/>
    <n v="1"/>
    <n v="2"/>
    <n v="3"/>
    <x v="6"/>
    <n v="0"/>
    <n v="0"/>
    <n v="0"/>
    <x v="1"/>
    <n v="0"/>
    <n v="0"/>
    <x v="1"/>
    <n v="1"/>
    <s v="Sales Executive"/>
    <s v="Sales"/>
  </r>
  <r>
    <n v="38"/>
    <x v="1"/>
    <s v="Travel_Frequently"/>
    <n v="216"/>
    <s v="Research &amp; Development"/>
    <n v="23"/>
    <n v="3"/>
    <s v="Life Sciences"/>
    <n v="1"/>
    <n v="12"/>
    <n v="4"/>
    <x v="1"/>
    <n v="44"/>
    <n v="2"/>
    <x v="2"/>
    <x v="3"/>
    <x v="2"/>
    <s v="Single"/>
    <n v="9526"/>
    <n v="8787"/>
    <n v="0"/>
    <s v="Y"/>
    <s v="No"/>
    <n v="21"/>
    <n v="4"/>
    <n v="2"/>
    <n v="80"/>
    <n v="0"/>
    <n v="10"/>
    <n v="2"/>
    <n v="3"/>
    <x v="7"/>
    <n v="7"/>
    <n v="1"/>
    <n v="8"/>
    <x v="2"/>
    <n v="0"/>
    <n v="0"/>
    <x v="2"/>
    <n v="1"/>
    <s v="Sales Representative"/>
    <s v="Sales"/>
  </r>
  <r>
    <n v="36"/>
    <x v="1"/>
    <s v="Travel_Rarely"/>
    <n v="1299"/>
    <s v="Research &amp; Development"/>
    <n v="27"/>
    <n v="3"/>
    <s v="Medical"/>
    <n v="1"/>
    <n v="13"/>
    <n v="3"/>
    <x v="1"/>
    <n v="94"/>
    <n v="3"/>
    <x v="0"/>
    <x v="4"/>
    <x v="2"/>
    <s v="Married"/>
    <n v="5237"/>
    <n v="16577"/>
    <n v="6"/>
    <s v="Y"/>
    <s v="No"/>
    <n v="13"/>
    <n v="3"/>
    <n v="2"/>
    <n v="80"/>
    <n v="2"/>
    <n v="17"/>
    <n v="3"/>
    <n v="2"/>
    <x v="5"/>
    <n v="7"/>
    <n v="7"/>
    <n v="7"/>
    <x v="3"/>
    <n v="0"/>
    <n v="0"/>
    <x v="0"/>
    <n v="1"/>
    <m/>
    <m/>
  </r>
  <r>
    <n v="35"/>
    <x v="1"/>
    <s v="Travel_Rarely"/>
    <n v="809"/>
    <s v="Research &amp; Development"/>
    <n v="16"/>
    <n v="3"/>
    <s v="Medical"/>
    <n v="1"/>
    <n v="14"/>
    <n v="1"/>
    <x v="1"/>
    <n v="84"/>
    <n v="4"/>
    <x v="1"/>
    <x v="2"/>
    <x v="1"/>
    <s v="Married"/>
    <n v="2426"/>
    <n v="16479"/>
    <n v="0"/>
    <s v="Y"/>
    <s v="No"/>
    <n v="13"/>
    <n v="3"/>
    <n v="3"/>
    <n v="80"/>
    <n v="1"/>
    <n v="6"/>
    <n v="5"/>
    <n v="3"/>
    <x v="8"/>
    <n v="4"/>
    <n v="0"/>
    <n v="3"/>
    <x v="1"/>
    <n v="0"/>
    <n v="0"/>
    <x v="1"/>
    <n v="1"/>
    <m/>
    <m/>
  </r>
  <r>
    <n v="29"/>
    <x v="1"/>
    <s v="Travel_Rarely"/>
    <n v="153"/>
    <s v="Research &amp; Development"/>
    <n v="15"/>
    <n v="2"/>
    <s v="Life Sciences"/>
    <n v="1"/>
    <n v="15"/>
    <n v="4"/>
    <x v="0"/>
    <n v="49"/>
    <n v="2"/>
    <x v="0"/>
    <x v="2"/>
    <x v="2"/>
    <s v="Single"/>
    <n v="4193"/>
    <n v="12682"/>
    <n v="0"/>
    <s v="Y"/>
    <s v="Yes"/>
    <n v="12"/>
    <n v="3"/>
    <n v="4"/>
    <n v="80"/>
    <n v="0"/>
    <n v="10"/>
    <n v="3"/>
    <n v="3"/>
    <x v="7"/>
    <n v="5"/>
    <n v="0"/>
    <n v="8"/>
    <x v="1"/>
    <n v="0"/>
    <n v="0"/>
    <x v="0"/>
    <n v="1"/>
    <m/>
    <m/>
  </r>
  <r>
    <n v="31"/>
    <x v="1"/>
    <s v="Travel_Rarely"/>
    <n v="670"/>
    <s v="Research &amp; Development"/>
    <n v="26"/>
    <n v="1"/>
    <s v="Life Sciences"/>
    <n v="1"/>
    <n v="16"/>
    <n v="1"/>
    <x v="1"/>
    <n v="31"/>
    <n v="3"/>
    <x v="1"/>
    <x v="1"/>
    <x v="2"/>
    <s v="Divorced"/>
    <n v="2911"/>
    <n v="15170"/>
    <n v="1"/>
    <s v="Y"/>
    <s v="No"/>
    <n v="17"/>
    <n v="3"/>
    <n v="4"/>
    <n v="80"/>
    <n v="1"/>
    <n v="5"/>
    <n v="1"/>
    <n v="2"/>
    <x v="8"/>
    <n v="2"/>
    <n v="4"/>
    <n v="3"/>
    <x v="1"/>
    <n v="0"/>
    <n v="0"/>
    <x v="1"/>
    <n v="1"/>
    <m/>
    <m/>
  </r>
  <r>
    <n v="34"/>
    <x v="1"/>
    <s v="Travel_Rarely"/>
    <n v="1346"/>
    <s v="Research &amp; Development"/>
    <n v="19"/>
    <n v="2"/>
    <s v="Medical"/>
    <n v="1"/>
    <n v="18"/>
    <n v="2"/>
    <x v="1"/>
    <n v="93"/>
    <n v="3"/>
    <x v="1"/>
    <x v="2"/>
    <x v="0"/>
    <s v="Divorced"/>
    <n v="2661"/>
    <n v="8758"/>
    <n v="0"/>
    <s v="Y"/>
    <s v="No"/>
    <n v="11"/>
    <n v="3"/>
    <n v="3"/>
    <n v="80"/>
    <n v="1"/>
    <n v="3"/>
    <n v="2"/>
    <n v="3"/>
    <x v="4"/>
    <n v="2"/>
    <n v="1"/>
    <n v="2"/>
    <x v="1"/>
    <n v="0"/>
    <n v="0"/>
    <x v="1"/>
    <n v="1"/>
    <m/>
    <m/>
  </r>
  <r>
    <n v="28"/>
    <x v="0"/>
    <s v="Travel_Rarely"/>
    <n v="103"/>
    <s v="Research &amp; Development"/>
    <n v="24"/>
    <n v="3"/>
    <s v="Life Sciences"/>
    <n v="1"/>
    <n v="19"/>
    <n v="3"/>
    <x v="1"/>
    <n v="50"/>
    <n v="2"/>
    <x v="1"/>
    <x v="2"/>
    <x v="2"/>
    <s v="Single"/>
    <n v="2028"/>
    <n v="12947"/>
    <n v="5"/>
    <s v="Y"/>
    <s v="Yes"/>
    <n v="14"/>
    <n v="3"/>
    <n v="2"/>
    <n v="80"/>
    <n v="0"/>
    <n v="6"/>
    <n v="4"/>
    <n v="3"/>
    <x v="9"/>
    <n v="2"/>
    <n v="0"/>
    <n v="3"/>
    <x v="1"/>
    <n v="1"/>
    <n v="36504"/>
    <x v="1"/>
    <n v="1"/>
    <m/>
    <m/>
  </r>
  <r>
    <n v="29"/>
    <x v="1"/>
    <s v="Travel_Rarely"/>
    <n v="1389"/>
    <s v="Research &amp; Development"/>
    <n v="21"/>
    <n v="4"/>
    <s v="Life Sciences"/>
    <n v="1"/>
    <n v="20"/>
    <n v="2"/>
    <x v="0"/>
    <n v="51"/>
    <n v="4"/>
    <x v="2"/>
    <x v="3"/>
    <x v="3"/>
    <s v="Divorced"/>
    <n v="9980"/>
    <n v="10195"/>
    <n v="1"/>
    <s v="Y"/>
    <s v="No"/>
    <n v="11"/>
    <n v="3"/>
    <n v="3"/>
    <n v="80"/>
    <n v="1"/>
    <n v="10"/>
    <n v="1"/>
    <n v="3"/>
    <x v="1"/>
    <n v="9"/>
    <n v="8"/>
    <n v="8"/>
    <x v="2"/>
    <n v="0"/>
    <n v="0"/>
    <x v="2"/>
    <n v="1"/>
    <m/>
    <m/>
  </r>
  <r>
    <n v="32"/>
    <x v="1"/>
    <s v="Travel_Rarely"/>
    <n v="334"/>
    <s v="Research &amp; Development"/>
    <n v="5"/>
    <n v="2"/>
    <s v="Life Sciences"/>
    <n v="1"/>
    <n v="21"/>
    <n v="1"/>
    <x v="1"/>
    <n v="80"/>
    <n v="4"/>
    <x v="1"/>
    <x v="1"/>
    <x v="1"/>
    <s v="Divorced"/>
    <n v="3298"/>
    <n v="15053"/>
    <n v="0"/>
    <s v="Y"/>
    <s v="Yes"/>
    <n v="12"/>
    <n v="3"/>
    <n v="4"/>
    <n v="80"/>
    <n v="2"/>
    <n v="7"/>
    <n v="5"/>
    <n v="2"/>
    <x v="0"/>
    <n v="2"/>
    <n v="0"/>
    <n v="5"/>
    <x v="1"/>
    <n v="0"/>
    <n v="0"/>
    <x v="0"/>
    <n v="1"/>
    <m/>
    <m/>
  </r>
  <r>
    <n v="22"/>
    <x v="1"/>
    <s v="Non-Travel"/>
    <n v="1123"/>
    <s v="Research &amp; Development"/>
    <n v="16"/>
    <n v="2"/>
    <s v="Medical"/>
    <n v="1"/>
    <n v="22"/>
    <n v="4"/>
    <x v="1"/>
    <n v="96"/>
    <n v="4"/>
    <x v="1"/>
    <x v="2"/>
    <x v="0"/>
    <s v="Divorced"/>
    <n v="2935"/>
    <n v="7324"/>
    <n v="1"/>
    <s v="Y"/>
    <s v="Yes"/>
    <n v="13"/>
    <n v="3"/>
    <n v="2"/>
    <n v="80"/>
    <n v="2"/>
    <n v="1"/>
    <n v="2"/>
    <n v="2"/>
    <x v="6"/>
    <n v="0"/>
    <n v="0"/>
    <n v="0"/>
    <x v="1"/>
    <n v="0"/>
    <n v="0"/>
    <x v="1"/>
    <n v="1"/>
    <m/>
    <m/>
  </r>
  <r>
    <n v="53"/>
    <x v="1"/>
    <s v="Travel_Rarely"/>
    <n v="1219"/>
    <s v="Sales"/>
    <n v="2"/>
    <n v="4"/>
    <s v="Life Sciences"/>
    <n v="1"/>
    <n v="23"/>
    <n v="1"/>
    <x v="0"/>
    <n v="78"/>
    <n v="2"/>
    <x v="3"/>
    <x v="5"/>
    <x v="0"/>
    <s v="Married"/>
    <n v="15427"/>
    <n v="22021"/>
    <n v="2"/>
    <s v="Y"/>
    <s v="No"/>
    <n v="16"/>
    <n v="3"/>
    <n v="3"/>
    <n v="80"/>
    <n v="0"/>
    <n v="31"/>
    <n v="3"/>
    <n v="3"/>
    <x v="10"/>
    <n v="8"/>
    <n v="3"/>
    <n v="7"/>
    <x v="4"/>
    <n v="0"/>
    <n v="0"/>
    <x v="3"/>
    <n v="1"/>
    <m/>
    <m/>
  </r>
  <r>
    <n v="38"/>
    <x v="1"/>
    <s v="Travel_Rarely"/>
    <n v="371"/>
    <s v="Research &amp; Development"/>
    <n v="2"/>
    <n v="3"/>
    <s v="Life Sciences"/>
    <n v="1"/>
    <n v="24"/>
    <n v="4"/>
    <x v="1"/>
    <n v="45"/>
    <n v="3"/>
    <x v="1"/>
    <x v="1"/>
    <x v="0"/>
    <s v="Single"/>
    <n v="3944"/>
    <n v="4306"/>
    <n v="5"/>
    <s v="Y"/>
    <s v="Yes"/>
    <n v="11"/>
    <n v="3"/>
    <n v="3"/>
    <n v="80"/>
    <n v="0"/>
    <n v="6"/>
    <n v="3"/>
    <n v="3"/>
    <x v="11"/>
    <n v="2"/>
    <n v="1"/>
    <n v="2"/>
    <x v="1"/>
    <n v="0"/>
    <n v="0"/>
    <x v="0"/>
    <n v="1"/>
    <m/>
    <m/>
  </r>
  <r>
    <n v="24"/>
    <x v="1"/>
    <s v="Non-Travel"/>
    <n v="673"/>
    <s v="Research &amp; Development"/>
    <n v="11"/>
    <n v="2"/>
    <s v="Other"/>
    <n v="1"/>
    <n v="26"/>
    <n v="1"/>
    <x v="0"/>
    <n v="96"/>
    <n v="4"/>
    <x v="0"/>
    <x v="3"/>
    <x v="2"/>
    <s v="Divorced"/>
    <n v="4011"/>
    <n v="8232"/>
    <n v="0"/>
    <s v="Y"/>
    <s v="No"/>
    <n v="18"/>
    <n v="3"/>
    <n v="4"/>
    <n v="80"/>
    <n v="1"/>
    <n v="5"/>
    <n v="5"/>
    <n v="2"/>
    <x v="9"/>
    <n v="2"/>
    <n v="1"/>
    <n v="3"/>
    <x v="2"/>
    <n v="0"/>
    <n v="0"/>
    <x v="0"/>
    <n v="1"/>
    <m/>
    <m/>
  </r>
  <r>
    <n v="36"/>
    <x v="0"/>
    <s v="Travel_Rarely"/>
    <n v="1218"/>
    <s v="Sales"/>
    <n v="9"/>
    <n v="4"/>
    <s v="Life Sciences"/>
    <n v="1"/>
    <n v="27"/>
    <n v="3"/>
    <x v="1"/>
    <n v="82"/>
    <n v="2"/>
    <x v="1"/>
    <x v="6"/>
    <x v="3"/>
    <s v="Single"/>
    <n v="3407"/>
    <n v="6986"/>
    <n v="7"/>
    <s v="Y"/>
    <s v="No"/>
    <n v="23"/>
    <n v="4"/>
    <n v="2"/>
    <n v="80"/>
    <n v="0"/>
    <n v="10"/>
    <n v="4"/>
    <n v="3"/>
    <x v="8"/>
    <n v="3"/>
    <n v="0"/>
    <n v="3"/>
    <x v="0"/>
    <n v="1"/>
    <n v="61326"/>
    <x v="0"/>
    <n v="1"/>
    <m/>
    <m/>
  </r>
  <r>
    <n v="34"/>
    <x v="1"/>
    <s v="Travel_Rarely"/>
    <n v="419"/>
    <s v="Research &amp; Development"/>
    <n v="7"/>
    <n v="4"/>
    <s v="Life Sciences"/>
    <n v="1"/>
    <n v="28"/>
    <n v="1"/>
    <x v="0"/>
    <n v="53"/>
    <n v="3"/>
    <x v="2"/>
    <x v="7"/>
    <x v="1"/>
    <s v="Single"/>
    <n v="11994"/>
    <n v="21293"/>
    <n v="0"/>
    <s v="Y"/>
    <s v="No"/>
    <n v="11"/>
    <n v="3"/>
    <n v="3"/>
    <n v="80"/>
    <n v="0"/>
    <n v="13"/>
    <n v="4"/>
    <n v="3"/>
    <x v="12"/>
    <n v="6"/>
    <n v="2"/>
    <n v="11"/>
    <x v="1"/>
    <n v="0"/>
    <n v="0"/>
    <x v="2"/>
    <n v="1"/>
    <m/>
    <m/>
  </r>
  <r>
    <n v="21"/>
    <x v="1"/>
    <s v="Travel_Rarely"/>
    <n v="391"/>
    <s v="Research &amp; Development"/>
    <n v="15"/>
    <n v="2"/>
    <s v="Life Sciences"/>
    <n v="1"/>
    <n v="30"/>
    <n v="3"/>
    <x v="1"/>
    <n v="96"/>
    <n v="3"/>
    <x v="1"/>
    <x v="1"/>
    <x v="0"/>
    <s v="Single"/>
    <n v="1232"/>
    <n v="19281"/>
    <n v="1"/>
    <s v="Y"/>
    <s v="No"/>
    <n v="14"/>
    <n v="3"/>
    <n v="4"/>
    <n v="80"/>
    <n v="0"/>
    <n v="0"/>
    <n v="6"/>
    <n v="3"/>
    <x v="2"/>
    <n v="0"/>
    <n v="0"/>
    <n v="0"/>
    <x v="1"/>
    <n v="0"/>
    <n v="0"/>
    <x v="1"/>
    <n v="1"/>
    <m/>
    <m/>
  </r>
  <r>
    <n v="34"/>
    <x v="0"/>
    <s v="Travel_Rarely"/>
    <n v="699"/>
    <s v="Research &amp; Development"/>
    <n v="6"/>
    <n v="1"/>
    <s v="Medical"/>
    <n v="1"/>
    <n v="31"/>
    <n v="2"/>
    <x v="1"/>
    <n v="83"/>
    <n v="3"/>
    <x v="1"/>
    <x v="1"/>
    <x v="3"/>
    <s v="Single"/>
    <n v="2960"/>
    <n v="17102"/>
    <n v="2"/>
    <s v="Y"/>
    <s v="No"/>
    <n v="11"/>
    <n v="3"/>
    <n v="3"/>
    <n v="80"/>
    <n v="0"/>
    <n v="8"/>
    <n v="2"/>
    <n v="3"/>
    <x v="9"/>
    <n v="2"/>
    <n v="1"/>
    <n v="3"/>
    <x v="1"/>
    <n v="1"/>
    <n v="53280"/>
    <x v="1"/>
    <n v="1"/>
    <m/>
    <m/>
  </r>
  <r>
    <n v="53"/>
    <x v="1"/>
    <s v="Travel_Rarely"/>
    <n v="1282"/>
    <s v="Research &amp; Development"/>
    <n v="5"/>
    <n v="3"/>
    <s v="Other"/>
    <n v="1"/>
    <n v="32"/>
    <n v="3"/>
    <x v="0"/>
    <n v="58"/>
    <n v="3"/>
    <x v="4"/>
    <x v="5"/>
    <x v="2"/>
    <s v="Divorced"/>
    <n v="19094"/>
    <n v="10735"/>
    <n v="4"/>
    <s v="Y"/>
    <s v="No"/>
    <n v="11"/>
    <n v="3"/>
    <n v="4"/>
    <n v="80"/>
    <n v="1"/>
    <n v="26"/>
    <n v="3"/>
    <n v="2"/>
    <x v="13"/>
    <n v="13"/>
    <n v="4"/>
    <n v="8"/>
    <x v="4"/>
    <n v="0"/>
    <n v="0"/>
    <x v="3"/>
    <n v="1"/>
    <m/>
    <m/>
  </r>
  <r>
    <n v="32"/>
    <x v="0"/>
    <s v="Travel_Frequently"/>
    <n v="1125"/>
    <s v="Research &amp; Development"/>
    <n v="16"/>
    <n v="1"/>
    <s v="Life Sciences"/>
    <n v="1"/>
    <n v="33"/>
    <n v="2"/>
    <x v="0"/>
    <n v="72"/>
    <n v="1"/>
    <x v="1"/>
    <x v="1"/>
    <x v="3"/>
    <s v="Single"/>
    <n v="3919"/>
    <n v="4681"/>
    <n v="1"/>
    <s v="Y"/>
    <s v="Yes"/>
    <n v="22"/>
    <n v="4"/>
    <n v="2"/>
    <n v="80"/>
    <n v="0"/>
    <n v="10"/>
    <n v="5"/>
    <n v="3"/>
    <x v="1"/>
    <n v="2"/>
    <n v="6"/>
    <n v="7"/>
    <x v="1"/>
    <n v="1"/>
    <n v="70542"/>
    <x v="0"/>
    <n v="1"/>
    <m/>
    <m/>
  </r>
  <r>
    <n v="42"/>
    <x v="1"/>
    <s v="Travel_Rarely"/>
    <n v="691"/>
    <s v="Sales"/>
    <n v="8"/>
    <n v="4"/>
    <s v="Marketing"/>
    <n v="1"/>
    <n v="35"/>
    <n v="3"/>
    <x v="1"/>
    <n v="48"/>
    <n v="3"/>
    <x v="0"/>
    <x v="0"/>
    <x v="1"/>
    <s v="Married"/>
    <n v="6825"/>
    <n v="21173"/>
    <n v="0"/>
    <s v="Y"/>
    <s v="No"/>
    <n v="11"/>
    <n v="3"/>
    <n v="4"/>
    <n v="80"/>
    <n v="1"/>
    <n v="10"/>
    <n v="2"/>
    <n v="3"/>
    <x v="7"/>
    <n v="7"/>
    <n v="4"/>
    <n v="2"/>
    <x v="0"/>
    <n v="0"/>
    <n v="0"/>
    <x v="4"/>
    <n v="1"/>
    <m/>
    <m/>
  </r>
  <r>
    <n v="44"/>
    <x v="1"/>
    <s v="Travel_Rarely"/>
    <n v="477"/>
    <s v="Research &amp; Development"/>
    <n v="7"/>
    <n v="4"/>
    <s v="Medical"/>
    <n v="1"/>
    <n v="36"/>
    <n v="1"/>
    <x v="0"/>
    <n v="42"/>
    <n v="2"/>
    <x v="2"/>
    <x v="4"/>
    <x v="0"/>
    <s v="Married"/>
    <n v="10248"/>
    <n v="2094"/>
    <n v="3"/>
    <s v="Y"/>
    <s v="No"/>
    <n v="14"/>
    <n v="3"/>
    <n v="4"/>
    <n v="80"/>
    <n v="1"/>
    <n v="24"/>
    <n v="4"/>
    <n v="3"/>
    <x v="14"/>
    <n v="6"/>
    <n v="5"/>
    <n v="17"/>
    <x v="3"/>
    <n v="0"/>
    <n v="0"/>
    <x v="2"/>
    <n v="1"/>
    <m/>
    <m/>
  </r>
  <r>
    <n v="46"/>
    <x v="1"/>
    <s v="Travel_Rarely"/>
    <n v="705"/>
    <s v="Sales"/>
    <n v="2"/>
    <n v="4"/>
    <s v="Marketing"/>
    <n v="1"/>
    <n v="38"/>
    <n v="2"/>
    <x v="0"/>
    <n v="83"/>
    <n v="3"/>
    <x v="4"/>
    <x v="5"/>
    <x v="3"/>
    <s v="Single"/>
    <n v="18947"/>
    <n v="22822"/>
    <n v="3"/>
    <s v="Y"/>
    <s v="No"/>
    <n v="12"/>
    <n v="3"/>
    <n v="4"/>
    <n v="80"/>
    <n v="0"/>
    <n v="22"/>
    <n v="2"/>
    <n v="2"/>
    <x v="4"/>
    <n v="2"/>
    <n v="2"/>
    <n v="1"/>
    <x v="4"/>
    <n v="0"/>
    <n v="0"/>
    <x v="3"/>
    <n v="1"/>
    <m/>
    <m/>
  </r>
  <r>
    <n v="33"/>
    <x v="1"/>
    <s v="Travel_Rarely"/>
    <n v="924"/>
    <s v="Research &amp; Development"/>
    <n v="2"/>
    <n v="3"/>
    <s v="Medical"/>
    <n v="1"/>
    <n v="39"/>
    <n v="3"/>
    <x v="1"/>
    <n v="78"/>
    <n v="3"/>
    <x v="1"/>
    <x v="2"/>
    <x v="0"/>
    <s v="Single"/>
    <n v="2496"/>
    <n v="6670"/>
    <n v="4"/>
    <s v="Y"/>
    <s v="No"/>
    <n v="11"/>
    <n v="3"/>
    <n v="4"/>
    <n v="80"/>
    <n v="0"/>
    <n v="7"/>
    <n v="3"/>
    <n v="3"/>
    <x v="6"/>
    <n v="1"/>
    <n v="0"/>
    <n v="0"/>
    <x v="1"/>
    <n v="0"/>
    <n v="0"/>
    <x v="1"/>
    <n v="1"/>
    <m/>
    <m/>
  </r>
  <r>
    <n v="44"/>
    <x v="1"/>
    <s v="Travel_Rarely"/>
    <n v="1459"/>
    <s v="Research &amp; Development"/>
    <n v="10"/>
    <n v="4"/>
    <s v="Other"/>
    <n v="1"/>
    <n v="40"/>
    <n v="4"/>
    <x v="1"/>
    <n v="41"/>
    <n v="3"/>
    <x v="0"/>
    <x v="4"/>
    <x v="0"/>
    <s v="Married"/>
    <n v="6465"/>
    <n v="19121"/>
    <n v="2"/>
    <s v="Y"/>
    <s v="Yes"/>
    <n v="13"/>
    <n v="3"/>
    <n v="4"/>
    <n v="80"/>
    <n v="0"/>
    <n v="9"/>
    <n v="5"/>
    <n v="4"/>
    <x v="9"/>
    <n v="2"/>
    <n v="1"/>
    <n v="3"/>
    <x v="3"/>
    <n v="0"/>
    <n v="0"/>
    <x v="4"/>
    <n v="1"/>
    <m/>
    <m/>
  </r>
  <r>
    <n v="30"/>
    <x v="1"/>
    <s v="Travel_Rarely"/>
    <n v="125"/>
    <s v="Research &amp; Development"/>
    <n v="9"/>
    <n v="2"/>
    <s v="Medical"/>
    <n v="1"/>
    <n v="41"/>
    <n v="4"/>
    <x v="1"/>
    <n v="83"/>
    <n v="2"/>
    <x v="1"/>
    <x v="2"/>
    <x v="2"/>
    <s v="Single"/>
    <n v="2206"/>
    <n v="16117"/>
    <n v="1"/>
    <s v="Y"/>
    <s v="No"/>
    <n v="13"/>
    <n v="3"/>
    <n v="1"/>
    <n v="80"/>
    <n v="0"/>
    <n v="10"/>
    <n v="5"/>
    <n v="3"/>
    <x v="1"/>
    <n v="0"/>
    <n v="1"/>
    <n v="8"/>
    <x v="1"/>
    <n v="0"/>
    <n v="0"/>
    <x v="1"/>
    <n v="1"/>
    <m/>
    <m/>
  </r>
  <r>
    <n v="39"/>
    <x v="0"/>
    <s v="Travel_Rarely"/>
    <n v="895"/>
    <s v="Sales"/>
    <n v="5"/>
    <n v="3"/>
    <s v="Technical Degree"/>
    <n v="1"/>
    <n v="42"/>
    <n v="4"/>
    <x v="1"/>
    <n v="56"/>
    <n v="3"/>
    <x v="0"/>
    <x v="6"/>
    <x v="0"/>
    <s v="Married"/>
    <n v="2086"/>
    <n v="3335"/>
    <n v="3"/>
    <s v="Y"/>
    <s v="No"/>
    <n v="14"/>
    <n v="3"/>
    <n v="3"/>
    <n v="80"/>
    <n v="1"/>
    <n v="19"/>
    <n v="6"/>
    <n v="4"/>
    <x v="6"/>
    <n v="0"/>
    <n v="0"/>
    <n v="0"/>
    <x v="0"/>
    <n v="1"/>
    <n v="37548"/>
    <x v="1"/>
    <n v="1"/>
    <m/>
    <m/>
  </r>
  <r>
    <n v="24"/>
    <x v="0"/>
    <s v="Travel_Rarely"/>
    <n v="813"/>
    <s v="Research &amp; Development"/>
    <n v="1"/>
    <n v="3"/>
    <s v="Medical"/>
    <n v="1"/>
    <n v="45"/>
    <n v="2"/>
    <x v="1"/>
    <n v="61"/>
    <n v="3"/>
    <x v="1"/>
    <x v="1"/>
    <x v="0"/>
    <s v="Married"/>
    <n v="2293"/>
    <n v="3020"/>
    <n v="2"/>
    <s v="Y"/>
    <s v="Yes"/>
    <n v="16"/>
    <n v="3"/>
    <n v="1"/>
    <n v="80"/>
    <n v="1"/>
    <n v="6"/>
    <n v="2"/>
    <n v="2"/>
    <x v="4"/>
    <n v="0"/>
    <n v="2"/>
    <n v="0"/>
    <x v="1"/>
    <n v="1"/>
    <n v="41274"/>
    <x v="1"/>
    <n v="1"/>
    <m/>
    <m/>
  </r>
  <r>
    <n v="43"/>
    <x v="1"/>
    <s v="Travel_Rarely"/>
    <n v="1273"/>
    <s v="Research &amp; Development"/>
    <n v="2"/>
    <n v="2"/>
    <s v="Medical"/>
    <n v="1"/>
    <n v="46"/>
    <n v="4"/>
    <x v="0"/>
    <n v="72"/>
    <n v="4"/>
    <x v="1"/>
    <x v="1"/>
    <x v="2"/>
    <s v="Divorced"/>
    <n v="2645"/>
    <n v="21923"/>
    <n v="1"/>
    <s v="Y"/>
    <s v="No"/>
    <n v="12"/>
    <n v="3"/>
    <n v="4"/>
    <n v="80"/>
    <n v="2"/>
    <n v="6"/>
    <n v="3"/>
    <n v="2"/>
    <x v="8"/>
    <n v="3"/>
    <n v="1"/>
    <n v="4"/>
    <x v="1"/>
    <n v="0"/>
    <n v="0"/>
    <x v="1"/>
    <n v="1"/>
    <m/>
    <m/>
  </r>
  <r>
    <n v="50"/>
    <x v="0"/>
    <s v="Travel_Rarely"/>
    <n v="869"/>
    <s v="Sales"/>
    <n v="3"/>
    <n v="2"/>
    <s v="Marketing"/>
    <n v="1"/>
    <n v="47"/>
    <n v="1"/>
    <x v="1"/>
    <n v="86"/>
    <n v="2"/>
    <x v="1"/>
    <x v="6"/>
    <x v="2"/>
    <s v="Married"/>
    <n v="2683"/>
    <n v="3810"/>
    <n v="1"/>
    <s v="Y"/>
    <s v="Yes"/>
    <n v="14"/>
    <n v="3"/>
    <n v="3"/>
    <n v="80"/>
    <n v="0"/>
    <n v="3"/>
    <n v="2"/>
    <n v="3"/>
    <x v="11"/>
    <n v="2"/>
    <n v="0"/>
    <n v="2"/>
    <x v="0"/>
    <n v="1"/>
    <n v="48294"/>
    <x v="1"/>
    <n v="1"/>
    <m/>
    <m/>
  </r>
  <r>
    <n v="35"/>
    <x v="1"/>
    <s v="Travel_Rarely"/>
    <n v="890"/>
    <s v="Sales"/>
    <n v="2"/>
    <n v="3"/>
    <s v="Marketing"/>
    <n v="1"/>
    <n v="49"/>
    <n v="4"/>
    <x v="0"/>
    <n v="97"/>
    <n v="3"/>
    <x v="1"/>
    <x v="6"/>
    <x v="0"/>
    <s v="Married"/>
    <n v="2014"/>
    <n v="9687"/>
    <n v="1"/>
    <s v="Y"/>
    <s v="No"/>
    <n v="13"/>
    <n v="3"/>
    <n v="1"/>
    <n v="80"/>
    <n v="0"/>
    <n v="2"/>
    <n v="3"/>
    <n v="3"/>
    <x v="4"/>
    <n v="2"/>
    <n v="2"/>
    <n v="2"/>
    <x v="0"/>
    <n v="0"/>
    <n v="0"/>
    <x v="1"/>
    <n v="1"/>
    <m/>
    <m/>
  </r>
  <r>
    <n v="36"/>
    <x v="1"/>
    <s v="Travel_Rarely"/>
    <n v="852"/>
    <s v="Research &amp; Development"/>
    <n v="5"/>
    <n v="4"/>
    <s v="Life Sciences"/>
    <n v="1"/>
    <n v="51"/>
    <n v="2"/>
    <x v="0"/>
    <n v="82"/>
    <n v="2"/>
    <x v="1"/>
    <x v="1"/>
    <x v="3"/>
    <s v="Married"/>
    <n v="3419"/>
    <n v="13072"/>
    <n v="9"/>
    <s v="Y"/>
    <s v="Yes"/>
    <n v="14"/>
    <n v="3"/>
    <n v="4"/>
    <n v="80"/>
    <n v="1"/>
    <n v="6"/>
    <n v="3"/>
    <n v="4"/>
    <x v="6"/>
    <n v="1"/>
    <n v="0"/>
    <n v="0"/>
    <x v="1"/>
    <n v="0"/>
    <n v="0"/>
    <x v="0"/>
    <n v="1"/>
    <m/>
    <m/>
  </r>
  <r>
    <n v="33"/>
    <x v="1"/>
    <s v="Travel_Frequently"/>
    <n v="1141"/>
    <s v="Sales"/>
    <n v="1"/>
    <n v="3"/>
    <s v="Life Sciences"/>
    <n v="1"/>
    <n v="52"/>
    <n v="3"/>
    <x v="0"/>
    <n v="42"/>
    <n v="4"/>
    <x v="0"/>
    <x v="0"/>
    <x v="3"/>
    <s v="Married"/>
    <n v="5376"/>
    <n v="3193"/>
    <n v="2"/>
    <s v="Y"/>
    <s v="No"/>
    <n v="19"/>
    <n v="3"/>
    <n v="1"/>
    <n v="80"/>
    <n v="2"/>
    <n v="10"/>
    <n v="3"/>
    <n v="3"/>
    <x v="8"/>
    <n v="3"/>
    <n v="1"/>
    <n v="3"/>
    <x v="0"/>
    <n v="0"/>
    <n v="0"/>
    <x v="0"/>
    <n v="1"/>
    <m/>
    <m/>
  </r>
  <r>
    <n v="35"/>
    <x v="1"/>
    <s v="Travel_Rarely"/>
    <n v="464"/>
    <s v="Research &amp; Development"/>
    <n v="4"/>
    <n v="2"/>
    <s v="Other"/>
    <n v="1"/>
    <n v="53"/>
    <n v="3"/>
    <x v="1"/>
    <n v="75"/>
    <n v="3"/>
    <x v="1"/>
    <x v="2"/>
    <x v="0"/>
    <s v="Divorced"/>
    <n v="1951"/>
    <n v="10910"/>
    <n v="1"/>
    <s v="Y"/>
    <s v="No"/>
    <n v="12"/>
    <n v="3"/>
    <n v="3"/>
    <n v="80"/>
    <n v="1"/>
    <n v="1"/>
    <n v="3"/>
    <n v="3"/>
    <x v="6"/>
    <n v="0"/>
    <n v="0"/>
    <n v="0"/>
    <x v="1"/>
    <n v="0"/>
    <n v="0"/>
    <x v="1"/>
    <n v="1"/>
    <m/>
    <m/>
  </r>
  <r>
    <n v="27"/>
    <x v="1"/>
    <s v="Travel_Rarely"/>
    <n v="1240"/>
    <s v="Research &amp; Development"/>
    <n v="2"/>
    <n v="4"/>
    <s v="Life Sciences"/>
    <n v="1"/>
    <n v="54"/>
    <n v="4"/>
    <x v="0"/>
    <n v="33"/>
    <n v="3"/>
    <x v="1"/>
    <x v="2"/>
    <x v="3"/>
    <s v="Divorced"/>
    <n v="2341"/>
    <n v="19715"/>
    <n v="1"/>
    <s v="Y"/>
    <s v="No"/>
    <n v="13"/>
    <n v="3"/>
    <n v="4"/>
    <n v="80"/>
    <n v="1"/>
    <n v="1"/>
    <n v="6"/>
    <n v="3"/>
    <x v="6"/>
    <n v="0"/>
    <n v="0"/>
    <n v="0"/>
    <x v="1"/>
    <n v="0"/>
    <n v="0"/>
    <x v="1"/>
    <n v="1"/>
    <m/>
    <m/>
  </r>
  <r>
    <n v="26"/>
    <x v="0"/>
    <s v="Travel_Rarely"/>
    <n v="1357"/>
    <s v="Research &amp; Development"/>
    <n v="25"/>
    <n v="3"/>
    <s v="Life Sciences"/>
    <n v="1"/>
    <n v="55"/>
    <n v="1"/>
    <x v="1"/>
    <n v="48"/>
    <n v="1"/>
    <x v="1"/>
    <x v="2"/>
    <x v="2"/>
    <s v="Single"/>
    <n v="2293"/>
    <n v="10558"/>
    <n v="1"/>
    <s v="Y"/>
    <s v="No"/>
    <n v="12"/>
    <n v="3"/>
    <n v="3"/>
    <n v="80"/>
    <n v="0"/>
    <n v="1"/>
    <n v="2"/>
    <n v="2"/>
    <x v="6"/>
    <n v="0"/>
    <n v="0"/>
    <n v="1"/>
    <x v="1"/>
    <n v="1"/>
    <n v="41274"/>
    <x v="1"/>
    <n v="1"/>
    <m/>
    <m/>
  </r>
  <r>
    <n v="27"/>
    <x v="1"/>
    <s v="Travel_Frequently"/>
    <n v="994"/>
    <s v="Sales"/>
    <n v="8"/>
    <n v="3"/>
    <s v="Life Sciences"/>
    <n v="1"/>
    <n v="56"/>
    <n v="4"/>
    <x v="1"/>
    <n v="37"/>
    <n v="3"/>
    <x v="2"/>
    <x v="0"/>
    <x v="2"/>
    <s v="Single"/>
    <n v="8726"/>
    <n v="2975"/>
    <n v="1"/>
    <s v="Y"/>
    <s v="No"/>
    <n v="15"/>
    <n v="3"/>
    <n v="4"/>
    <n v="80"/>
    <n v="0"/>
    <n v="9"/>
    <n v="0"/>
    <n v="3"/>
    <x v="7"/>
    <n v="8"/>
    <n v="1"/>
    <n v="7"/>
    <x v="0"/>
    <n v="0"/>
    <n v="0"/>
    <x v="4"/>
    <n v="1"/>
    <m/>
    <m/>
  </r>
  <r>
    <n v="30"/>
    <x v="1"/>
    <s v="Travel_Frequently"/>
    <n v="721"/>
    <s v="Research &amp; Development"/>
    <n v="1"/>
    <n v="2"/>
    <s v="Medical"/>
    <n v="1"/>
    <n v="57"/>
    <n v="3"/>
    <x v="0"/>
    <n v="58"/>
    <n v="3"/>
    <x v="0"/>
    <x v="2"/>
    <x v="0"/>
    <s v="Single"/>
    <n v="4011"/>
    <n v="10781"/>
    <n v="1"/>
    <s v="Y"/>
    <s v="No"/>
    <n v="23"/>
    <n v="4"/>
    <n v="4"/>
    <n v="80"/>
    <n v="0"/>
    <n v="12"/>
    <n v="2"/>
    <n v="3"/>
    <x v="12"/>
    <n v="8"/>
    <n v="3"/>
    <n v="7"/>
    <x v="1"/>
    <n v="0"/>
    <n v="0"/>
    <x v="0"/>
    <n v="1"/>
    <m/>
    <m/>
  </r>
  <r>
    <n v="41"/>
    <x v="0"/>
    <s v="Travel_Rarely"/>
    <n v="1360"/>
    <s v="Research &amp; Development"/>
    <n v="12"/>
    <n v="3"/>
    <s v="Technical Degree"/>
    <n v="1"/>
    <n v="58"/>
    <n v="2"/>
    <x v="0"/>
    <n v="49"/>
    <n v="3"/>
    <x v="4"/>
    <x v="7"/>
    <x v="2"/>
    <s v="Married"/>
    <n v="19545"/>
    <n v="16280"/>
    <n v="1"/>
    <s v="Y"/>
    <s v="No"/>
    <n v="12"/>
    <n v="3"/>
    <n v="4"/>
    <n v="80"/>
    <n v="0"/>
    <n v="23"/>
    <n v="0"/>
    <n v="3"/>
    <x v="14"/>
    <n v="15"/>
    <n v="15"/>
    <n v="8"/>
    <x v="1"/>
    <n v="1"/>
    <n v="351810"/>
    <x v="3"/>
    <n v="1"/>
    <m/>
    <m/>
  </r>
  <r>
    <n v="34"/>
    <x v="1"/>
    <s v="Non-Travel"/>
    <n v="1065"/>
    <s v="Sales"/>
    <n v="23"/>
    <n v="4"/>
    <s v="Marketing"/>
    <n v="1"/>
    <n v="60"/>
    <n v="2"/>
    <x v="1"/>
    <n v="72"/>
    <n v="3"/>
    <x v="0"/>
    <x v="0"/>
    <x v="2"/>
    <s v="Single"/>
    <n v="4568"/>
    <n v="10034"/>
    <n v="0"/>
    <s v="Y"/>
    <s v="No"/>
    <n v="20"/>
    <n v="4"/>
    <n v="3"/>
    <n v="80"/>
    <n v="0"/>
    <n v="10"/>
    <n v="2"/>
    <n v="3"/>
    <x v="7"/>
    <n v="5"/>
    <n v="8"/>
    <n v="7"/>
    <x v="0"/>
    <n v="0"/>
    <n v="0"/>
    <x v="0"/>
    <n v="1"/>
    <m/>
    <m/>
  </r>
  <r>
    <n v="37"/>
    <x v="1"/>
    <s v="Travel_Rarely"/>
    <n v="408"/>
    <s v="Research &amp; Development"/>
    <n v="19"/>
    <n v="2"/>
    <s v="Life Sciences"/>
    <n v="1"/>
    <n v="61"/>
    <n v="2"/>
    <x v="1"/>
    <n v="73"/>
    <n v="3"/>
    <x v="1"/>
    <x v="1"/>
    <x v="1"/>
    <s v="Married"/>
    <n v="3022"/>
    <n v="10227"/>
    <n v="4"/>
    <s v="Y"/>
    <s v="No"/>
    <n v="21"/>
    <n v="4"/>
    <n v="1"/>
    <n v="80"/>
    <n v="0"/>
    <n v="8"/>
    <n v="1"/>
    <n v="3"/>
    <x v="6"/>
    <n v="0"/>
    <n v="0"/>
    <n v="0"/>
    <x v="1"/>
    <n v="0"/>
    <n v="0"/>
    <x v="0"/>
    <n v="1"/>
    <m/>
    <m/>
  </r>
  <r>
    <n v="46"/>
    <x v="1"/>
    <s v="Travel_Frequently"/>
    <n v="1211"/>
    <s v="Sales"/>
    <n v="5"/>
    <n v="4"/>
    <s v="Marketing"/>
    <n v="1"/>
    <n v="62"/>
    <n v="1"/>
    <x v="1"/>
    <n v="98"/>
    <n v="3"/>
    <x v="0"/>
    <x v="0"/>
    <x v="0"/>
    <s v="Single"/>
    <n v="5772"/>
    <n v="20445"/>
    <n v="4"/>
    <s v="Y"/>
    <s v="Yes"/>
    <n v="21"/>
    <n v="4"/>
    <n v="3"/>
    <n v="80"/>
    <n v="0"/>
    <n v="14"/>
    <n v="4"/>
    <n v="3"/>
    <x v="7"/>
    <n v="6"/>
    <n v="0"/>
    <n v="8"/>
    <x v="0"/>
    <n v="0"/>
    <n v="0"/>
    <x v="0"/>
    <n v="1"/>
    <m/>
    <m/>
  </r>
  <r>
    <n v="35"/>
    <x v="1"/>
    <s v="Travel_Rarely"/>
    <n v="1229"/>
    <s v="Research &amp; Development"/>
    <n v="8"/>
    <n v="1"/>
    <s v="Life Sciences"/>
    <n v="1"/>
    <n v="63"/>
    <n v="4"/>
    <x v="1"/>
    <n v="36"/>
    <n v="4"/>
    <x v="1"/>
    <x v="2"/>
    <x v="0"/>
    <s v="Married"/>
    <n v="2269"/>
    <n v="4892"/>
    <n v="1"/>
    <s v="Y"/>
    <s v="No"/>
    <n v="19"/>
    <n v="3"/>
    <n v="4"/>
    <n v="80"/>
    <n v="0"/>
    <n v="1"/>
    <n v="2"/>
    <n v="3"/>
    <x v="6"/>
    <n v="0"/>
    <n v="0"/>
    <n v="1"/>
    <x v="1"/>
    <n v="0"/>
    <n v="0"/>
    <x v="1"/>
    <n v="1"/>
    <m/>
    <m/>
  </r>
  <r>
    <n v="48"/>
    <x v="0"/>
    <s v="Travel_Rarely"/>
    <n v="626"/>
    <s v="Research &amp; Development"/>
    <n v="1"/>
    <n v="2"/>
    <s v="Life Sciences"/>
    <n v="1"/>
    <n v="64"/>
    <n v="1"/>
    <x v="1"/>
    <n v="98"/>
    <n v="2"/>
    <x v="2"/>
    <x v="2"/>
    <x v="2"/>
    <s v="Single"/>
    <n v="5381"/>
    <n v="19294"/>
    <n v="9"/>
    <s v="Y"/>
    <s v="Yes"/>
    <n v="13"/>
    <n v="3"/>
    <n v="4"/>
    <n v="80"/>
    <n v="0"/>
    <n v="23"/>
    <n v="2"/>
    <n v="3"/>
    <x v="6"/>
    <n v="0"/>
    <n v="0"/>
    <n v="0"/>
    <x v="1"/>
    <n v="1"/>
    <n v="96858"/>
    <x v="0"/>
    <n v="1"/>
    <m/>
    <m/>
  </r>
  <r>
    <n v="28"/>
    <x v="0"/>
    <s v="Travel_Rarely"/>
    <n v="1434"/>
    <s v="Research &amp; Development"/>
    <n v="5"/>
    <n v="4"/>
    <s v="Technical Degree"/>
    <n v="1"/>
    <n v="65"/>
    <n v="3"/>
    <x v="1"/>
    <n v="50"/>
    <n v="3"/>
    <x v="1"/>
    <x v="2"/>
    <x v="2"/>
    <s v="Single"/>
    <n v="3441"/>
    <n v="11179"/>
    <n v="1"/>
    <s v="Y"/>
    <s v="Yes"/>
    <n v="13"/>
    <n v="3"/>
    <n v="3"/>
    <n v="80"/>
    <n v="0"/>
    <n v="2"/>
    <n v="3"/>
    <n v="2"/>
    <x v="4"/>
    <n v="2"/>
    <n v="2"/>
    <n v="2"/>
    <x v="1"/>
    <n v="1"/>
    <n v="61938"/>
    <x v="0"/>
    <n v="1"/>
    <m/>
    <m/>
  </r>
  <r>
    <n v="44"/>
    <x v="1"/>
    <s v="Travel_Rarely"/>
    <n v="1488"/>
    <s v="Sales"/>
    <n v="1"/>
    <n v="5"/>
    <s v="Marketing"/>
    <n v="1"/>
    <n v="68"/>
    <n v="2"/>
    <x v="0"/>
    <n v="75"/>
    <n v="3"/>
    <x v="0"/>
    <x v="0"/>
    <x v="3"/>
    <s v="Divorced"/>
    <n v="5454"/>
    <n v="4009"/>
    <n v="5"/>
    <s v="Y"/>
    <s v="Yes"/>
    <n v="21"/>
    <n v="4"/>
    <n v="3"/>
    <n v="80"/>
    <n v="1"/>
    <n v="9"/>
    <n v="2"/>
    <n v="2"/>
    <x v="9"/>
    <n v="3"/>
    <n v="1"/>
    <n v="3"/>
    <x v="0"/>
    <n v="0"/>
    <n v="0"/>
    <x v="0"/>
    <n v="1"/>
    <m/>
    <m/>
  </r>
  <r>
    <n v="35"/>
    <x v="1"/>
    <s v="Non-Travel"/>
    <n v="1097"/>
    <s v="Research &amp; Development"/>
    <n v="11"/>
    <n v="2"/>
    <s v="Medical"/>
    <n v="1"/>
    <n v="70"/>
    <n v="3"/>
    <x v="1"/>
    <n v="79"/>
    <n v="2"/>
    <x v="2"/>
    <x v="4"/>
    <x v="3"/>
    <s v="Married"/>
    <n v="9884"/>
    <n v="8302"/>
    <n v="2"/>
    <s v="Y"/>
    <s v="Yes"/>
    <n v="13"/>
    <n v="3"/>
    <n v="3"/>
    <n v="80"/>
    <n v="1"/>
    <n v="10"/>
    <n v="3"/>
    <n v="3"/>
    <x v="9"/>
    <n v="0"/>
    <n v="2"/>
    <n v="3"/>
    <x v="3"/>
    <n v="0"/>
    <n v="0"/>
    <x v="2"/>
    <n v="1"/>
    <m/>
    <m/>
  </r>
  <r>
    <n v="26"/>
    <x v="1"/>
    <s v="Travel_Rarely"/>
    <n v="1443"/>
    <s v="Sales"/>
    <n v="23"/>
    <n v="3"/>
    <s v="Marketing"/>
    <n v="1"/>
    <n v="72"/>
    <n v="3"/>
    <x v="0"/>
    <n v="47"/>
    <n v="2"/>
    <x v="0"/>
    <x v="0"/>
    <x v="0"/>
    <s v="Married"/>
    <n v="4157"/>
    <n v="21436"/>
    <n v="7"/>
    <s v="Y"/>
    <s v="Yes"/>
    <n v="19"/>
    <n v="3"/>
    <n v="3"/>
    <n v="80"/>
    <n v="1"/>
    <n v="5"/>
    <n v="2"/>
    <n v="2"/>
    <x v="4"/>
    <n v="2"/>
    <n v="0"/>
    <n v="0"/>
    <x v="0"/>
    <n v="0"/>
    <n v="0"/>
    <x v="0"/>
    <n v="1"/>
    <m/>
    <m/>
  </r>
  <r>
    <n v="33"/>
    <x v="1"/>
    <s v="Travel_Frequently"/>
    <n v="515"/>
    <s v="Research &amp; Development"/>
    <n v="1"/>
    <n v="2"/>
    <s v="Life Sciences"/>
    <n v="1"/>
    <n v="73"/>
    <n v="1"/>
    <x v="0"/>
    <n v="98"/>
    <n v="3"/>
    <x v="2"/>
    <x v="7"/>
    <x v="0"/>
    <s v="Single"/>
    <n v="13458"/>
    <n v="15146"/>
    <n v="1"/>
    <s v="Y"/>
    <s v="Yes"/>
    <n v="12"/>
    <n v="3"/>
    <n v="3"/>
    <n v="80"/>
    <n v="0"/>
    <n v="15"/>
    <n v="1"/>
    <n v="3"/>
    <x v="15"/>
    <n v="14"/>
    <n v="8"/>
    <n v="12"/>
    <x v="1"/>
    <n v="0"/>
    <n v="0"/>
    <x v="3"/>
    <n v="1"/>
    <m/>
    <m/>
  </r>
  <r>
    <n v="35"/>
    <x v="1"/>
    <s v="Travel_Frequently"/>
    <n v="853"/>
    <s v="Sales"/>
    <n v="18"/>
    <n v="5"/>
    <s v="Life Sciences"/>
    <n v="1"/>
    <n v="74"/>
    <n v="2"/>
    <x v="1"/>
    <n v="71"/>
    <n v="3"/>
    <x v="2"/>
    <x v="0"/>
    <x v="3"/>
    <s v="Married"/>
    <n v="9069"/>
    <n v="11031"/>
    <n v="1"/>
    <s v="Y"/>
    <s v="No"/>
    <n v="22"/>
    <n v="4"/>
    <n v="4"/>
    <n v="80"/>
    <n v="1"/>
    <n v="9"/>
    <n v="3"/>
    <n v="2"/>
    <x v="7"/>
    <n v="8"/>
    <n v="1"/>
    <n v="8"/>
    <x v="0"/>
    <n v="0"/>
    <n v="0"/>
    <x v="2"/>
    <n v="1"/>
    <m/>
    <m/>
  </r>
  <r>
    <n v="35"/>
    <x v="1"/>
    <s v="Travel_Rarely"/>
    <n v="1142"/>
    <s v="Research &amp; Development"/>
    <n v="23"/>
    <n v="4"/>
    <s v="Medical"/>
    <n v="1"/>
    <n v="75"/>
    <n v="3"/>
    <x v="0"/>
    <n v="30"/>
    <n v="3"/>
    <x v="1"/>
    <x v="2"/>
    <x v="3"/>
    <s v="Married"/>
    <n v="4014"/>
    <n v="16002"/>
    <n v="3"/>
    <s v="Y"/>
    <s v="Yes"/>
    <n v="15"/>
    <n v="3"/>
    <n v="3"/>
    <n v="80"/>
    <n v="1"/>
    <n v="4"/>
    <n v="3"/>
    <n v="3"/>
    <x v="4"/>
    <n v="2"/>
    <n v="2"/>
    <n v="2"/>
    <x v="1"/>
    <n v="0"/>
    <n v="0"/>
    <x v="0"/>
    <n v="1"/>
    <m/>
    <m/>
  </r>
  <r>
    <n v="31"/>
    <x v="1"/>
    <s v="Travel_Rarely"/>
    <n v="655"/>
    <s v="Research &amp; Development"/>
    <n v="7"/>
    <n v="4"/>
    <s v="Life Sciences"/>
    <n v="1"/>
    <n v="76"/>
    <n v="4"/>
    <x v="1"/>
    <n v="48"/>
    <n v="3"/>
    <x v="0"/>
    <x v="2"/>
    <x v="0"/>
    <s v="Divorced"/>
    <n v="5915"/>
    <n v="9528"/>
    <n v="3"/>
    <s v="Y"/>
    <s v="No"/>
    <n v="22"/>
    <n v="4"/>
    <n v="4"/>
    <n v="80"/>
    <n v="1"/>
    <n v="10"/>
    <n v="3"/>
    <n v="2"/>
    <x v="5"/>
    <n v="7"/>
    <n v="1"/>
    <n v="7"/>
    <x v="1"/>
    <n v="0"/>
    <n v="0"/>
    <x v="0"/>
    <n v="1"/>
    <m/>
    <m/>
  </r>
  <r>
    <n v="37"/>
    <x v="1"/>
    <s v="Travel_Rarely"/>
    <n v="1115"/>
    <s v="Research &amp; Development"/>
    <n v="1"/>
    <n v="4"/>
    <s v="Life Sciences"/>
    <n v="1"/>
    <n v="77"/>
    <n v="1"/>
    <x v="1"/>
    <n v="51"/>
    <n v="2"/>
    <x v="0"/>
    <x v="3"/>
    <x v="2"/>
    <s v="Divorced"/>
    <n v="5993"/>
    <n v="2689"/>
    <n v="1"/>
    <s v="Y"/>
    <s v="No"/>
    <n v="18"/>
    <n v="3"/>
    <n v="3"/>
    <n v="80"/>
    <n v="1"/>
    <n v="7"/>
    <n v="2"/>
    <n v="4"/>
    <x v="5"/>
    <n v="5"/>
    <n v="0"/>
    <n v="7"/>
    <x v="2"/>
    <n v="0"/>
    <n v="0"/>
    <x v="0"/>
    <n v="1"/>
    <m/>
    <m/>
  </r>
  <r>
    <n v="32"/>
    <x v="1"/>
    <s v="Travel_Rarely"/>
    <n v="427"/>
    <s v="Research &amp; Development"/>
    <n v="1"/>
    <n v="3"/>
    <s v="Medical"/>
    <n v="1"/>
    <n v="78"/>
    <n v="1"/>
    <x v="1"/>
    <n v="33"/>
    <n v="3"/>
    <x v="0"/>
    <x v="3"/>
    <x v="0"/>
    <s v="Married"/>
    <n v="6162"/>
    <n v="10877"/>
    <n v="1"/>
    <s v="Y"/>
    <s v="Yes"/>
    <n v="22"/>
    <n v="4"/>
    <n v="2"/>
    <n v="80"/>
    <n v="1"/>
    <n v="9"/>
    <n v="3"/>
    <n v="3"/>
    <x v="7"/>
    <n v="8"/>
    <n v="7"/>
    <n v="8"/>
    <x v="2"/>
    <n v="0"/>
    <n v="0"/>
    <x v="4"/>
    <n v="1"/>
    <m/>
    <m/>
  </r>
  <r>
    <n v="38"/>
    <x v="1"/>
    <s v="Travel_Frequently"/>
    <n v="653"/>
    <s v="Research &amp; Development"/>
    <n v="29"/>
    <n v="5"/>
    <s v="Life Sciences"/>
    <n v="1"/>
    <n v="79"/>
    <n v="4"/>
    <x v="0"/>
    <n v="50"/>
    <n v="3"/>
    <x v="0"/>
    <x v="2"/>
    <x v="0"/>
    <s v="Single"/>
    <n v="2406"/>
    <n v="5456"/>
    <n v="1"/>
    <s v="Y"/>
    <s v="No"/>
    <n v="11"/>
    <n v="3"/>
    <n v="4"/>
    <n v="80"/>
    <n v="0"/>
    <n v="10"/>
    <n v="2"/>
    <n v="3"/>
    <x v="1"/>
    <n v="3"/>
    <n v="9"/>
    <n v="9"/>
    <x v="1"/>
    <n v="0"/>
    <n v="0"/>
    <x v="1"/>
    <n v="1"/>
    <m/>
    <m/>
  </r>
  <r>
    <n v="50"/>
    <x v="1"/>
    <s v="Travel_Rarely"/>
    <n v="989"/>
    <s v="Research &amp; Development"/>
    <n v="7"/>
    <n v="2"/>
    <s v="Medical"/>
    <n v="1"/>
    <n v="80"/>
    <n v="2"/>
    <x v="0"/>
    <n v="43"/>
    <n v="2"/>
    <x v="4"/>
    <x v="7"/>
    <x v="2"/>
    <s v="Divorced"/>
    <n v="18740"/>
    <n v="16701"/>
    <n v="5"/>
    <s v="Y"/>
    <s v="Yes"/>
    <n v="12"/>
    <n v="3"/>
    <n v="4"/>
    <n v="80"/>
    <n v="1"/>
    <n v="29"/>
    <n v="2"/>
    <n v="2"/>
    <x v="16"/>
    <n v="3"/>
    <n v="13"/>
    <n v="8"/>
    <x v="1"/>
    <n v="0"/>
    <n v="0"/>
    <x v="3"/>
    <n v="1"/>
    <m/>
    <m/>
  </r>
  <r>
    <n v="59"/>
    <x v="1"/>
    <s v="Travel_Rarely"/>
    <n v="1435"/>
    <s v="Sales"/>
    <n v="25"/>
    <n v="3"/>
    <s v="Life Sciences"/>
    <n v="1"/>
    <n v="81"/>
    <n v="1"/>
    <x v="0"/>
    <n v="99"/>
    <n v="3"/>
    <x v="2"/>
    <x v="0"/>
    <x v="3"/>
    <s v="Single"/>
    <n v="7637"/>
    <n v="2354"/>
    <n v="7"/>
    <s v="Y"/>
    <s v="No"/>
    <n v="11"/>
    <n v="3"/>
    <n v="4"/>
    <n v="80"/>
    <n v="0"/>
    <n v="28"/>
    <n v="3"/>
    <n v="2"/>
    <x v="17"/>
    <n v="16"/>
    <n v="7"/>
    <n v="9"/>
    <x v="0"/>
    <n v="0"/>
    <n v="0"/>
    <x v="4"/>
    <n v="1"/>
    <m/>
    <m/>
  </r>
  <r>
    <n v="36"/>
    <x v="1"/>
    <s v="Travel_Rarely"/>
    <n v="1223"/>
    <s v="Research &amp; Development"/>
    <n v="8"/>
    <n v="3"/>
    <s v="Technical Degree"/>
    <n v="1"/>
    <n v="83"/>
    <n v="3"/>
    <x v="0"/>
    <n v="59"/>
    <n v="3"/>
    <x v="2"/>
    <x v="4"/>
    <x v="2"/>
    <s v="Divorced"/>
    <n v="10096"/>
    <n v="8202"/>
    <n v="1"/>
    <s v="Y"/>
    <s v="No"/>
    <n v="13"/>
    <n v="3"/>
    <n v="2"/>
    <n v="80"/>
    <n v="3"/>
    <n v="17"/>
    <n v="2"/>
    <n v="3"/>
    <x v="18"/>
    <n v="14"/>
    <n v="12"/>
    <n v="8"/>
    <x v="3"/>
    <n v="0"/>
    <n v="0"/>
    <x v="2"/>
    <n v="1"/>
    <m/>
    <m/>
  </r>
  <r>
    <n v="55"/>
    <x v="1"/>
    <s v="Travel_Rarely"/>
    <n v="836"/>
    <s v="Research &amp; Development"/>
    <n v="8"/>
    <n v="3"/>
    <s v="Medical"/>
    <n v="1"/>
    <n v="84"/>
    <n v="4"/>
    <x v="0"/>
    <n v="33"/>
    <n v="3"/>
    <x v="3"/>
    <x v="5"/>
    <x v="2"/>
    <s v="Divorced"/>
    <n v="14756"/>
    <n v="19730"/>
    <n v="2"/>
    <s v="Y"/>
    <s v="Yes"/>
    <n v="14"/>
    <n v="3"/>
    <n v="3"/>
    <n v="80"/>
    <n v="3"/>
    <n v="21"/>
    <n v="2"/>
    <n v="3"/>
    <x v="8"/>
    <n v="0"/>
    <n v="0"/>
    <n v="2"/>
    <x v="4"/>
    <n v="0"/>
    <n v="0"/>
    <x v="3"/>
    <n v="1"/>
    <m/>
    <m/>
  </r>
  <r>
    <n v="36"/>
    <x v="1"/>
    <s v="Travel_Frequently"/>
    <n v="1195"/>
    <s v="Research &amp; Development"/>
    <n v="11"/>
    <n v="3"/>
    <s v="Life Sciences"/>
    <n v="1"/>
    <n v="85"/>
    <n v="2"/>
    <x v="1"/>
    <n v="95"/>
    <n v="2"/>
    <x v="0"/>
    <x v="3"/>
    <x v="1"/>
    <s v="Single"/>
    <n v="6499"/>
    <n v="22656"/>
    <n v="1"/>
    <s v="Y"/>
    <s v="No"/>
    <n v="13"/>
    <n v="3"/>
    <n v="3"/>
    <n v="80"/>
    <n v="0"/>
    <n v="6"/>
    <n v="3"/>
    <n v="3"/>
    <x v="0"/>
    <n v="5"/>
    <n v="0"/>
    <n v="3"/>
    <x v="2"/>
    <n v="0"/>
    <n v="0"/>
    <x v="4"/>
    <n v="1"/>
    <m/>
    <m/>
  </r>
  <r>
    <n v="45"/>
    <x v="1"/>
    <s v="Travel_Rarely"/>
    <n v="1339"/>
    <s v="Research &amp; Development"/>
    <n v="7"/>
    <n v="3"/>
    <s v="Life Sciences"/>
    <n v="1"/>
    <n v="86"/>
    <n v="2"/>
    <x v="1"/>
    <n v="59"/>
    <n v="3"/>
    <x v="2"/>
    <x v="1"/>
    <x v="3"/>
    <s v="Divorced"/>
    <n v="9724"/>
    <n v="18787"/>
    <n v="2"/>
    <s v="Y"/>
    <s v="No"/>
    <n v="17"/>
    <n v="3"/>
    <n v="3"/>
    <n v="80"/>
    <n v="1"/>
    <n v="25"/>
    <n v="2"/>
    <n v="3"/>
    <x v="6"/>
    <n v="0"/>
    <n v="0"/>
    <n v="0"/>
    <x v="1"/>
    <n v="0"/>
    <n v="0"/>
    <x v="2"/>
    <n v="1"/>
    <m/>
    <m/>
  </r>
  <r>
    <n v="35"/>
    <x v="1"/>
    <s v="Travel_Frequently"/>
    <n v="664"/>
    <s v="Research &amp; Development"/>
    <n v="1"/>
    <n v="3"/>
    <s v="Medical"/>
    <n v="1"/>
    <n v="88"/>
    <n v="2"/>
    <x v="1"/>
    <n v="79"/>
    <n v="3"/>
    <x v="1"/>
    <x v="1"/>
    <x v="3"/>
    <s v="Married"/>
    <n v="2194"/>
    <n v="5868"/>
    <n v="4"/>
    <s v="Y"/>
    <s v="No"/>
    <n v="13"/>
    <n v="3"/>
    <n v="4"/>
    <n v="80"/>
    <n v="1"/>
    <n v="5"/>
    <n v="2"/>
    <n v="2"/>
    <x v="11"/>
    <n v="2"/>
    <n v="1"/>
    <n v="2"/>
    <x v="1"/>
    <n v="0"/>
    <n v="0"/>
    <x v="1"/>
    <n v="1"/>
    <m/>
    <m/>
  </r>
  <r>
    <n v="36"/>
    <x v="0"/>
    <s v="Travel_Rarely"/>
    <n v="318"/>
    <s v="Research &amp; Development"/>
    <n v="9"/>
    <n v="3"/>
    <s v="Medical"/>
    <n v="1"/>
    <n v="90"/>
    <n v="4"/>
    <x v="1"/>
    <n v="79"/>
    <n v="2"/>
    <x v="1"/>
    <x v="1"/>
    <x v="2"/>
    <s v="Married"/>
    <n v="3388"/>
    <n v="21777"/>
    <n v="0"/>
    <s v="Y"/>
    <s v="Yes"/>
    <n v="17"/>
    <n v="3"/>
    <n v="1"/>
    <n v="80"/>
    <n v="1"/>
    <n v="2"/>
    <n v="0"/>
    <n v="2"/>
    <x v="6"/>
    <n v="0"/>
    <n v="0"/>
    <n v="0"/>
    <x v="1"/>
    <n v="1"/>
    <n v="60984"/>
    <x v="0"/>
    <n v="1"/>
    <m/>
    <m/>
  </r>
  <r>
    <n v="59"/>
    <x v="1"/>
    <s v="Travel_Frequently"/>
    <n v="1225"/>
    <s v="Sales"/>
    <n v="1"/>
    <n v="1"/>
    <s v="Life Sciences"/>
    <n v="1"/>
    <n v="91"/>
    <n v="1"/>
    <x v="0"/>
    <n v="57"/>
    <n v="2"/>
    <x v="0"/>
    <x v="0"/>
    <x v="2"/>
    <s v="Single"/>
    <n v="5473"/>
    <n v="24668"/>
    <n v="7"/>
    <s v="Y"/>
    <s v="No"/>
    <n v="11"/>
    <n v="3"/>
    <n v="4"/>
    <n v="80"/>
    <n v="0"/>
    <n v="20"/>
    <n v="2"/>
    <n v="2"/>
    <x v="9"/>
    <n v="3"/>
    <n v="1"/>
    <n v="3"/>
    <x v="0"/>
    <n v="0"/>
    <n v="0"/>
    <x v="0"/>
    <n v="1"/>
    <m/>
    <m/>
  </r>
  <r>
    <n v="29"/>
    <x v="1"/>
    <s v="Travel_Rarely"/>
    <n v="1328"/>
    <s v="Research &amp; Development"/>
    <n v="2"/>
    <n v="3"/>
    <s v="Life Sciences"/>
    <n v="1"/>
    <n v="94"/>
    <n v="3"/>
    <x v="1"/>
    <n v="76"/>
    <n v="3"/>
    <x v="1"/>
    <x v="1"/>
    <x v="1"/>
    <s v="Married"/>
    <n v="2703"/>
    <n v="4956"/>
    <n v="0"/>
    <s v="Y"/>
    <s v="No"/>
    <n v="23"/>
    <n v="4"/>
    <n v="4"/>
    <n v="80"/>
    <n v="1"/>
    <n v="6"/>
    <n v="3"/>
    <n v="3"/>
    <x v="8"/>
    <n v="4"/>
    <n v="0"/>
    <n v="4"/>
    <x v="1"/>
    <n v="0"/>
    <n v="0"/>
    <x v="1"/>
    <n v="1"/>
    <m/>
    <m/>
  </r>
  <r>
    <n v="31"/>
    <x v="1"/>
    <s v="Travel_Rarely"/>
    <n v="1082"/>
    <s v="Research &amp; Development"/>
    <n v="1"/>
    <n v="4"/>
    <s v="Medical"/>
    <n v="1"/>
    <n v="95"/>
    <n v="3"/>
    <x v="1"/>
    <n v="87"/>
    <n v="3"/>
    <x v="1"/>
    <x v="1"/>
    <x v="1"/>
    <s v="Single"/>
    <n v="2501"/>
    <n v="18775"/>
    <n v="1"/>
    <s v="Y"/>
    <s v="No"/>
    <n v="17"/>
    <n v="3"/>
    <n v="2"/>
    <n v="80"/>
    <n v="0"/>
    <n v="1"/>
    <n v="4"/>
    <n v="3"/>
    <x v="6"/>
    <n v="1"/>
    <n v="1"/>
    <n v="0"/>
    <x v="1"/>
    <n v="0"/>
    <n v="0"/>
    <x v="1"/>
    <n v="1"/>
    <m/>
    <m/>
  </r>
  <r>
    <n v="32"/>
    <x v="1"/>
    <s v="Travel_Rarely"/>
    <n v="548"/>
    <s v="Research &amp; Development"/>
    <n v="1"/>
    <n v="3"/>
    <s v="Life Sciences"/>
    <n v="1"/>
    <n v="96"/>
    <n v="2"/>
    <x v="1"/>
    <n v="66"/>
    <n v="3"/>
    <x v="0"/>
    <x v="1"/>
    <x v="1"/>
    <s v="Married"/>
    <n v="6220"/>
    <n v="7346"/>
    <n v="1"/>
    <s v="Y"/>
    <s v="No"/>
    <n v="17"/>
    <n v="3"/>
    <n v="2"/>
    <n v="80"/>
    <n v="2"/>
    <n v="10"/>
    <n v="3"/>
    <n v="3"/>
    <x v="1"/>
    <n v="4"/>
    <n v="0"/>
    <n v="9"/>
    <x v="1"/>
    <n v="0"/>
    <n v="0"/>
    <x v="4"/>
    <n v="1"/>
    <m/>
    <m/>
  </r>
  <r>
    <n v="36"/>
    <x v="1"/>
    <s v="Travel_Rarely"/>
    <n v="132"/>
    <s v="Research &amp; Development"/>
    <n v="6"/>
    <n v="3"/>
    <s v="Life Sciences"/>
    <n v="1"/>
    <n v="97"/>
    <n v="2"/>
    <x v="0"/>
    <n v="55"/>
    <n v="4"/>
    <x v="1"/>
    <x v="2"/>
    <x v="0"/>
    <s v="Married"/>
    <n v="3038"/>
    <n v="22002"/>
    <n v="3"/>
    <s v="Y"/>
    <s v="No"/>
    <n v="12"/>
    <n v="3"/>
    <n v="2"/>
    <n v="80"/>
    <n v="0"/>
    <n v="5"/>
    <n v="3"/>
    <n v="3"/>
    <x v="6"/>
    <n v="0"/>
    <n v="0"/>
    <n v="0"/>
    <x v="1"/>
    <n v="0"/>
    <n v="0"/>
    <x v="0"/>
    <n v="1"/>
    <m/>
    <m/>
  </r>
  <r>
    <n v="31"/>
    <x v="1"/>
    <s v="Travel_Rarely"/>
    <n v="746"/>
    <s v="Research &amp; Development"/>
    <n v="8"/>
    <n v="4"/>
    <s v="Life Sciences"/>
    <n v="1"/>
    <n v="98"/>
    <n v="3"/>
    <x v="0"/>
    <n v="61"/>
    <n v="3"/>
    <x v="0"/>
    <x v="3"/>
    <x v="0"/>
    <s v="Single"/>
    <n v="4424"/>
    <n v="20682"/>
    <n v="1"/>
    <s v="Y"/>
    <s v="No"/>
    <n v="23"/>
    <n v="4"/>
    <n v="4"/>
    <n v="80"/>
    <n v="0"/>
    <n v="11"/>
    <n v="2"/>
    <n v="3"/>
    <x v="19"/>
    <n v="7"/>
    <n v="1"/>
    <n v="8"/>
    <x v="2"/>
    <n v="0"/>
    <n v="0"/>
    <x v="0"/>
    <n v="1"/>
    <m/>
    <m/>
  </r>
  <r>
    <n v="35"/>
    <x v="1"/>
    <s v="Travel_Rarely"/>
    <n v="776"/>
    <s v="Sales"/>
    <n v="1"/>
    <n v="4"/>
    <s v="Marketing"/>
    <n v="1"/>
    <n v="100"/>
    <n v="3"/>
    <x v="1"/>
    <n v="32"/>
    <n v="2"/>
    <x v="0"/>
    <x v="0"/>
    <x v="3"/>
    <s v="Single"/>
    <n v="4312"/>
    <n v="23016"/>
    <n v="0"/>
    <s v="Y"/>
    <s v="No"/>
    <n v="14"/>
    <n v="3"/>
    <n v="2"/>
    <n v="80"/>
    <n v="0"/>
    <n v="16"/>
    <n v="2"/>
    <n v="3"/>
    <x v="15"/>
    <n v="13"/>
    <n v="2"/>
    <n v="8"/>
    <x v="0"/>
    <n v="0"/>
    <n v="0"/>
    <x v="0"/>
    <n v="1"/>
    <m/>
    <m/>
  </r>
  <r>
    <n v="45"/>
    <x v="1"/>
    <s v="Travel_Rarely"/>
    <n v="193"/>
    <s v="Research &amp; Development"/>
    <n v="6"/>
    <n v="4"/>
    <s v="Other"/>
    <n v="1"/>
    <n v="101"/>
    <n v="4"/>
    <x v="1"/>
    <n v="52"/>
    <n v="3"/>
    <x v="2"/>
    <x v="7"/>
    <x v="3"/>
    <s v="Married"/>
    <n v="13245"/>
    <n v="15067"/>
    <n v="4"/>
    <s v="Y"/>
    <s v="Yes"/>
    <n v="14"/>
    <n v="3"/>
    <n v="2"/>
    <n v="80"/>
    <n v="0"/>
    <n v="17"/>
    <n v="3"/>
    <n v="4"/>
    <x v="2"/>
    <n v="0"/>
    <n v="0"/>
    <n v="0"/>
    <x v="1"/>
    <n v="0"/>
    <n v="0"/>
    <x v="3"/>
    <n v="1"/>
    <m/>
    <m/>
  </r>
  <r>
    <n v="37"/>
    <x v="1"/>
    <s v="Travel_Rarely"/>
    <n v="397"/>
    <s v="Research &amp; Development"/>
    <n v="7"/>
    <n v="4"/>
    <s v="Medical"/>
    <n v="1"/>
    <n v="102"/>
    <n v="1"/>
    <x v="1"/>
    <n v="30"/>
    <n v="3"/>
    <x v="2"/>
    <x v="7"/>
    <x v="2"/>
    <s v="Single"/>
    <n v="13664"/>
    <n v="25258"/>
    <n v="4"/>
    <s v="Y"/>
    <s v="No"/>
    <n v="13"/>
    <n v="3"/>
    <n v="1"/>
    <n v="80"/>
    <n v="0"/>
    <n v="16"/>
    <n v="3"/>
    <n v="4"/>
    <x v="8"/>
    <n v="2"/>
    <n v="0"/>
    <n v="2"/>
    <x v="1"/>
    <n v="0"/>
    <n v="0"/>
    <x v="3"/>
    <n v="1"/>
    <m/>
    <m/>
  </r>
  <r>
    <n v="46"/>
    <x v="1"/>
    <s v="Travel_Rarely"/>
    <n v="945"/>
    <s v="Human Resources"/>
    <n v="5"/>
    <n v="2"/>
    <s v="Medical"/>
    <n v="1"/>
    <n v="103"/>
    <n v="2"/>
    <x v="1"/>
    <n v="80"/>
    <n v="3"/>
    <x v="0"/>
    <x v="8"/>
    <x v="1"/>
    <s v="Divorced"/>
    <n v="5021"/>
    <n v="10425"/>
    <n v="8"/>
    <s v="Y"/>
    <s v="Yes"/>
    <n v="22"/>
    <n v="4"/>
    <n v="4"/>
    <n v="80"/>
    <n v="1"/>
    <n v="16"/>
    <n v="2"/>
    <n v="3"/>
    <x v="9"/>
    <n v="2"/>
    <n v="0"/>
    <n v="2"/>
    <x v="5"/>
    <n v="0"/>
    <n v="0"/>
    <x v="0"/>
    <n v="1"/>
    <m/>
    <m/>
  </r>
  <r>
    <n v="30"/>
    <x v="1"/>
    <s v="Travel_Rarely"/>
    <n v="852"/>
    <s v="Research &amp; Development"/>
    <n v="1"/>
    <n v="1"/>
    <s v="Life Sciences"/>
    <n v="1"/>
    <n v="104"/>
    <n v="4"/>
    <x v="1"/>
    <n v="55"/>
    <n v="2"/>
    <x v="0"/>
    <x v="2"/>
    <x v="0"/>
    <s v="Married"/>
    <n v="5126"/>
    <n v="15998"/>
    <n v="1"/>
    <s v="Y"/>
    <s v="Yes"/>
    <n v="12"/>
    <n v="3"/>
    <n v="3"/>
    <n v="80"/>
    <n v="2"/>
    <n v="10"/>
    <n v="1"/>
    <n v="2"/>
    <x v="1"/>
    <n v="8"/>
    <n v="3"/>
    <n v="0"/>
    <x v="1"/>
    <n v="0"/>
    <n v="0"/>
    <x v="0"/>
    <n v="1"/>
    <m/>
    <m/>
  </r>
  <r>
    <n v="35"/>
    <x v="1"/>
    <s v="Travel_Rarely"/>
    <n v="1214"/>
    <s v="Research &amp; Development"/>
    <n v="1"/>
    <n v="3"/>
    <s v="Medical"/>
    <n v="1"/>
    <n v="105"/>
    <n v="2"/>
    <x v="1"/>
    <n v="30"/>
    <n v="2"/>
    <x v="1"/>
    <x v="1"/>
    <x v="2"/>
    <s v="Single"/>
    <n v="2859"/>
    <n v="26278"/>
    <n v="1"/>
    <s v="Y"/>
    <s v="No"/>
    <n v="18"/>
    <n v="3"/>
    <n v="1"/>
    <n v="80"/>
    <n v="0"/>
    <n v="6"/>
    <n v="3"/>
    <n v="3"/>
    <x v="0"/>
    <n v="4"/>
    <n v="0"/>
    <n v="4"/>
    <x v="1"/>
    <n v="0"/>
    <n v="0"/>
    <x v="1"/>
    <n v="1"/>
    <m/>
    <m/>
  </r>
  <r>
    <n v="55"/>
    <x v="1"/>
    <s v="Travel_Rarely"/>
    <n v="111"/>
    <s v="Sales"/>
    <n v="1"/>
    <n v="2"/>
    <s v="Life Sciences"/>
    <n v="1"/>
    <n v="106"/>
    <n v="1"/>
    <x v="1"/>
    <n v="70"/>
    <n v="3"/>
    <x v="2"/>
    <x v="0"/>
    <x v="0"/>
    <s v="Married"/>
    <n v="10239"/>
    <n v="18092"/>
    <n v="3"/>
    <s v="Y"/>
    <s v="No"/>
    <n v="14"/>
    <n v="3"/>
    <n v="4"/>
    <n v="80"/>
    <n v="1"/>
    <n v="24"/>
    <n v="4"/>
    <n v="3"/>
    <x v="6"/>
    <n v="0"/>
    <n v="1"/>
    <n v="0"/>
    <x v="0"/>
    <n v="0"/>
    <n v="0"/>
    <x v="2"/>
    <n v="1"/>
    <m/>
    <m/>
  </r>
  <r>
    <n v="38"/>
    <x v="1"/>
    <s v="Non-Travel"/>
    <n v="573"/>
    <s v="Research &amp; Development"/>
    <n v="6"/>
    <n v="3"/>
    <s v="Medical"/>
    <n v="1"/>
    <n v="107"/>
    <n v="2"/>
    <x v="0"/>
    <n v="79"/>
    <n v="1"/>
    <x v="0"/>
    <x v="1"/>
    <x v="0"/>
    <s v="Divorced"/>
    <n v="5329"/>
    <n v="15717"/>
    <n v="7"/>
    <s v="Y"/>
    <s v="Yes"/>
    <n v="12"/>
    <n v="3"/>
    <n v="4"/>
    <n v="80"/>
    <n v="3"/>
    <n v="17"/>
    <n v="3"/>
    <n v="3"/>
    <x v="20"/>
    <n v="11"/>
    <n v="1"/>
    <n v="9"/>
    <x v="1"/>
    <n v="0"/>
    <n v="0"/>
    <x v="0"/>
    <n v="1"/>
    <m/>
    <m/>
  </r>
  <r>
    <n v="34"/>
    <x v="1"/>
    <s v="Travel_Rarely"/>
    <n v="1153"/>
    <s v="Research &amp; Development"/>
    <n v="1"/>
    <n v="2"/>
    <s v="Medical"/>
    <n v="1"/>
    <n v="110"/>
    <n v="1"/>
    <x v="1"/>
    <n v="94"/>
    <n v="3"/>
    <x v="0"/>
    <x v="3"/>
    <x v="1"/>
    <s v="Married"/>
    <n v="4325"/>
    <n v="17736"/>
    <n v="1"/>
    <s v="Y"/>
    <s v="No"/>
    <n v="15"/>
    <n v="3"/>
    <n v="3"/>
    <n v="80"/>
    <n v="0"/>
    <n v="5"/>
    <n v="2"/>
    <n v="3"/>
    <x v="8"/>
    <n v="2"/>
    <n v="1"/>
    <n v="3"/>
    <x v="2"/>
    <n v="0"/>
    <n v="0"/>
    <x v="0"/>
    <n v="1"/>
    <m/>
    <m/>
  </r>
  <r>
    <n v="56"/>
    <x v="1"/>
    <s v="Travel_Rarely"/>
    <n v="1400"/>
    <s v="Research &amp; Development"/>
    <n v="7"/>
    <n v="3"/>
    <s v="Life Sciences"/>
    <n v="1"/>
    <n v="112"/>
    <n v="4"/>
    <x v="1"/>
    <n v="49"/>
    <n v="1"/>
    <x v="2"/>
    <x v="3"/>
    <x v="0"/>
    <s v="Single"/>
    <n v="7260"/>
    <n v="21698"/>
    <n v="4"/>
    <s v="Y"/>
    <s v="No"/>
    <n v="11"/>
    <n v="3"/>
    <n v="1"/>
    <n v="80"/>
    <n v="0"/>
    <n v="37"/>
    <n v="3"/>
    <n v="2"/>
    <x v="0"/>
    <n v="4"/>
    <n v="0"/>
    <n v="2"/>
    <x v="2"/>
    <n v="0"/>
    <n v="0"/>
    <x v="4"/>
    <n v="1"/>
    <m/>
    <m/>
  </r>
  <r>
    <n v="23"/>
    <x v="1"/>
    <s v="Travel_Rarely"/>
    <n v="541"/>
    <s v="Sales"/>
    <n v="2"/>
    <n v="1"/>
    <s v="Technical Degree"/>
    <n v="1"/>
    <n v="113"/>
    <n v="3"/>
    <x v="1"/>
    <n v="62"/>
    <n v="3"/>
    <x v="1"/>
    <x v="6"/>
    <x v="3"/>
    <s v="Divorced"/>
    <n v="2322"/>
    <n v="9518"/>
    <n v="3"/>
    <s v="Y"/>
    <s v="No"/>
    <n v="13"/>
    <n v="3"/>
    <n v="3"/>
    <n v="80"/>
    <n v="1"/>
    <n v="3"/>
    <n v="3"/>
    <n v="3"/>
    <x v="2"/>
    <n v="0"/>
    <n v="0"/>
    <n v="0"/>
    <x v="0"/>
    <n v="0"/>
    <n v="0"/>
    <x v="1"/>
    <n v="1"/>
    <m/>
    <m/>
  </r>
  <r>
    <n v="51"/>
    <x v="1"/>
    <s v="Travel_Rarely"/>
    <n v="432"/>
    <s v="Research &amp; Development"/>
    <n v="9"/>
    <n v="4"/>
    <s v="Life Sciences"/>
    <n v="1"/>
    <n v="116"/>
    <n v="4"/>
    <x v="1"/>
    <n v="96"/>
    <n v="3"/>
    <x v="1"/>
    <x v="2"/>
    <x v="0"/>
    <s v="Married"/>
    <n v="2075"/>
    <n v="18725"/>
    <n v="3"/>
    <s v="Y"/>
    <s v="No"/>
    <n v="23"/>
    <n v="4"/>
    <n v="2"/>
    <n v="80"/>
    <n v="2"/>
    <n v="10"/>
    <n v="4"/>
    <n v="3"/>
    <x v="9"/>
    <n v="2"/>
    <n v="0"/>
    <n v="3"/>
    <x v="1"/>
    <n v="0"/>
    <n v="0"/>
    <x v="1"/>
    <n v="1"/>
    <m/>
    <m/>
  </r>
  <r>
    <n v="30"/>
    <x v="1"/>
    <s v="Travel_Rarely"/>
    <n v="288"/>
    <s v="Research &amp; Development"/>
    <n v="2"/>
    <n v="3"/>
    <s v="Life Sciences"/>
    <n v="1"/>
    <n v="117"/>
    <n v="3"/>
    <x v="1"/>
    <n v="99"/>
    <n v="2"/>
    <x v="0"/>
    <x v="4"/>
    <x v="0"/>
    <s v="Married"/>
    <n v="4152"/>
    <n v="15830"/>
    <n v="1"/>
    <s v="Y"/>
    <s v="No"/>
    <n v="19"/>
    <n v="3"/>
    <n v="1"/>
    <n v="80"/>
    <n v="3"/>
    <n v="11"/>
    <n v="3"/>
    <n v="3"/>
    <x v="19"/>
    <n v="10"/>
    <n v="10"/>
    <n v="8"/>
    <x v="3"/>
    <n v="0"/>
    <n v="0"/>
    <x v="0"/>
    <n v="1"/>
    <m/>
    <m/>
  </r>
  <r>
    <n v="46"/>
    <x v="0"/>
    <s v="Travel_Rarely"/>
    <n v="669"/>
    <s v="Sales"/>
    <n v="9"/>
    <n v="2"/>
    <s v="Medical"/>
    <n v="1"/>
    <n v="118"/>
    <n v="3"/>
    <x v="1"/>
    <n v="64"/>
    <n v="2"/>
    <x v="2"/>
    <x v="0"/>
    <x v="0"/>
    <s v="Single"/>
    <n v="9619"/>
    <n v="13596"/>
    <n v="1"/>
    <s v="Y"/>
    <s v="No"/>
    <n v="16"/>
    <n v="3"/>
    <n v="4"/>
    <n v="80"/>
    <n v="0"/>
    <n v="9"/>
    <n v="3"/>
    <n v="3"/>
    <x v="7"/>
    <n v="8"/>
    <n v="4"/>
    <n v="7"/>
    <x v="0"/>
    <n v="1"/>
    <n v="173142"/>
    <x v="2"/>
    <n v="1"/>
    <m/>
    <m/>
  </r>
  <r>
    <n v="40"/>
    <x v="1"/>
    <s v="Travel_Frequently"/>
    <n v="530"/>
    <s v="Research &amp; Development"/>
    <n v="1"/>
    <n v="4"/>
    <s v="Life Sciences"/>
    <n v="1"/>
    <n v="119"/>
    <n v="3"/>
    <x v="1"/>
    <n v="78"/>
    <n v="2"/>
    <x v="3"/>
    <x v="4"/>
    <x v="1"/>
    <s v="Married"/>
    <n v="13503"/>
    <n v="14115"/>
    <n v="1"/>
    <s v="Y"/>
    <s v="No"/>
    <n v="22"/>
    <n v="4"/>
    <n v="4"/>
    <n v="80"/>
    <n v="1"/>
    <n v="22"/>
    <n v="3"/>
    <n v="2"/>
    <x v="14"/>
    <n v="3"/>
    <n v="11"/>
    <n v="11"/>
    <x v="3"/>
    <n v="0"/>
    <n v="0"/>
    <x v="3"/>
    <n v="1"/>
    <m/>
    <m/>
  </r>
  <r>
    <n v="51"/>
    <x v="1"/>
    <s v="Travel_Rarely"/>
    <n v="632"/>
    <s v="Sales"/>
    <n v="21"/>
    <n v="4"/>
    <s v="Marketing"/>
    <n v="1"/>
    <n v="120"/>
    <n v="3"/>
    <x v="1"/>
    <n v="71"/>
    <n v="3"/>
    <x v="0"/>
    <x v="0"/>
    <x v="0"/>
    <s v="Single"/>
    <n v="5441"/>
    <n v="8423"/>
    <n v="0"/>
    <s v="Y"/>
    <s v="Yes"/>
    <n v="22"/>
    <n v="4"/>
    <n v="4"/>
    <n v="80"/>
    <n v="0"/>
    <n v="11"/>
    <n v="2"/>
    <n v="1"/>
    <x v="1"/>
    <n v="7"/>
    <n v="1"/>
    <n v="0"/>
    <x v="0"/>
    <n v="0"/>
    <n v="0"/>
    <x v="0"/>
    <n v="1"/>
    <m/>
    <m/>
  </r>
  <r>
    <n v="30"/>
    <x v="1"/>
    <s v="Travel_Rarely"/>
    <n v="1334"/>
    <s v="Sales"/>
    <n v="4"/>
    <n v="2"/>
    <s v="Medical"/>
    <n v="1"/>
    <n v="121"/>
    <n v="3"/>
    <x v="0"/>
    <n v="63"/>
    <n v="2"/>
    <x v="0"/>
    <x v="0"/>
    <x v="1"/>
    <s v="Divorced"/>
    <n v="5209"/>
    <n v="19760"/>
    <n v="1"/>
    <s v="Y"/>
    <s v="Yes"/>
    <n v="12"/>
    <n v="3"/>
    <n v="2"/>
    <n v="80"/>
    <n v="3"/>
    <n v="11"/>
    <n v="4"/>
    <n v="2"/>
    <x v="19"/>
    <n v="8"/>
    <n v="2"/>
    <n v="7"/>
    <x v="0"/>
    <n v="0"/>
    <n v="0"/>
    <x v="0"/>
    <n v="1"/>
    <m/>
    <m/>
  </r>
  <r>
    <n v="46"/>
    <x v="1"/>
    <s v="Travel_Frequently"/>
    <n v="638"/>
    <s v="Research &amp; Development"/>
    <n v="1"/>
    <n v="3"/>
    <s v="Medical"/>
    <n v="1"/>
    <n v="124"/>
    <n v="3"/>
    <x v="1"/>
    <n v="40"/>
    <n v="2"/>
    <x v="2"/>
    <x v="4"/>
    <x v="3"/>
    <s v="Married"/>
    <n v="10673"/>
    <n v="3142"/>
    <n v="2"/>
    <s v="Y"/>
    <s v="Yes"/>
    <n v="13"/>
    <n v="3"/>
    <n v="3"/>
    <n v="80"/>
    <n v="1"/>
    <n v="21"/>
    <n v="5"/>
    <n v="2"/>
    <x v="1"/>
    <n v="9"/>
    <n v="9"/>
    <n v="5"/>
    <x v="3"/>
    <n v="0"/>
    <n v="0"/>
    <x v="2"/>
    <n v="1"/>
    <m/>
    <m/>
  </r>
  <r>
    <n v="32"/>
    <x v="1"/>
    <s v="Travel_Rarely"/>
    <n v="1093"/>
    <s v="Sales"/>
    <n v="6"/>
    <n v="4"/>
    <s v="Medical"/>
    <n v="1"/>
    <n v="125"/>
    <n v="2"/>
    <x v="1"/>
    <n v="87"/>
    <n v="3"/>
    <x v="0"/>
    <x v="0"/>
    <x v="2"/>
    <s v="Single"/>
    <n v="5010"/>
    <n v="24301"/>
    <n v="1"/>
    <s v="Y"/>
    <s v="No"/>
    <n v="16"/>
    <n v="3"/>
    <n v="1"/>
    <n v="80"/>
    <n v="0"/>
    <n v="12"/>
    <n v="0"/>
    <n v="3"/>
    <x v="19"/>
    <n v="8"/>
    <n v="5"/>
    <n v="7"/>
    <x v="0"/>
    <n v="0"/>
    <n v="0"/>
    <x v="0"/>
    <n v="1"/>
    <m/>
    <m/>
  </r>
  <r>
    <n v="54"/>
    <x v="1"/>
    <s v="Travel_Rarely"/>
    <n v="1217"/>
    <s v="Research &amp; Development"/>
    <n v="2"/>
    <n v="4"/>
    <s v="Technical Degree"/>
    <n v="1"/>
    <n v="126"/>
    <n v="1"/>
    <x v="0"/>
    <n v="60"/>
    <n v="3"/>
    <x v="2"/>
    <x v="7"/>
    <x v="2"/>
    <s v="Married"/>
    <n v="13549"/>
    <n v="24001"/>
    <n v="9"/>
    <s v="Y"/>
    <s v="No"/>
    <n v="12"/>
    <n v="3"/>
    <n v="1"/>
    <n v="80"/>
    <n v="1"/>
    <n v="16"/>
    <n v="5"/>
    <n v="1"/>
    <x v="9"/>
    <n v="3"/>
    <n v="0"/>
    <n v="3"/>
    <x v="1"/>
    <n v="0"/>
    <n v="0"/>
    <x v="3"/>
    <n v="1"/>
    <m/>
    <m/>
  </r>
  <r>
    <n v="24"/>
    <x v="1"/>
    <s v="Travel_Rarely"/>
    <n v="1353"/>
    <s v="Sales"/>
    <n v="3"/>
    <n v="2"/>
    <s v="Other"/>
    <n v="1"/>
    <n v="128"/>
    <n v="1"/>
    <x v="0"/>
    <n v="33"/>
    <n v="3"/>
    <x v="0"/>
    <x v="0"/>
    <x v="2"/>
    <s v="Married"/>
    <n v="4999"/>
    <n v="17519"/>
    <n v="0"/>
    <s v="Y"/>
    <s v="No"/>
    <n v="21"/>
    <n v="4"/>
    <n v="1"/>
    <n v="80"/>
    <n v="1"/>
    <n v="4"/>
    <n v="2"/>
    <n v="2"/>
    <x v="11"/>
    <n v="2"/>
    <n v="0"/>
    <n v="2"/>
    <x v="0"/>
    <n v="0"/>
    <n v="0"/>
    <x v="0"/>
    <n v="1"/>
    <m/>
    <m/>
  </r>
  <r>
    <n v="28"/>
    <x v="1"/>
    <s v="Non-Travel"/>
    <n v="120"/>
    <s v="Sales"/>
    <n v="4"/>
    <n v="3"/>
    <s v="Medical"/>
    <n v="1"/>
    <n v="129"/>
    <n v="2"/>
    <x v="1"/>
    <n v="43"/>
    <n v="3"/>
    <x v="0"/>
    <x v="0"/>
    <x v="2"/>
    <s v="Married"/>
    <n v="4221"/>
    <n v="8863"/>
    <n v="1"/>
    <s v="Y"/>
    <s v="No"/>
    <n v="15"/>
    <n v="3"/>
    <n v="2"/>
    <n v="80"/>
    <n v="0"/>
    <n v="5"/>
    <n v="3"/>
    <n v="4"/>
    <x v="8"/>
    <n v="4"/>
    <n v="0"/>
    <n v="4"/>
    <x v="0"/>
    <n v="0"/>
    <n v="0"/>
    <x v="0"/>
    <n v="1"/>
    <m/>
    <m/>
  </r>
  <r>
    <n v="58"/>
    <x v="1"/>
    <s v="Travel_Rarely"/>
    <n v="682"/>
    <s v="Sales"/>
    <n v="10"/>
    <n v="4"/>
    <s v="Medical"/>
    <n v="1"/>
    <n v="131"/>
    <n v="4"/>
    <x v="1"/>
    <n v="37"/>
    <n v="3"/>
    <x v="3"/>
    <x v="0"/>
    <x v="2"/>
    <s v="Single"/>
    <n v="13872"/>
    <n v="24409"/>
    <n v="0"/>
    <s v="Y"/>
    <s v="No"/>
    <n v="13"/>
    <n v="3"/>
    <n v="3"/>
    <n v="80"/>
    <n v="0"/>
    <n v="38"/>
    <n v="1"/>
    <n v="2"/>
    <x v="21"/>
    <n v="10"/>
    <n v="1"/>
    <n v="8"/>
    <x v="0"/>
    <n v="0"/>
    <n v="0"/>
    <x v="3"/>
    <n v="1"/>
    <m/>
    <m/>
  </r>
  <r>
    <n v="44"/>
    <x v="1"/>
    <s v="Non-Travel"/>
    <n v="489"/>
    <s v="Research &amp; Development"/>
    <n v="23"/>
    <n v="3"/>
    <s v="Medical"/>
    <n v="1"/>
    <n v="132"/>
    <n v="2"/>
    <x v="1"/>
    <n v="67"/>
    <n v="3"/>
    <x v="0"/>
    <x v="2"/>
    <x v="1"/>
    <s v="Married"/>
    <n v="2042"/>
    <n v="25043"/>
    <n v="4"/>
    <s v="Y"/>
    <s v="No"/>
    <n v="12"/>
    <n v="3"/>
    <n v="3"/>
    <n v="80"/>
    <n v="1"/>
    <n v="17"/>
    <n v="3"/>
    <n v="4"/>
    <x v="11"/>
    <n v="2"/>
    <n v="1"/>
    <n v="2"/>
    <x v="1"/>
    <n v="0"/>
    <n v="0"/>
    <x v="1"/>
    <n v="1"/>
    <m/>
    <m/>
  </r>
  <r>
    <n v="37"/>
    <x v="0"/>
    <s v="Travel_Rarely"/>
    <n v="807"/>
    <s v="Human Resources"/>
    <n v="6"/>
    <n v="4"/>
    <s v="Human Resources"/>
    <n v="1"/>
    <n v="133"/>
    <n v="3"/>
    <x v="1"/>
    <n v="63"/>
    <n v="3"/>
    <x v="1"/>
    <x v="8"/>
    <x v="3"/>
    <s v="Divorced"/>
    <n v="2073"/>
    <n v="23648"/>
    <n v="4"/>
    <s v="Y"/>
    <s v="Yes"/>
    <n v="22"/>
    <n v="4"/>
    <n v="4"/>
    <n v="80"/>
    <n v="0"/>
    <n v="7"/>
    <n v="3"/>
    <n v="3"/>
    <x v="11"/>
    <n v="2"/>
    <n v="0"/>
    <n v="2"/>
    <x v="5"/>
    <n v="1"/>
    <n v="37314"/>
    <x v="1"/>
    <n v="1"/>
    <m/>
    <m/>
  </r>
  <r>
    <n v="32"/>
    <x v="1"/>
    <s v="Travel_Rarely"/>
    <n v="827"/>
    <s v="Research &amp; Development"/>
    <n v="1"/>
    <n v="1"/>
    <s v="Life Sciences"/>
    <n v="1"/>
    <n v="134"/>
    <n v="4"/>
    <x v="1"/>
    <n v="71"/>
    <n v="3"/>
    <x v="1"/>
    <x v="1"/>
    <x v="3"/>
    <s v="Single"/>
    <n v="2956"/>
    <n v="15178"/>
    <n v="1"/>
    <s v="Y"/>
    <s v="No"/>
    <n v="13"/>
    <n v="3"/>
    <n v="4"/>
    <n v="80"/>
    <n v="0"/>
    <n v="1"/>
    <n v="2"/>
    <n v="3"/>
    <x v="6"/>
    <n v="0"/>
    <n v="0"/>
    <n v="0"/>
    <x v="1"/>
    <n v="0"/>
    <n v="0"/>
    <x v="1"/>
    <n v="1"/>
    <m/>
    <m/>
  </r>
  <r>
    <n v="20"/>
    <x v="0"/>
    <s v="Travel_Frequently"/>
    <n v="871"/>
    <s v="Research &amp; Development"/>
    <n v="6"/>
    <n v="3"/>
    <s v="Life Sciences"/>
    <n v="1"/>
    <n v="137"/>
    <n v="4"/>
    <x v="0"/>
    <n v="66"/>
    <n v="2"/>
    <x v="1"/>
    <x v="2"/>
    <x v="0"/>
    <s v="Single"/>
    <n v="2926"/>
    <n v="19783"/>
    <n v="1"/>
    <s v="Y"/>
    <s v="Yes"/>
    <n v="18"/>
    <n v="3"/>
    <n v="2"/>
    <n v="80"/>
    <n v="0"/>
    <n v="1"/>
    <n v="5"/>
    <n v="3"/>
    <x v="6"/>
    <n v="0"/>
    <n v="1"/>
    <n v="0"/>
    <x v="1"/>
    <n v="1"/>
    <n v="52668"/>
    <x v="1"/>
    <n v="1"/>
    <m/>
    <m/>
  </r>
  <r>
    <n v="34"/>
    <x v="1"/>
    <s v="Travel_Rarely"/>
    <n v="665"/>
    <s v="Research &amp; Development"/>
    <n v="6"/>
    <n v="4"/>
    <s v="Other"/>
    <n v="1"/>
    <n v="138"/>
    <n v="1"/>
    <x v="0"/>
    <n v="41"/>
    <n v="3"/>
    <x v="0"/>
    <x v="1"/>
    <x v="2"/>
    <s v="Single"/>
    <n v="4809"/>
    <n v="12482"/>
    <n v="1"/>
    <s v="Y"/>
    <s v="No"/>
    <n v="14"/>
    <n v="3"/>
    <n v="3"/>
    <n v="80"/>
    <n v="0"/>
    <n v="16"/>
    <n v="3"/>
    <n v="3"/>
    <x v="22"/>
    <n v="13"/>
    <n v="2"/>
    <n v="10"/>
    <x v="1"/>
    <n v="0"/>
    <n v="0"/>
    <x v="0"/>
    <n v="1"/>
    <m/>
    <m/>
  </r>
  <r>
    <n v="37"/>
    <x v="1"/>
    <s v="Non-Travel"/>
    <n v="1040"/>
    <s v="Research &amp; Development"/>
    <n v="2"/>
    <n v="2"/>
    <s v="Life Sciences"/>
    <n v="1"/>
    <n v="139"/>
    <n v="3"/>
    <x v="1"/>
    <n v="100"/>
    <n v="2"/>
    <x v="0"/>
    <x v="4"/>
    <x v="0"/>
    <s v="Divorced"/>
    <n v="5163"/>
    <n v="15850"/>
    <n v="5"/>
    <s v="Y"/>
    <s v="No"/>
    <n v="14"/>
    <n v="3"/>
    <n v="4"/>
    <n v="80"/>
    <n v="1"/>
    <n v="17"/>
    <n v="2"/>
    <n v="4"/>
    <x v="6"/>
    <n v="0"/>
    <n v="0"/>
    <n v="0"/>
    <x v="3"/>
    <n v="0"/>
    <n v="0"/>
    <x v="0"/>
    <n v="1"/>
    <m/>
    <m/>
  </r>
  <r>
    <n v="59"/>
    <x v="1"/>
    <s v="Non-Travel"/>
    <n v="1420"/>
    <s v="Human Resources"/>
    <n v="2"/>
    <n v="4"/>
    <s v="Human Resources"/>
    <n v="1"/>
    <n v="140"/>
    <n v="3"/>
    <x v="0"/>
    <n v="32"/>
    <n v="2"/>
    <x v="4"/>
    <x v="5"/>
    <x v="0"/>
    <s v="Married"/>
    <n v="18844"/>
    <n v="21922"/>
    <n v="9"/>
    <s v="Y"/>
    <s v="No"/>
    <n v="21"/>
    <n v="4"/>
    <n v="4"/>
    <n v="80"/>
    <n v="1"/>
    <n v="30"/>
    <n v="3"/>
    <n v="3"/>
    <x v="11"/>
    <n v="2"/>
    <n v="2"/>
    <n v="2"/>
    <x v="4"/>
    <n v="0"/>
    <n v="0"/>
    <x v="3"/>
    <n v="1"/>
    <m/>
    <m/>
  </r>
  <r>
    <n v="50"/>
    <x v="1"/>
    <s v="Travel_Frequently"/>
    <n v="1115"/>
    <s v="Research &amp; Development"/>
    <n v="1"/>
    <n v="3"/>
    <s v="Life Sciences"/>
    <n v="1"/>
    <n v="141"/>
    <n v="1"/>
    <x v="0"/>
    <n v="73"/>
    <n v="3"/>
    <x v="4"/>
    <x v="7"/>
    <x v="1"/>
    <s v="Married"/>
    <n v="18172"/>
    <n v="9755"/>
    <n v="3"/>
    <s v="Y"/>
    <s v="Yes"/>
    <n v="19"/>
    <n v="3"/>
    <n v="1"/>
    <n v="80"/>
    <n v="0"/>
    <n v="28"/>
    <n v="1"/>
    <n v="2"/>
    <x v="3"/>
    <n v="3"/>
    <n v="0"/>
    <n v="7"/>
    <x v="1"/>
    <n v="0"/>
    <n v="0"/>
    <x v="3"/>
    <n v="1"/>
    <m/>
    <m/>
  </r>
  <r>
    <n v="25"/>
    <x v="0"/>
    <s v="Travel_Rarely"/>
    <n v="240"/>
    <s v="Sales"/>
    <n v="5"/>
    <n v="3"/>
    <s v="Marketing"/>
    <n v="1"/>
    <n v="142"/>
    <n v="3"/>
    <x v="1"/>
    <n v="46"/>
    <n v="2"/>
    <x v="0"/>
    <x v="0"/>
    <x v="2"/>
    <s v="Single"/>
    <n v="5744"/>
    <n v="26959"/>
    <n v="1"/>
    <s v="Y"/>
    <s v="Yes"/>
    <n v="11"/>
    <n v="3"/>
    <n v="4"/>
    <n v="80"/>
    <n v="0"/>
    <n v="6"/>
    <n v="1"/>
    <n v="3"/>
    <x v="0"/>
    <n v="4"/>
    <n v="0"/>
    <n v="3"/>
    <x v="0"/>
    <n v="1"/>
    <n v="103392"/>
    <x v="0"/>
    <n v="1"/>
    <m/>
    <m/>
  </r>
  <r>
    <n v="25"/>
    <x v="1"/>
    <s v="Travel_Rarely"/>
    <n v="1280"/>
    <s v="Research &amp; Development"/>
    <n v="7"/>
    <n v="1"/>
    <s v="Medical"/>
    <n v="1"/>
    <n v="143"/>
    <n v="4"/>
    <x v="1"/>
    <n v="64"/>
    <n v="2"/>
    <x v="1"/>
    <x v="1"/>
    <x v="0"/>
    <s v="Married"/>
    <n v="2889"/>
    <n v="26897"/>
    <n v="1"/>
    <s v="Y"/>
    <s v="No"/>
    <n v="11"/>
    <n v="3"/>
    <n v="3"/>
    <n v="80"/>
    <n v="2"/>
    <n v="2"/>
    <n v="2"/>
    <n v="3"/>
    <x v="4"/>
    <n v="2"/>
    <n v="2"/>
    <n v="1"/>
    <x v="1"/>
    <n v="0"/>
    <n v="0"/>
    <x v="1"/>
    <n v="1"/>
    <m/>
    <m/>
  </r>
  <r>
    <n v="22"/>
    <x v="1"/>
    <s v="Travel_Rarely"/>
    <n v="534"/>
    <s v="Research &amp; Development"/>
    <n v="15"/>
    <n v="3"/>
    <s v="Medical"/>
    <n v="1"/>
    <n v="144"/>
    <n v="2"/>
    <x v="0"/>
    <n v="59"/>
    <n v="3"/>
    <x v="1"/>
    <x v="2"/>
    <x v="0"/>
    <s v="Single"/>
    <n v="2871"/>
    <n v="23785"/>
    <n v="1"/>
    <s v="Y"/>
    <s v="No"/>
    <n v="15"/>
    <n v="3"/>
    <n v="3"/>
    <n v="80"/>
    <n v="0"/>
    <n v="1"/>
    <n v="5"/>
    <n v="3"/>
    <x v="2"/>
    <n v="0"/>
    <n v="0"/>
    <n v="0"/>
    <x v="1"/>
    <n v="0"/>
    <n v="0"/>
    <x v="1"/>
    <n v="1"/>
    <m/>
    <m/>
  </r>
  <r>
    <n v="51"/>
    <x v="1"/>
    <s v="Travel_Frequently"/>
    <n v="1456"/>
    <s v="Research &amp; Development"/>
    <n v="1"/>
    <n v="4"/>
    <s v="Medical"/>
    <n v="1"/>
    <n v="145"/>
    <n v="1"/>
    <x v="0"/>
    <n v="30"/>
    <n v="2"/>
    <x v="2"/>
    <x v="4"/>
    <x v="3"/>
    <s v="Single"/>
    <n v="7484"/>
    <n v="25796"/>
    <n v="3"/>
    <s v="Y"/>
    <s v="No"/>
    <n v="20"/>
    <n v="4"/>
    <n v="3"/>
    <n v="80"/>
    <n v="0"/>
    <n v="23"/>
    <n v="1"/>
    <n v="2"/>
    <x v="20"/>
    <n v="12"/>
    <n v="12"/>
    <n v="8"/>
    <x v="3"/>
    <n v="0"/>
    <n v="0"/>
    <x v="4"/>
    <n v="1"/>
    <m/>
    <m/>
  </r>
  <r>
    <n v="34"/>
    <x v="0"/>
    <s v="Travel_Frequently"/>
    <n v="658"/>
    <s v="Research &amp; Development"/>
    <n v="7"/>
    <n v="3"/>
    <s v="Life Sciences"/>
    <n v="1"/>
    <n v="147"/>
    <n v="1"/>
    <x v="1"/>
    <n v="66"/>
    <n v="1"/>
    <x v="0"/>
    <x v="2"/>
    <x v="2"/>
    <s v="Single"/>
    <n v="6074"/>
    <n v="22887"/>
    <n v="1"/>
    <s v="Y"/>
    <s v="Yes"/>
    <n v="24"/>
    <n v="4"/>
    <n v="4"/>
    <n v="80"/>
    <n v="0"/>
    <n v="9"/>
    <n v="3"/>
    <n v="3"/>
    <x v="7"/>
    <n v="7"/>
    <n v="0"/>
    <n v="6"/>
    <x v="1"/>
    <n v="1"/>
    <n v="109332"/>
    <x v="4"/>
    <n v="1"/>
    <m/>
    <m/>
  </r>
  <r>
    <n v="54"/>
    <x v="1"/>
    <s v="Non-Travel"/>
    <n v="142"/>
    <s v="Human Resources"/>
    <n v="26"/>
    <n v="3"/>
    <s v="Human Resources"/>
    <n v="1"/>
    <n v="148"/>
    <n v="4"/>
    <x v="0"/>
    <n v="30"/>
    <n v="4"/>
    <x v="3"/>
    <x v="5"/>
    <x v="0"/>
    <s v="Single"/>
    <n v="17328"/>
    <n v="13871"/>
    <n v="2"/>
    <s v="Y"/>
    <s v="Yes"/>
    <n v="12"/>
    <n v="3"/>
    <n v="3"/>
    <n v="80"/>
    <n v="0"/>
    <n v="23"/>
    <n v="3"/>
    <n v="3"/>
    <x v="8"/>
    <n v="3"/>
    <n v="4"/>
    <n v="4"/>
    <x v="4"/>
    <n v="0"/>
    <n v="0"/>
    <x v="3"/>
    <n v="1"/>
    <m/>
    <m/>
  </r>
  <r>
    <n v="24"/>
    <x v="1"/>
    <s v="Travel_Rarely"/>
    <n v="1127"/>
    <s v="Research &amp; Development"/>
    <n v="18"/>
    <n v="1"/>
    <s v="Life Sciences"/>
    <n v="1"/>
    <n v="150"/>
    <n v="2"/>
    <x v="1"/>
    <n v="52"/>
    <n v="3"/>
    <x v="1"/>
    <x v="2"/>
    <x v="2"/>
    <s v="Married"/>
    <n v="2774"/>
    <n v="13257"/>
    <n v="0"/>
    <s v="Y"/>
    <s v="No"/>
    <n v="12"/>
    <n v="3"/>
    <n v="3"/>
    <n v="80"/>
    <n v="1"/>
    <n v="6"/>
    <n v="2"/>
    <n v="3"/>
    <x v="8"/>
    <n v="3"/>
    <n v="1"/>
    <n v="2"/>
    <x v="1"/>
    <n v="0"/>
    <n v="0"/>
    <x v="1"/>
    <n v="1"/>
    <m/>
    <m/>
  </r>
  <r>
    <n v="34"/>
    <x v="1"/>
    <s v="Travel_Rarely"/>
    <n v="1031"/>
    <s v="Research &amp; Development"/>
    <n v="6"/>
    <n v="4"/>
    <s v="Life Sciences"/>
    <n v="1"/>
    <n v="151"/>
    <n v="3"/>
    <x v="0"/>
    <n v="45"/>
    <n v="2"/>
    <x v="0"/>
    <x v="1"/>
    <x v="1"/>
    <s v="Divorced"/>
    <n v="4505"/>
    <n v="15000"/>
    <n v="6"/>
    <s v="Y"/>
    <s v="No"/>
    <n v="15"/>
    <n v="3"/>
    <n v="3"/>
    <n v="80"/>
    <n v="1"/>
    <n v="12"/>
    <n v="3"/>
    <n v="3"/>
    <x v="6"/>
    <n v="0"/>
    <n v="0"/>
    <n v="0"/>
    <x v="1"/>
    <n v="0"/>
    <n v="0"/>
    <x v="0"/>
    <n v="1"/>
    <m/>
    <m/>
  </r>
  <r>
    <n v="37"/>
    <x v="1"/>
    <s v="Travel_Rarely"/>
    <n v="1189"/>
    <s v="Sales"/>
    <n v="3"/>
    <n v="3"/>
    <s v="Life Sciences"/>
    <n v="1"/>
    <n v="152"/>
    <n v="3"/>
    <x v="1"/>
    <n v="87"/>
    <n v="3"/>
    <x v="2"/>
    <x v="0"/>
    <x v="0"/>
    <s v="Single"/>
    <n v="7428"/>
    <n v="14506"/>
    <n v="2"/>
    <s v="Y"/>
    <s v="No"/>
    <n v="12"/>
    <n v="3"/>
    <n v="1"/>
    <n v="80"/>
    <n v="0"/>
    <n v="12"/>
    <n v="3"/>
    <n v="3"/>
    <x v="8"/>
    <n v="3"/>
    <n v="1"/>
    <n v="3"/>
    <x v="0"/>
    <n v="0"/>
    <n v="0"/>
    <x v="4"/>
    <n v="1"/>
    <m/>
    <m/>
  </r>
  <r>
    <n v="34"/>
    <x v="1"/>
    <s v="Travel_Rarely"/>
    <n v="1354"/>
    <s v="Research &amp; Development"/>
    <n v="5"/>
    <n v="3"/>
    <s v="Medical"/>
    <n v="1"/>
    <n v="153"/>
    <n v="3"/>
    <x v="0"/>
    <n v="45"/>
    <n v="2"/>
    <x v="2"/>
    <x v="5"/>
    <x v="3"/>
    <s v="Single"/>
    <n v="11631"/>
    <n v="5615"/>
    <n v="2"/>
    <s v="Y"/>
    <s v="No"/>
    <n v="12"/>
    <n v="3"/>
    <n v="4"/>
    <n v="80"/>
    <n v="0"/>
    <n v="14"/>
    <n v="6"/>
    <n v="3"/>
    <x v="19"/>
    <n v="10"/>
    <n v="5"/>
    <n v="8"/>
    <x v="4"/>
    <n v="0"/>
    <n v="0"/>
    <x v="2"/>
    <n v="1"/>
    <m/>
    <m/>
  </r>
  <r>
    <n v="36"/>
    <x v="1"/>
    <s v="Travel_Frequently"/>
    <n v="1467"/>
    <s v="Sales"/>
    <n v="11"/>
    <n v="2"/>
    <s v="Technical Degree"/>
    <n v="1"/>
    <n v="154"/>
    <n v="2"/>
    <x v="0"/>
    <n v="92"/>
    <n v="3"/>
    <x v="2"/>
    <x v="0"/>
    <x v="0"/>
    <s v="Married"/>
    <n v="9738"/>
    <n v="22952"/>
    <n v="0"/>
    <s v="Y"/>
    <s v="No"/>
    <n v="14"/>
    <n v="3"/>
    <n v="3"/>
    <n v="80"/>
    <n v="1"/>
    <n v="10"/>
    <n v="6"/>
    <n v="3"/>
    <x v="7"/>
    <n v="7"/>
    <n v="2"/>
    <n v="8"/>
    <x v="0"/>
    <n v="0"/>
    <n v="0"/>
    <x v="2"/>
    <n v="1"/>
    <m/>
    <m/>
  </r>
  <r>
    <n v="36"/>
    <x v="1"/>
    <s v="Travel_Rarely"/>
    <n v="922"/>
    <s v="Research &amp; Development"/>
    <n v="3"/>
    <n v="2"/>
    <s v="Life Sciences"/>
    <n v="1"/>
    <n v="155"/>
    <n v="1"/>
    <x v="0"/>
    <n v="39"/>
    <n v="3"/>
    <x v="1"/>
    <x v="2"/>
    <x v="0"/>
    <s v="Divorced"/>
    <n v="2835"/>
    <n v="2561"/>
    <n v="5"/>
    <s v="Y"/>
    <s v="No"/>
    <n v="22"/>
    <n v="4"/>
    <n v="1"/>
    <n v="80"/>
    <n v="1"/>
    <n v="7"/>
    <n v="2"/>
    <n v="3"/>
    <x v="6"/>
    <n v="0"/>
    <n v="0"/>
    <n v="0"/>
    <x v="1"/>
    <n v="0"/>
    <n v="0"/>
    <x v="1"/>
    <n v="1"/>
    <m/>
    <m/>
  </r>
  <r>
    <n v="43"/>
    <x v="1"/>
    <s v="Travel_Frequently"/>
    <n v="394"/>
    <s v="Sales"/>
    <n v="26"/>
    <n v="2"/>
    <s v="Life Sciences"/>
    <n v="1"/>
    <n v="158"/>
    <n v="3"/>
    <x v="1"/>
    <n v="92"/>
    <n v="3"/>
    <x v="3"/>
    <x v="5"/>
    <x v="0"/>
    <s v="Married"/>
    <n v="16959"/>
    <n v="19494"/>
    <n v="1"/>
    <s v="Y"/>
    <s v="Yes"/>
    <n v="12"/>
    <n v="3"/>
    <n v="4"/>
    <n v="80"/>
    <n v="2"/>
    <n v="25"/>
    <n v="3"/>
    <n v="4"/>
    <x v="10"/>
    <n v="12"/>
    <n v="4"/>
    <n v="12"/>
    <x v="4"/>
    <n v="0"/>
    <n v="0"/>
    <x v="3"/>
    <n v="1"/>
    <m/>
    <m/>
  </r>
  <r>
    <n v="30"/>
    <x v="1"/>
    <s v="Travel_Frequently"/>
    <n v="1312"/>
    <s v="Research &amp; Development"/>
    <n v="23"/>
    <n v="3"/>
    <s v="Life Sciences"/>
    <n v="1"/>
    <n v="159"/>
    <n v="1"/>
    <x v="1"/>
    <n v="96"/>
    <n v="1"/>
    <x v="1"/>
    <x v="1"/>
    <x v="2"/>
    <s v="Divorced"/>
    <n v="2613"/>
    <n v="22310"/>
    <n v="1"/>
    <s v="Y"/>
    <s v="No"/>
    <n v="25"/>
    <n v="4"/>
    <n v="3"/>
    <n v="80"/>
    <n v="3"/>
    <n v="10"/>
    <n v="2"/>
    <n v="2"/>
    <x v="1"/>
    <n v="7"/>
    <n v="0"/>
    <n v="9"/>
    <x v="1"/>
    <n v="0"/>
    <n v="0"/>
    <x v="1"/>
    <n v="1"/>
    <m/>
    <m/>
  </r>
  <r>
    <n v="33"/>
    <x v="1"/>
    <s v="Non-Travel"/>
    <n v="750"/>
    <s v="Sales"/>
    <n v="22"/>
    <n v="2"/>
    <s v="Marketing"/>
    <n v="1"/>
    <n v="160"/>
    <n v="3"/>
    <x v="1"/>
    <n v="95"/>
    <n v="3"/>
    <x v="0"/>
    <x v="0"/>
    <x v="1"/>
    <s v="Married"/>
    <n v="6146"/>
    <n v="15480"/>
    <n v="0"/>
    <s v="Y"/>
    <s v="No"/>
    <n v="13"/>
    <n v="3"/>
    <n v="1"/>
    <n v="80"/>
    <n v="1"/>
    <n v="8"/>
    <n v="2"/>
    <n v="4"/>
    <x v="5"/>
    <n v="7"/>
    <n v="0"/>
    <n v="7"/>
    <x v="0"/>
    <n v="0"/>
    <n v="0"/>
    <x v="4"/>
    <n v="1"/>
    <m/>
    <m/>
  </r>
  <r>
    <n v="56"/>
    <x v="0"/>
    <s v="Travel_Rarely"/>
    <n v="441"/>
    <s v="Research &amp; Development"/>
    <n v="14"/>
    <n v="4"/>
    <s v="Life Sciences"/>
    <n v="1"/>
    <n v="161"/>
    <n v="2"/>
    <x v="0"/>
    <n v="72"/>
    <n v="3"/>
    <x v="1"/>
    <x v="1"/>
    <x v="1"/>
    <s v="Married"/>
    <n v="4963"/>
    <n v="4510"/>
    <n v="9"/>
    <s v="Y"/>
    <s v="Yes"/>
    <n v="18"/>
    <n v="3"/>
    <n v="1"/>
    <n v="80"/>
    <n v="3"/>
    <n v="7"/>
    <n v="2"/>
    <n v="3"/>
    <x v="8"/>
    <n v="4"/>
    <n v="4"/>
    <n v="3"/>
    <x v="1"/>
    <n v="1"/>
    <n v="89334"/>
    <x v="0"/>
    <n v="1"/>
    <m/>
    <m/>
  </r>
  <r>
    <n v="51"/>
    <x v="1"/>
    <s v="Travel_Rarely"/>
    <n v="684"/>
    <s v="Research &amp; Development"/>
    <n v="6"/>
    <n v="3"/>
    <s v="Life Sciences"/>
    <n v="1"/>
    <n v="162"/>
    <n v="1"/>
    <x v="1"/>
    <n v="51"/>
    <n v="3"/>
    <x v="4"/>
    <x v="7"/>
    <x v="2"/>
    <s v="Single"/>
    <n v="19537"/>
    <n v="6462"/>
    <n v="7"/>
    <s v="Y"/>
    <s v="No"/>
    <n v="13"/>
    <n v="3"/>
    <n v="3"/>
    <n v="80"/>
    <n v="0"/>
    <n v="23"/>
    <n v="5"/>
    <n v="3"/>
    <x v="23"/>
    <n v="18"/>
    <n v="15"/>
    <n v="15"/>
    <x v="1"/>
    <n v="0"/>
    <n v="0"/>
    <x v="3"/>
    <n v="1"/>
    <m/>
    <m/>
  </r>
  <r>
    <n v="31"/>
    <x v="0"/>
    <s v="Travel_Rarely"/>
    <n v="249"/>
    <s v="Sales"/>
    <n v="6"/>
    <n v="4"/>
    <s v="Life Sciences"/>
    <n v="1"/>
    <n v="163"/>
    <n v="2"/>
    <x v="1"/>
    <n v="76"/>
    <n v="1"/>
    <x v="0"/>
    <x v="0"/>
    <x v="2"/>
    <s v="Married"/>
    <n v="6172"/>
    <n v="20739"/>
    <n v="4"/>
    <s v="Y"/>
    <s v="Yes"/>
    <n v="18"/>
    <n v="3"/>
    <n v="2"/>
    <n v="80"/>
    <n v="0"/>
    <n v="12"/>
    <n v="3"/>
    <n v="2"/>
    <x v="5"/>
    <n v="7"/>
    <n v="7"/>
    <n v="7"/>
    <x v="0"/>
    <n v="1"/>
    <n v="111096"/>
    <x v="4"/>
    <n v="1"/>
    <m/>
    <m/>
  </r>
  <r>
    <n v="26"/>
    <x v="1"/>
    <s v="Travel_Rarely"/>
    <n v="841"/>
    <s v="Research &amp; Development"/>
    <n v="6"/>
    <n v="3"/>
    <s v="Other"/>
    <n v="1"/>
    <n v="164"/>
    <n v="3"/>
    <x v="0"/>
    <n v="46"/>
    <n v="2"/>
    <x v="1"/>
    <x v="1"/>
    <x v="1"/>
    <s v="Married"/>
    <n v="2368"/>
    <n v="23300"/>
    <n v="1"/>
    <s v="Y"/>
    <s v="No"/>
    <n v="19"/>
    <n v="3"/>
    <n v="3"/>
    <n v="80"/>
    <n v="0"/>
    <n v="5"/>
    <n v="3"/>
    <n v="2"/>
    <x v="8"/>
    <n v="4"/>
    <n v="4"/>
    <n v="3"/>
    <x v="1"/>
    <n v="0"/>
    <n v="0"/>
    <x v="1"/>
    <n v="1"/>
    <m/>
    <m/>
  </r>
  <r>
    <n v="58"/>
    <x v="0"/>
    <s v="Travel_Rarely"/>
    <n v="147"/>
    <s v="Research &amp; Development"/>
    <n v="23"/>
    <n v="4"/>
    <s v="Medical"/>
    <n v="1"/>
    <n v="165"/>
    <n v="4"/>
    <x v="0"/>
    <n v="94"/>
    <n v="3"/>
    <x v="2"/>
    <x v="4"/>
    <x v="0"/>
    <s v="Married"/>
    <n v="10312"/>
    <n v="3465"/>
    <n v="1"/>
    <s v="Y"/>
    <s v="No"/>
    <n v="12"/>
    <n v="3"/>
    <n v="4"/>
    <n v="80"/>
    <n v="1"/>
    <n v="40"/>
    <n v="3"/>
    <n v="2"/>
    <x v="24"/>
    <n v="10"/>
    <n v="15"/>
    <n v="6"/>
    <x v="3"/>
    <n v="1"/>
    <n v="185616"/>
    <x v="2"/>
    <n v="1"/>
    <m/>
    <m/>
  </r>
  <r>
    <n v="19"/>
    <x v="0"/>
    <s v="Travel_Rarely"/>
    <n v="528"/>
    <s v="Sales"/>
    <n v="22"/>
    <n v="1"/>
    <s v="Marketing"/>
    <n v="1"/>
    <n v="167"/>
    <n v="4"/>
    <x v="1"/>
    <n v="50"/>
    <n v="3"/>
    <x v="1"/>
    <x v="6"/>
    <x v="2"/>
    <s v="Single"/>
    <n v="1675"/>
    <n v="26820"/>
    <n v="1"/>
    <s v="Y"/>
    <s v="Yes"/>
    <n v="19"/>
    <n v="3"/>
    <n v="4"/>
    <n v="80"/>
    <n v="0"/>
    <n v="0"/>
    <n v="2"/>
    <n v="2"/>
    <x v="2"/>
    <n v="0"/>
    <n v="0"/>
    <n v="0"/>
    <x v="0"/>
    <n v="1"/>
    <n v="30150"/>
    <x v="1"/>
    <n v="1"/>
    <m/>
    <m/>
  </r>
  <r>
    <n v="22"/>
    <x v="1"/>
    <s v="Travel_Rarely"/>
    <n v="594"/>
    <s v="Research &amp; Development"/>
    <n v="2"/>
    <n v="1"/>
    <s v="Technical Degree"/>
    <n v="1"/>
    <n v="169"/>
    <n v="3"/>
    <x v="1"/>
    <n v="100"/>
    <n v="3"/>
    <x v="1"/>
    <x v="2"/>
    <x v="0"/>
    <s v="Married"/>
    <n v="2523"/>
    <n v="19299"/>
    <n v="0"/>
    <s v="Y"/>
    <s v="No"/>
    <n v="14"/>
    <n v="3"/>
    <n v="3"/>
    <n v="80"/>
    <n v="1"/>
    <n v="3"/>
    <n v="2"/>
    <n v="3"/>
    <x v="4"/>
    <n v="1"/>
    <n v="2"/>
    <n v="1"/>
    <x v="1"/>
    <n v="0"/>
    <n v="0"/>
    <x v="1"/>
    <n v="1"/>
    <m/>
    <m/>
  </r>
  <r>
    <n v="49"/>
    <x v="1"/>
    <s v="Travel_Rarely"/>
    <n v="470"/>
    <s v="Research &amp; Development"/>
    <n v="20"/>
    <n v="4"/>
    <s v="Medical"/>
    <n v="1"/>
    <n v="170"/>
    <n v="3"/>
    <x v="0"/>
    <n v="96"/>
    <n v="3"/>
    <x v="0"/>
    <x v="3"/>
    <x v="3"/>
    <s v="Married"/>
    <n v="6567"/>
    <n v="5549"/>
    <n v="1"/>
    <s v="Y"/>
    <s v="No"/>
    <n v="14"/>
    <n v="3"/>
    <n v="3"/>
    <n v="80"/>
    <n v="0"/>
    <n v="16"/>
    <n v="2"/>
    <n v="2"/>
    <x v="15"/>
    <n v="11"/>
    <n v="5"/>
    <n v="11"/>
    <x v="2"/>
    <n v="0"/>
    <n v="0"/>
    <x v="4"/>
    <n v="1"/>
    <m/>
    <m/>
  </r>
  <r>
    <n v="43"/>
    <x v="1"/>
    <s v="Travel_Frequently"/>
    <n v="957"/>
    <s v="Research &amp; Development"/>
    <n v="28"/>
    <n v="3"/>
    <s v="Medical"/>
    <n v="1"/>
    <n v="171"/>
    <n v="2"/>
    <x v="0"/>
    <n v="72"/>
    <n v="4"/>
    <x v="1"/>
    <x v="1"/>
    <x v="2"/>
    <s v="Single"/>
    <n v="4739"/>
    <n v="16090"/>
    <n v="4"/>
    <s v="Y"/>
    <s v="No"/>
    <n v="12"/>
    <n v="3"/>
    <n v="4"/>
    <n v="80"/>
    <n v="0"/>
    <n v="18"/>
    <n v="2"/>
    <n v="3"/>
    <x v="11"/>
    <n v="2"/>
    <n v="1"/>
    <n v="2"/>
    <x v="1"/>
    <n v="0"/>
    <n v="0"/>
    <x v="0"/>
    <n v="1"/>
    <m/>
    <m/>
  </r>
  <r>
    <n v="50"/>
    <x v="1"/>
    <s v="Travel_Frequently"/>
    <n v="809"/>
    <s v="Sales"/>
    <n v="12"/>
    <n v="3"/>
    <s v="Marketing"/>
    <n v="1"/>
    <n v="174"/>
    <n v="3"/>
    <x v="0"/>
    <n v="77"/>
    <n v="3"/>
    <x v="2"/>
    <x v="0"/>
    <x v="0"/>
    <s v="Single"/>
    <n v="9208"/>
    <n v="6645"/>
    <n v="4"/>
    <s v="Y"/>
    <s v="No"/>
    <n v="11"/>
    <n v="3"/>
    <n v="4"/>
    <n v="80"/>
    <n v="0"/>
    <n v="16"/>
    <n v="3"/>
    <n v="3"/>
    <x v="4"/>
    <n v="2"/>
    <n v="2"/>
    <n v="1"/>
    <x v="0"/>
    <n v="0"/>
    <n v="0"/>
    <x v="2"/>
    <n v="1"/>
    <m/>
    <m/>
  </r>
  <r>
    <n v="31"/>
    <x v="0"/>
    <s v="Travel_Rarely"/>
    <n v="542"/>
    <s v="Sales"/>
    <n v="20"/>
    <n v="3"/>
    <s v="Life Sciences"/>
    <n v="1"/>
    <n v="175"/>
    <n v="2"/>
    <x v="0"/>
    <n v="71"/>
    <n v="1"/>
    <x v="0"/>
    <x v="0"/>
    <x v="2"/>
    <s v="Married"/>
    <n v="4559"/>
    <n v="24788"/>
    <n v="3"/>
    <s v="Y"/>
    <s v="Yes"/>
    <n v="11"/>
    <n v="3"/>
    <n v="3"/>
    <n v="80"/>
    <n v="1"/>
    <n v="4"/>
    <n v="2"/>
    <n v="3"/>
    <x v="4"/>
    <n v="2"/>
    <n v="2"/>
    <n v="2"/>
    <x v="0"/>
    <n v="1"/>
    <n v="82062"/>
    <x v="0"/>
    <n v="1"/>
    <m/>
    <m/>
  </r>
  <r>
    <n v="41"/>
    <x v="1"/>
    <s v="Travel_Rarely"/>
    <n v="802"/>
    <s v="Sales"/>
    <n v="9"/>
    <n v="1"/>
    <s v="Life Sciences"/>
    <n v="1"/>
    <n v="176"/>
    <n v="3"/>
    <x v="1"/>
    <n v="96"/>
    <n v="3"/>
    <x v="2"/>
    <x v="0"/>
    <x v="2"/>
    <s v="Divorced"/>
    <n v="8189"/>
    <n v="21196"/>
    <n v="3"/>
    <s v="Y"/>
    <s v="Yes"/>
    <n v="13"/>
    <n v="3"/>
    <n v="3"/>
    <n v="80"/>
    <n v="1"/>
    <n v="12"/>
    <n v="2"/>
    <n v="3"/>
    <x v="7"/>
    <n v="7"/>
    <n v="0"/>
    <n v="7"/>
    <x v="0"/>
    <n v="0"/>
    <n v="0"/>
    <x v="4"/>
    <n v="1"/>
    <m/>
    <m/>
  </r>
  <r>
    <n v="26"/>
    <x v="1"/>
    <s v="Travel_Rarely"/>
    <n v="1355"/>
    <s v="Human Resources"/>
    <n v="25"/>
    <n v="1"/>
    <s v="Life Sciences"/>
    <n v="1"/>
    <n v="177"/>
    <n v="3"/>
    <x v="0"/>
    <n v="61"/>
    <n v="3"/>
    <x v="1"/>
    <x v="8"/>
    <x v="2"/>
    <s v="Married"/>
    <n v="2942"/>
    <n v="8916"/>
    <n v="1"/>
    <s v="Y"/>
    <s v="No"/>
    <n v="23"/>
    <n v="4"/>
    <n v="4"/>
    <n v="80"/>
    <n v="1"/>
    <n v="8"/>
    <n v="3"/>
    <n v="3"/>
    <x v="3"/>
    <n v="7"/>
    <n v="5"/>
    <n v="7"/>
    <x v="5"/>
    <n v="0"/>
    <n v="0"/>
    <x v="1"/>
    <n v="1"/>
    <m/>
    <m/>
  </r>
  <r>
    <n v="36"/>
    <x v="1"/>
    <s v="Travel_Rarely"/>
    <n v="216"/>
    <s v="Research &amp; Development"/>
    <n v="6"/>
    <n v="2"/>
    <s v="Medical"/>
    <n v="1"/>
    <n v="178"/>
    <n v="2"/>
    <x v="1"/>
    <n v="84"/>
    <n v="3"/>
    <x v="0"/>
    <x v="3"/>
    <x v="1"/>
    <s v="Divorced"/>
    <n v="4941"/>
    <n v="2819"/>
    <n v="6"/>
    <s v="Y"/>
    <s v="No"/>
    <n v="20"/>
    <n v="4"/>
    <n v="4"/>
    <n v="80"/>
    <n v="2"/>
    <n v="7"/>
    <n v="0"/>
    <n v="3"/>
    <x v="11"/>
    <n v="2"/>
    <n v="0"/>
    <n v="1"/>
    <x v="2"/>
    <n v="0"/>
    <n v="0"/>
    <x v="0"/>
    <n v="1"/>
    <m/>
    <m/>
  </r>
  <r>
    <n v="51"/>
    <x v="0"/>
    <s v="Travel_Frequently"/>
    <n v="1150"/>
    <s v="Research &amp; Development"/>
    <n v="8"/>
    <n v="4"/>
    <s v="Life Sciences"/>
    <n v="1"/>
    <n v="179"/>
    <n v="1"/>
    <x v="1"/>
    <n v="53"/>
    <n v="1"/>
    <x v="2"/>
    <x v="3"/>
    <x v="0"/>
    <s v="Single"/>
    <n v="10650"/>
    <n v="25150"/>
    <n v="2"/>
    <s v="Y"/>
    <s v="No"/>
    <n v="15"/>
    <n v="3"/>
    <n v="4"/>
    <n v="80"/>
    <n v="0"/>
    <n v="18"/>
    <n v="2"/>
    <n v="3"/>
    <x v="9"/>
    <n v="2"/>
    <n v="0"/>
    <n v="3"/>
    <x v="2"/>
    <n v="1"/>
    <n v="191700"/>
    <x v="2"/>
    <n v="1"/>
    <m/>
    <m/>
  </r>
  <r>
    <n v="39"/>
    <x v="1"/>
    <s v="Travel_Rarely"/>
    <n v="1329"/>
    <s v="Sales"/>
    <n v="4"/>
    <n v="4"/>
    <s v="Life Sciences"/>
    <n v="1"/>
    <n v="182"/>
    <n v="4"/>
    <x v="0"/>
    <n v="47"/>
    <n v="2"/>
    <x v="0"/>
    <x v="0"/>
    <x v="2"/>
    <s v="Married"/>
    <n v="5902"/>
    <n v="14590"/>
    <n v="4"/>
    <s v="Y"/>
    <s v="No"/>
    <n v="14"/>
    <n v="3"/>
    <n v="3"/>
    <n v="80"/>
    <n v="1"/>
    <n v="17"/>
    <n v="1"/>
    <n v="4"/>
    <x v="15"/>
    <n v="11"/>
    <n v="5"/>
    <n v="9"/>
    <x v="0"/>
    <n v="0"/>
    <n v="0"/>
    <x v="0"/>
    <n v="1"/>
    <m/>
    <m/>
  </r>
  <r>
    <n v="25"/>
    <x v="1"/>
    <s v="Travel_Rarely"/>
    <n v="959"/>
    <s v="Sales"/>
    <n v="28"/>
    <n v="3"/>
    <s v="Life Sciences"/>
    <n v="1"/>
    <n v="183"/>
    <n v="1"/>
    <x v="1"/>
    <n v="41"/>
    <n v="2"/>
    <x v="0"/>
    <x v="0"/>
    <x v="2"/>
    <s v="Married"/>
    <n v="8639"/>
    <n v="24835"/>
    <n v="2"/>
    <s v="Y"/>
    <s v="No"/>
    <n v="18"/>
    <n v="3"/>
    <n v="4"/>
    <n v="80"/>
    <n v="0"/>
    <n v="6"/>
    <n v="3"/>
    <n v="3"/>
    <x v="4"/>
    <n v="2"/>
    <n v="2"/>
    <n v="2"/>
    <x v="0"/>
    <n v="0"/>
    <n v="0"/>
    <x v="4"/>
    <n v="1"/>
    <m/>
    <m/>
  </r>
  <r>
    <n v="30"/>
    <x v="1"/>
    <s v="Travel_Rarely"/>
    <n v="1240"/>
    <s v="Human Resources"/>
    <n v="9"/>
    <n v="3"/>
    <s v="Human Resources"/>
    <n v="1"/>
    <n v="184"/>
    <n v="3"/>
    <x v="1"/>
    <n v="48"/>
    <n v="3"/>
    <x v="0"/>
    <x v="8"/>
    <x v="0"/>
    <s v="Married"/>
    <n v="6347"/>
    <n v="13982"/>
    <n v="0"/>
    <s v="Y"/>
    <s v="Yes"/>
    <n v="19"/>
    <n v="3"/>
    <n v="4"/>
    <n v="80"/>
    <n v="0"/>
    <n v="12"/>
    <n v="2"/>
    <n v="1"/>
    <x v="19"/>
    <n v="9"/>
    <n v="4"/>
    <n v="7"/>
    <x v="5"/>
    <n v="0"/>
    <n v="0"/>
    <x v="4"/>
    <n v="1"/>
    <m/>
    <m/>
  </r>
  <r>
    <n v="32"/>
    <x v="0"/>
    <s v="Travel_Rarely"/>
    <n v="1033"/>
    <s v="Research &amp; Development"/>
    <n v="9"/>
    <n v="3"/>
    <s v="Medical"/>
    <n v="1"/>
    <n v="190"/>
    <n v="1"/>
    <x v="0"/>
    <n v="41"/>
    <n v="3"/>
    <x v="1"/>
    <x v="2"/>
    <x v="3"/>
    <s v="Single"/>
    <n v="4200"/>
    <n v="10224"/>
    <n v="7"/>
    <s v="Y"/>
    <s v="No"/>
    <n v="22"/>
    <n v="4"/>
    <n v="1"/>
    <n v="80"/>
    <n v="0"/>
    <n v="10"/>
    <n v="2"/>
    <n v="4"/>
    <x v="8"/>
    <n v="4"/>
    <n v="0"/>
    <n v="4"/>
    <x v="1"/>
    <n v="1"/>
    <n v="75600"/>
    <x v="0"/>
    <n v="1"/>
    <m/>
    <m/>
  </r>
  <r>
    <n v="45"/>
    <x v="1"/>
    <s v="Travel_Rarely"/>
    <n v="1316"/>
    <s v="Research &amp; Development"/>
    <n v="29"/>
    <n v="3"/>
    <s v="Medical"/>
    <n v="1"/>
    <n v="192"/>
    <n v="3"/>
    <x v="1"/>
    <n v="83"/>
    <n v="3"/>
    <x v="1"/>
    <x v="1"/>
    <x v="0"/>
    <s v="Single"/>
    <n v="3452"/>
    <n v="9752"/>
    <n v="5"/>
    <s v="Y"/>
    <s v="No"/>
    <n v="13"/>
    <n v="3"/>
    <n v="2"/>
    <n v="80"/>
    <n v="0"/>
    <n v="9"/>
    <n v="2"/>
    <n v="2"/>
    <x v="0"/>
    <n v="5"/>
    <n v="0"/>
    <n v="3"/>
    <x v="1"/>
    <n v="0"/>
    <n v="0"/>
    <x v="0"/>
    <n v="1"/>
    <m/>
    <m/>
  </r>
  <r>
    <n v="38"/>
    <x v="1"/>
    <s v="Travel_Rarely"/>
    <n v="364"/>
    <s v="Research &amp; Development"/>
    <n v="3"/>
    <n v="5"/>
    <s v="Technical Degree"/>
    <n v="1"/>
    <n v="193"/>
    <n v="4"/>
    <x v="0"/>
    <n v="32"/>
    <n v="3"/>
    <x v="0"/>
    <x v="1"/>
    <x v="2"/>
    <s v="Single"/>
    <n v="4317"/>
    <n v="2302"/>
    <n v="3"/>
    <s v="Y"/>
    <s v="Yes"/>
    <n v="20"/>
    <n v="4"/>
    <n v="2"/>
    <n v="80"/>
    <n v="0"/>
    <n v="19"/>
    <n v="2"/>
    <n v="3"/>
    <x v="11"/>
    <n v="2"/>
    <n v="2"/>
    <n v="2"/>
    <x v="1"/>
    <n v="0"/>
    <n v="0"/>
    <x v="0"/>
    <n v="1"/>
    <m/>
    <m/>
  </r>
  <r>
    <n v="30"/>
    <x v="1"/>
    <s v="Travel_Rarely"/>
    <n v="438"/>
    <s v="Research &amp; Development"/>
    <n v="18"/>
    <n v="3"/>
    <s v="Life Sciences"/>
    <n v="1"/>
    <n v="194"/>
    <n v="1"/>
    <x v="0"/>
    <n v="75"/>
    <n v="3"/>
    <x v="1"/>
    <x v="1"/>
    <x v="2"/>
    <s v="Single"/>
    <n v="2632"/>
    <n v="23910"/>
    <n v="1"/>
    <s v="Y"/>
    <s v="No"/>
    <n v="14"/>
    <n v="3"/>
    <n v="3"/>
    <n v="80"/>
    <n v="0"/>
    <n v="5"/>
    <n v="4"/>
    <n v="2"/>
    <x v="8"/>
    <n v="4"/>
    <n v="0"/>
    <n v="4"/>
    <x v="1"/>
    <n v="0"/>
    <n v="0"/>
    <x v="1"/>
    <n v="1"/>
    <m/>
    <m/>
  </r>
  <r>
    <n v="32"/>
    <x v="1"/>
    <s v="Travel_Frequently"/>
    <n v="689"/>
    <s v="Sales"/>
    <n v="9"/>
    <n v="2"/>
    <s v="Medical"/>
    <n v="1"/>
    <n v="195"/>
    <n v="4"/>
    <x v="1"/>
    <n v="35"/>
    <n v="1"/>
    <x v="0"/>
    <x v="0"/>
    <x v="0"/>
    <s v="Divorced"/>
    <n v="4668"/>
    <n v="22812"/>
    <n v="0"/>
    <s v="Y"/>
    <s v="No"/>
    <n v="17"/>
    <n v="3"/>
    <n v="4"/>
    <n v="80"/>
    <n v="3"/>
    <n v="9"/>
    <n v="2"/>
    <n v="4"/>
    <x v="3"/>
    <n v="7"/>
    <n v="0"/>
    <n v="7"/>
    <x v="0"/>
    <n v="0"/>
    <n v="0"/>
    <x v="0"/>
    <n v="1"/>
    <m/>
    <m/>
  </r>
  <r>
    <n v="30"/>
    <x v="1"/>
    <s v="Travel_Rarely"/>
    <n v="201"/>
    <s v="Research &amp; Development"/>
    <n v="5"/>
    <n v="3"/>
    <s v="Technical Degree"/>
    <n v="1"/>
    <n v="197"/>
    <n v="4"/>
    <x v="0"/>
    <n v="84"/>
    <n v="3"/>
    <x v="1"/>
    <x v="1"/>
    <x v="3"/>
    <s v="Divorced"/>
    <n v="3204"/>
    <n v="10415"/>
    <n v="5"/>
    <s v="Y"/>
    <s v="No"/>
    <n v="14"/>
    <n v="3"/>
    <n v="4"/>
    <n v="80"/>
    <n v="1"/>
    <n v="8"/>
    <n v="3"/>
    <n v="3"/>
    <x v="11"/>
    <n v="2"/>
    <n v="2"/>
    <n v="2"/>
    <x v="1"/>
    <n v="0"/>
    <n v="0"/>
    <x v="0"/>
    <n v="1"/>
    <m/>
    <m/>
  </r>
  <r>
    <n v="30"/>
    <x v="1"/>
    <s v="Travel_Rarely"/>
    <n v="1427"/>
    <s v="Research &amp; Development"/>
    <n v="2"/>
    <n v="1"/>
    <s v="Medical"/>
    <n v="1"/>
    <n v="198"/>
    <n v="2"/>
    <x v="1"/>
    <n v="35"/>
    <n v="2"/>
    <x v="1"/>
    <x v="2"/>
    <x v="0"/>
    <s v="Single"/>
    <n v="2720"/>
    <n v="11162"/>
    <n v="0"/>
    <s v="Y"/>
    <s v="No"/>
    <n v="13"/>
    <n v="3"/>
    <n v="4"/>
    <n v="80"/>
    <n v="0"/>
    <n v="6"/>
    <n v="3"/>
    <n v="3"/>
    <x v="8"/>
    <n v="3"/>
    <n v="1"/>
    <n v="2"/>
    <x v="1"/>
    <n v="0"/>
    <n v="0"/>
    <x v="1"/>
    <n v="1"/>
    <m/>
    <m/>
  </r>
  <r>
    <n v="41"/>
    <x v="1"/>
    <s v="Travel_Frequently"/>
    <n v="857"/>
    <s v="Research &amp; Development"/>
    <n v="10"/>
    <n v="3"/>
    <s v="Life Sciences"/>
    <n v="1"/>
    <n v="199"/>
    <n v="4"/>
    <x v="1"/>
    <n v="91"/>
    <n v="2"/>
    <x v="3"/>
    <x v="5"/>
    <x v="3"/>
    <s v="Divorced"/>
    <n v="17181"/>
    <n v="12888"/>
    <n v="4"/>
    <s v="Y"/>
    <s v="No"/>
    <n v="13"/>
    <n v="3"/>
    <n v="2"/>
    <n v="80"/>
    <n v="1"/>
    <n v="21"/>
    <n v="2"/>
    <n v="2"/>
    <x v="5"/>
    <n v="6"/>
    <n v="7"/>
    <n v="7"/>
    <x v="4"/>
    <n v="0"/>
    <n v="0"/>
    <x v="3"/>
    <n v="1"/>
    <m/>
    <m/>
  </r>
  <r>
    <n v="41"/>
    <x v="1"/>
    <s v="Travel_Rarely"/>
    <n v="933"/>
    <s v="Research &amp; Development"/>
    <n v="9"/>
    <n v="4"/>
    <s v="Life Sciences"/>
    <n v="1"/>
    <n v="200"/>
    <n v="3"/>
    <x v="1"/>
    <n v="94"/>
    <n v="3"/>
    <x v="1"/>
    <x v="2"/>
    <x v="3"/>
    <s v="Married"/>
    <n v="2238"/>
    <n v="6961"/>
    <n v="2"/>
    <s v="Y"/>
    <s v="No"/>
    <n v="21"/>
    <n v="4"/>
    <n v="4"/>
    <n v="80"/>
    <n v="1"/>
    <n v="7"/>
    <n v="2"/>
    <n v="3"/>
    <x v="8"/>
    <n v="0"/>
    <n v="1"/>
    <n v="4"/>
    <x v="1"/>
    <n v="0"/>
    <n v="0"/>
    <x v="1"/>
    <n v="1"/>
    <m/>
    <m/>
  </r>
  <r>
    <n v="19"/>
    <x v="1"/>
    <s v="Travel_Rarely"/>
    <n v="1181"/>
    <s v="Research &amp; Development"/>
    <n v="3"/>
    <n v="1"/>
    <s v="Medical"/>
    <n v="1"/>
    <n v="201"/>
    <n v="2"/>
    <x v="0"/>
    <n v="79"/>
    <n v="3"/>
    <x v="1"/>
    <x v="2"/>
    <x v="1"/>
    <s v="Single"/>
    <n v="1483"/>
    <n v="16102"/>
    <n v="1"/>
    <s v="Y"/>
    <s v="No"/>
    <n v="14"/>
    <n v="3"/>
    <n v="4"/>
    <n v="80"/>
    <n v="0"/>
    <n v="1"/>
    <n v="3"/>
    <n v="3"/>
    <x v="6"/>
    <n v="0"/>
    <n v="0"/>
    <n v="0"/>
    <x v="1"/>
    <n v="0"/>
    <n v="0"/>
    <x v="1"/>
    <n v="1"/>
    <m/>
    <m/>
  </r>
  <r>
    <n v="40"/>
    <x v="1"/>
    <s v="Travel_Frequently"/>
    <n v="1395"/>
    <s v="Research &amp; Development"/>
    <n v="26"/>
    <n v="3"/>
    <s v="Medical"/>
    <n v="1"/>
    <n v="202"/>
    <n v="2"/>
    <x v="0"/>
    <n v="54"/>
    <n v="3"/>
    <x v="0"/>
    <x v="1"/>
    <x v="1"/>
    <s v="Divorced"/>
    <n v="5605"/>
    <n v="8504"/>
    <n v="1"/>
    <s v="Y"/>
    <s v="No"/>
    <n v="11"/>
    <n v="3"/>
    <n v="1"/>
    <n v="80"/>
    <n v="1"/>
    <n v="20"/>
    <n v="2"/>
    <n v="3"/>
    <x v="23"/>
    <n v="7"/>
    <n v="2"/>
    <n v="13"/>
    <x v="1"/>
    <n v="0"/>
    <n v="0"/>
    <x v="0"/>
    <n v="1"/>
    <m/>
    <m/>
  </r>
  <r>
    <n v="35"/>
    <x v="1"/>
    <s v="Travel_Rarely"/>
    <n v="662"/>
    <s v="Sales"/>
    <n v="1"/>
    <n v="5"/>
    <s v="Marketing"/>
    <n v="1"/>
    <n v="204"/>
    <n v="3"/>
    <x v="1"/>
    <n v="94"/>
    <n v="3"/>
    <x v="2"/>
    <x v="0"/>
    <x v="1"/>
    <s v="Married"/>
    <n v="7295"/>
    <n v="11439"/>
    <n v="1"/>
    <s v="Y"/>
    <s v="No"/>
    <n v="13"/>
    <n v="3"/>
    <n v="1"/>
    <n v="80"/>
    <n v="2"/>
    <n v="10"/>
    <n v="3"/>
    <n v="3"/>
    <x v="1"/>
    <n v="8"/>
    <n v="0"/>
    <n v="6"/>
    <x v="0"/>
    <n v="0"/>
    <n v="0"/>
    <x v="4"/>
    <n v="1"/>
    <m/>
    <m/>
  </r>
  <r>
    <n v="53"/>
    <x v="1"/>
    <s v="Travel_Rarely"/>
    <n v="1436"/>
    <s v="Sales"/>
    <n v="6"/>
    <n v="2"/>
    <s v="Marketing"/>
    <n v="1"/>
    <n v="205"/>
    <n v="2"/>
    <x v="1"/>
    <n v="34"/>
    <n v="3"/>
    <x v="0"/>
    <x v="6"/>
    <x v="2"/>
    <s v="Married"/>
    <n v="2306"/>
    <n v="16047"/>
    <n v="2"/>
    <s v="Y"/>
    <s v="Yes"/>
    <n v="20"/>
    <n v="4"/>
    <n v="4"/>
    <n v="80"/>
    <n v="1"/>
    <n v="13"/>
    <n v="3"/>
    <n v="1"/>
    <x v="5"/>
    <n v="7"/>
    <n v="4"/>
    <n v="5"/>
    <x v="0"/>
    <n v="0"/>
    <n v="0"/>
    <x v="1"/>
    <n v="1"/>
    <m/>
    <m/>
  </r>
  <r>
    <n v="45"/>
    <x v="1"/>
    <s v="Travel_Rarely"/>
    <n v="194"/>
    <s v="Research &amp; Development"/>
    <n v="9"/>
    <n v="3"/>
    <s v="Life Sciences"/>
    <n v="1"/>
    <n v="206"/>
    <n v="2"/>
    <x v="1"/>
    <n v="60"/>
    <n v="3"/>
    <x v="0"/>
    <x v="2"/>
    <x v="1"/>
    <s v="Divorced"/>
    <n v="2348"/>
    <n v="10901"/>
    <n v="8"/>
    <s v="Y"/>
    <s v="No"/>
    <n v="18"/>
    <n v="3"/>
    <n v="3"/>
    <n v="80"/>
    <n v="1"/>
    <n v="20"/>
    <n v="2"/>
    <n v="1"/>
    <x v="18"/>
    <n v="9"/>
    <n v="0"/>
    <n v="15"/>
    <x v="1"/>
    <n v="0"/>
    <n v="0"/>
    <x v="1"/>
    <n v="1"/>
    <m/>
    <m/>
  </r>
  <r>
    <n v="32"/>
    <x v="1"/>
    <s v="Travel_Frequently"/>
    <n v="967"/>
    <s v="Sales"/>
    <n v="8"/>
    <n v="3"/>
    <s v="Marketing"/>
    <n v="1"/>
    <n v="207"/>
    <n v="2"/>
    <x v="0"/>
    <n v="43"/>
    <n v="3"/>
    <x v="2"/>
    <x v="0"/>
    <x v="0"/>
    <s v="Single"/>
    <n v="8998"/>
    <n v="15589"/>
    <n v="1"/>
    <s v="Y"/>
    <s v="No"/>
    <n v="14"/>
    <n v="3"/>
    <n v="4"/>
    <n v="80"/>
    <n v="0"/>
    <n v="9"/>
    <n v="2"/>
    <n v="3"/>
    <x v="7"/>
    <n v="8"/>
    <n v="3"/>
    <n v="7"/>
    <x v="0"/>
    <n v="0"/>
    <n v="0"/>
    <x v="4"/>
    <n v="1"/>
    <m/>
    <m/>
  </r>
  <r>
    <n v="29"/>
    <x v="1"/>
    <s v="Non-Travel"/>
    <n v="1496"/>
    <s v="Research &amp; Development"/>
    <n v="1"/>
    <n v="1"/>
    <s v="Technical Degree"/>
    <n v="1"/>
    <n v="208"/>
    <n v="4"/>
    <x v="1"/>
    <n v="41"/>
    <n v="3"/>
    <x v="0"/>
    <x v="3"/>
    <x v="2"/>
    <s v="Married"/>
    <n v="4319"/>
    <n v="26283"/>
    <n v="1"/>
    <s v="Y"/>
    <s v="No"/>
    <n v="13"/>
    <n v="3"/>
    <n v="1"/>
    <n v="80"/>
    <n v="1"/>
    <n v="10"/>
    <n v="1"/>
    <n v="3"/>
    <x v="1"/>
    <n v="7"/>
    <n v="0"/>
    <n v="9"/>
    <x v="2"/>
    <n v="0"/>
    <n v="0"/>
    <x v="0"/>
    <n v="1"/>
    <m/>
    <m/>
  </r>
  <r>
    <n v="51"/>
    <x v="1"/>
    <s v="Travel_Rarely"/>
    <n v="1169"/>
    <s v="Research &amp; Development"/>
    <n v="7"/>
    <n v="4"/>
    <s v="Medical"/>
    <n v="1"/>
    <n v="211"/>
    <n v="2"/>
    <x v="1"/>
    <n v="34"/>
    <n v="2"/>
    <x v="0"/>
    <x v="3"/>
    <x v="2"/>
    <s v="Married"/>
    <n v="6132"/>
    <n v="13983"/>
    <n v="2"/>
    <s v="Y"/>
    <s v="No"/>
    <n v="17"/>
    <n v="3"/>
    <n v="3"/>
    <n v="80"/>
    <n v="0"/>
    <n v="10"/>
    <n v="2"/>
    <n v="3"/>
    <x v="6"/>
    <n v="0"/>
    <n v="0"/>
    <n v="0"/>
    <x v="2"/>
    <n v="0"/>
    <n v="0"/>
    <x v="4"/>
    <n v="1"/>
    <m/>
    <m/>
  </r>
  <r>
    <n v="58"/>
    <x v="1"/>
    <s v="Travel_Rarely"/>
    <n v="1145"/>
    <s v="Research &amp; Development"/>
    <n v="9"/>
    <n v="3"/>
    <s v="Medical"/>
    <n v="1"/>
    <n v="214"/>
    <n v="2"/>
    <x v="0"/>
    <n v="75"/>
    <n v="2"/>
    <x v="1"/>
    <x v="1"/>
    <x v="1"/>
    <s v="Married"/>
    <n v="3346"/>
    <n v="11873"/>
    <n v="4"/>
    <s v="Y"/>
    <s v="Yes"/>
    <n v="20"/>
    <n v="4"/>
    <n v="2"/>
    <n v="80"/>
    <n v="1"/>
    <n v="9"/>
    <n v="3"/>
    <n v="2"/>
    <x v="6"/>
    <n v="0"/>
    <n v="0"/>
    <n v="0"/>
    <x v="1"/>
    <n v="0"/>
    <n v="0"/>
    <x v="0"/>
    <n v="1"/>
    <m/>
    <m/>
  </r>
  <r>
    <n v="40"/>
    <x v="1"/>
    <s v="Travel_Rarely"/>
    <n v="630"/>
    <s v="Sales"/>
    <n v="4"/>
    <n v="4"/>
    <s v="Marketing"/>
    <n v="1"/>
    <n v="215"/>
    <n v="3"/>
    <x v="1"/>
    <n v="67"/>
    <n v="2"/>
    <x v="2"/>
    <x v="0"/>
    <x v="0"/>
    <s v="Married"/>
    <n v="10855"/>
    <n v="8552"/>
    <n v="7"/>
    <s v="Y"/>
    <s v="No"/>
    <n v="11"/>
    <n v="3"/>
    <n v="1"/>
    <n v="80"/>
    <n v="1"/>
    <n v="15"/>
    <n v="2"/>
    <n v="2"/>
    <x v="12"/>
    <n v="11"/>
    <n v="2"/>
    <n v="11"/>
    <x v="0"/>
    <n v="0"/>
    <n v="0"/>
    <x v="2"/>
    <n v="1"/>
    <m/>
    <m/>
  </r>
  <r>
    <n v="34"/>
    <x v="1"/>
    <s v="Travel_Frequently"/>
    <n v="303"/>
    <s v="Sales"/>
    <n v="2"/>
    <n v="4"/>
    <s v="Marketing"/>
    <n v="1"/>
    <n v="216"/>
    <n v="3"/>
    <x v="0"/>
    <n v="75"/>
    <n v="3"/>
    <x v="1"/>
    <x v="6"/>
    <x v="2"/>
    <s v="Married"/>
    <n v="2231"/>
    <n v="11314"/>
    <n v="6"/>
    <s v="Y"/>
    <s v="No"/>
    <n v="18"/>
    <n v="3"/>
    <n v="4"/>
    <n v="80"/>
    <n v="1"/>
    <n v="6"/>
    <n v="3"/>
    <n v="3"/>
    <x v="9"/>
    <n v="3"/>
    <n v="1"/>
    <n v="2"/>
    <x v="0"/>
    <n v="0"/>
    <n v="0"/>
    <x v="1"/>
    <n v="1"/>
    <m/>
    <m/>
  </r>
  <r>
    <n v="22"/>
    <x v="1"/>
    <s v="Travel_Rarely"/>
    <n v="1256"/>
    <s v="Research &amp; Development"/>
    <n v="19"/>
    <n v="1"/>
    <s v="Medical"/>
    <n v="1"/>
    <n v="217"/>
    <n v="3"/>
    <x v="1"/>
    <n v="80"/>
    <n v="3"/>
    <x v="1"/>
    <x v="1"/>
    <x v="0"/>
    <s v="Married"/>
    <n v="2323"/>
    <n v="11992"/>
    <n v="1"/>
    <s v="Y"/>
    <s v="No"/>
    <n v="24"/>
    <n v="4"/>
    <n v="1"/>
    <n v="80"/>
    <n v="2"/>
    <n v="2"/>
    <n v="6"/>
    <n v="3"/>
    <x v="4"/>
    <n v="2"/>
    <n v="2"/>
    <n v="2"/>
    <x v="1"/>
    <n v="0"/>
    <n v="0"/>
    <x v="1"/>
    <n v="1"/>
    <m/>
    <m/>
  </r>
  <r>
    <n v="27"/>
    <x v="1"/>
    <s v="Non-Travel"/>
    <n v="691"/>
    <s v="Research &amp; Development"/>
    <n v="9"/>
    <n v="3"/>
    <s v="Medical"/>
    <n v="1"/>
    <n v="218"/>
    <n v="4"/>
    <x v="1"/>
    <n v="57"/>
    <n v="3"/>
    <x v="1"/>
    <x v="1"/>
    <x v="1"/>
    <s v="Divorced"/>
    <n v="2024"/>
    <n v="5970"/>
    <n v="6"/>
    <s v="Y"/>
    <s v="No"/>
    <n v="18"/>
    <n v="3"/>
    <n v="4"/>
    <n v="80"/>
    <n v="1"/>
    <n v="6"/>
    <n v="1"/>
    <n v="1"/>
    <x v="4"/>
    <n v="2"/>
    <n v="2"/>
    <n v="2"/>
    <x v="1"/>
    <n v="0"/>
    <n v="0"/>
    <x v="1"/>
    <n v="1"/>
    <m/>
    <m/>
  </r>
  <r>
    <n v="28"/>
    <x v="1"/>
    <s v="Travel_Rarely"/>
    <n v="440"/>
    <s v="Research &amp; Development"/>
    <n v="21"/>
    <n v="3"/>
    <s v="Medical"/>
    <n v="1"/>
    <n v="221"/>
    <n v="3"/>
    <x v="1"/>
    <n v="42"/>
    <n v="3"/>
    <x v="1"/>
    <x v="1"/>
    <x v="0"/>
    <s v="Married"/>
    <n v="2713"/>
    <n v="6672"/>
    <n v="1"/>
    <s v="Y"/>
    <s v="No"/>
    <n v="11"/>
    <n v="3"/>
    <n v="3"/>
    <n v="80"/>
    <n v="1"/>
    <n v="5"/>
    <n v="2"/>
    <n v="1"/>
    <x v="8"/>
    <n v="2"/>
    <n v="0"/>
    <n v="2"/>
    <x v="1"/>
    <n v="0"/>
    <n v="0"/>
    <x v="1"/>
    <n v="1"/>
    <m/>
    <m/>
  </r>
  <r>
    <n v="57"/>
    <x v="1"/>
    <s v="Travel_Rarely"/>
    <n v="334"/>
    <s v="Research &amp; Development"/>
    <n v="24"/>
    <n v="2"/>
    <s v="Life Sciences"/>
    <n v="1"/>
    <n v="223"/>
    <n v="3"/>
    <x v="1"/>
    <n v="83"/>
    <n v="4"/>
    <x v="2"/>
    <x v="4"/>
    <x v="0"/>
    <s v="Divorced"/>
    <n v="9439"/>
    <n v="23402"/>
    <n v="3"/>
    <s v="Y"/>
    <s v="Yes"/>
    <n v="16"/>
    <n v="3"/>
    <n v="2"/>
    <n v="80"/>
    <n v="1"/>
    <n v="12"/>
    <n v="2"/>
    <n v="1"/>
    <x v="8"/>
    <n v="3"/>
    <n v="1"/>
    <n v="4"/>
    <x v="3"/>
    <n v="0"/>
    <n v="0"/>
    <x v="2"/>
    <n v="1"/>
    <m/>
    <m/>
  </r>
  <r>
    <n v="27"/>
    <x v="1"/>
    <s v="Non-Travel"/>
    <n v="1450"/>
    <s v="Research &amp; Development"/>
    <n v="3"/>
    <n v="3"/>
    <s v="Medical"/>
    <n v="1"/>
    <n v="224"/>
    <n v="3"/>
    <x v="1"/>
    <n v="79"/>
    <n v="2"/>
    <x v="1"/>
    <x v="1"/>
    <x v="2"/>
    <s v="Divorced"/>
    <n v="2566"/>
    <n v="25326"/>
    <n v="1"/>
    <s v="Y"/>
    <s v="Yes"/>
    <n v="15"/>
    <n v="3"/>
    <n v="4"/>
    <n v="80"/>
    <n v="1"/>
    <n v="1"/>
    <n v="2"/>
    <n v="2"/>
    <x v="6"/>
    <n v="1"/>
    <n v="0"/>
    <n v="1"/>
    <x v="1"/>
    <n v="0"/>
    <n v="0"/>
    <x v="1"/>
    <n v="1"/>
    <m/>
    <m/>
  </r>
  <r>
    <n v="50"/>
    <x v="1"/>
    <s v="Travel_Rarely"/>
    <n v="1452"/>
    <s v="Research &amp; Development"/>
    <n v="11"/>
    <n v="3"/>
    <s v="Life Sciences"/>
    <n v="1"/>
    <n v="226"/>
    <n v="3"/>
    <x v="0"/>
    <n v="53"/>
    <n v="3"/>
    <x v="4"/>
    <x v="5"/>
    <x v="1"/>
    <s v="Single"/>
    <n v="19926"/>
    <n v="17053"/>
    <n v="3"/>
    <s v="Y"/>
    <s v="No"/>
    <n v="15"/>
    <n v="3"/>
    <n v="2"/>
    <n v="80"/>
    <n v="0"/>
    <n v="21"/>
    <n v="5"/>
    <n v="3"/>
    <x v="8"/>
    <n v="4"/>
    <n v="4"/>
    <n v="4"/>
    <x v="4"/>
    <n v="0"/>
    <n v="0"/>
    <x v="3"/>
    <n v="1"/>
    <m/>
    <m/>
  </r>
  <r>
    <n v="41"/>
    <x v="1"/>
    <s v="Travel_Rarely"/>
    <n v="465"/>
    <s v="Research &amp; Development"/>
    <n v="14"/>
    <n v="3"/>
    <s v="Life Sciences"/>
    <n v="1"/>
    <n v="227"/>
    <n v="1"/>
    <x v="1"/>
    <n v="56"/>
    <n v="3"/>
    <x v="1"/>
    <x v="1"/>
    <x v="2"/>
    <s v="Divorced"/>
    <n v="2451"/>
    <n v="4609"/>
    <n v="4"/>
    <s v="Y"/>
    <s v="No"/>
    <n v="12"/>
    <n v="3"/>
    <n v="1"/>
    <n v="80"/>
    <n v="1"/>
    <n v="13"/>
    <n v="2"/>
    <n v="3"/>
    <x v="7"/>
    <n v="8"/>
    <n v="1"/>
    <n v="8"/>
    <x v="1"/>
    <n v="0"/>
    <n v="0"/>
    <x v="1"/>
    <n v="1"/>
    <m/>
    <m/>
  </r>
  <r>
    <n v="30"/>
    <x v="1"/>
    <s v="Travel_Rarely"/>
    <n v="1339"/>
    <s v="Sales"/>
    <n v="5"/>
    <n v="3"/>
    <s v="Life Sciences"/>
    <n v="1"/>
    <n v="228"/>
    <n v="2"/>
    <x v="0"/>
    <n v="41"/>
    <n v="3"/>
    <x v="2"/>
    <x v="0"/>
    <x v="0"/>
    <s v="Married"/>
    <n v="9419"/>
    <n v="8053"/>
    <n v="2"/>
    <s v="Y"/>
    <s v="No"/>
    <n v="12"/>
    <n v="3"/>
    <n v="3"/>
    <n v="80"/>
    <n v="1"/>
    <n v="12"/>
    <n v="2"/>
    <n v="3"/>
    <x v="1"/>
    <n v="9"/>
    <n v="7"/>
    <n v="4"/>
    <x v="0"/>
    <n v="0"/>
    <n v="0"/>
    <x v="2"/>
    <n v="1"/>
    <m/>
    <m/>
  </r>
  <r>
    <n v="38"/>
    <x v="1"/>
    <s v="Travel_Rarely"/>
    <n v="702"/>
    <s v="Sales"/>
    <n v="1"/>
    <n v="4"/>
    <s v="Life Sciences"/>
    <n v="1"/>
    <n v="230"/>
    <n v="1"/>
    <x v="0"/>
    <n v="59"/>
    <n v="2"/>
    <x v="0"/>
    <x v="0"/>
    <x v="0"/>
    <s v="Single"/>
    <n v="8686"/>
    <n v="12930"/>
    <n v="4"/>
    <s v="Y"/>
    <s v="No"/>
    <n v="22"/>
    <n v="4"/>
    <n v="3"/>
    <n v="80"/>
    <n v="0"/>
    <n v="12"/>
    <n v="2"/>
    <n v="4"/>
    <x v="3"/>
    <n v="3"/>
    <n v="0"/>
    <n v="7"/>
    <x v="0"/>
    <n v="0"/>
    <n v="0"/>
    <x v="4"/>
    <n v="1"/>
    <m/>
    <m/>
  </r>
  <r>
    <n v="32"/>
    <x v="1"/>
    <s v="Travel_Rarely"/>
    <n v="120"/>
    <s v="Research &amp; Development"/>
    <n v="6"/>
    <n v="5"/>
    <s v="Life Sciences"/>
    <n v="1"/>
    <n v="231"/>
    <n v="3"/>
    <x v="1"/>
    <n v="43"/>
    <n v="3"/>
    <x v="1"/>
    <x v="1"/>
    <x v="2"/>
    <s v="Single"/>
    <n v="3038"/>
    <n v="12430"/>
    <n v="3"/>
    <s v="Y"/>
    <s v="No"/>
    <n v="20"/>
    <n v="4"/>
    <n v="1"/>
    <n v="80"/>
    <n v="0"/>
    <n v="8"/>
    <n v="2"/>
    <n v="3"/>
    <x v="8"/>
    <n v="4"/>
    <n v="1"/>
    <n v="4"/>
    <x v="1"/>
    <n v="0"/>
    <n v="0"/>
    <x v="0"/>
    <n v="1"/>
    <m/>
    <m/>
  </r>
  <r>
    <n v="27"/>
    <x v="1"/>
    <s v="Travel_Rarely"/>
    <n v="1157"/>
    <s v="Research &amp; Development"/>
    <n v="17"/>
    <n v="3"/>
    <s v="Technical Degree"/>
    <n v="1"/>
    <n v="233"/>
    <n v="3"/>
    <x v="1"/>
    <n v="51"/>
    <n v="3"/>
    <x v="1"/>
    <x v="1"/>
    <x v="1"/>
    <s v="Married"/>
    <n v="3058"/>
    <n v="13364"/>
    <n v="0"/>
    <s v="Y"/>
    <s v="Yes"/>
    <n v="16"/>
    <n v="3"/>
    <n v="4"/>
    <n v="80"/>
    <n v="1"/>
    <n v="6"/>
    <n v="3"/>
    <n v="2"/>
    <x v="8"/>
    <n v="2"/>
    <n v="1"/>
    <n v="1"/>
    <x v="1"/>
    <n v="0"/>
    <n v="0"/>
    <x v="0"/>
    <n v="1"/>
    <m/>
    <m/>
  </r>
  <r>
    <n v="19"/>
    <x v="0"/>
    <s v="Travel_Frequently"/>
    <n v="602"/>
    <s v="Sales"/>
    <n v="1"/>
    <n v="1"/>
    <s v="Technical Degree"/>
    <n v="1"/>
    <n v="235"/>
    <n v="3"/>
    <x v="0"/>
    <n v="100"/>
    <n v="1"/>
    <x v="1"/>
    <x v="6"/>
    <x v="3"/>
    <s v="Single"/>
    <n v="2325"/>
    <n v="20989"/>
    <n v="0"/>
    <s v="Y"/>
    <s v="No"/>
    <n v="21"/>
    <n v="4"/>
    <n v="1"/>
    <n v="80"/>
    <n v="0"/>
    <n v="1"/>
    <n v="5"/>
    <n v="4"/>
    <x v="2"/>
    <n v="0"/>
    <n v="0"/>
    <n v="0"/>
    <x v="0"/>
    <n v="1"/>
    <n v="41850"/>
    <x v="1"/>
    <n v="1"/>
    <m/>
    <m/>
  </r>
  <r>
    <n v="36"/>
    <x v="1"/>
    <s v="Travel_Frequently"/>
    <n v="1480"/>
    <s v="Research &amp; Development"/>
    <n v="3"/>
    <n v="2"/>
    <s v="Medical"/>
    <n v="1"/>
    <n v="238"/>
    <n v="4"/>
    <x v="1"/>
    <n v="30"/>
    <n v="3"/>
    <x v="1"/>
    <x v="2"/>
    <x v="1"/>
    <s v="Single"/>
    <n v="2088"/>
    <n v="15062"/>
    <n v="4"/>
    <s v="Y"/>
    <s v="No"/>
    <n v="12"/>
    <n v="3"/>
    <n v="3"/>
    <n v="80"/>
    <n v="0"/>
    <n v="13"/>
    <n v="3"/>
    <n v="2"/>
    <x v="3"/>
    <n v="7"/>
    <n v="7"/>
    <n v="2"/>
    <x v="1"/>
    <n v="0"/>
    <n v="0"/>
    <x v="1"/>
    <n v="1"/>
    <m/>
    <m/>
  </r>
  <r>
    <n v="30"/>
    <x v="1"/>
    <s v="Non-Travel"/>
    <n v="111"/>
    <s v="Research &amp; Development"/>
    <n v="9"/>
    <n v="3"/>
    <s v="Medical"/>
    <n v="1"/>
    <n v="239"/>
    <n v="3"/>
    <x v="1"/>
    <n v="66"/>
    <n v="3"/>
    <x v="0"/>
    <x v="2"/>
    <x v="3"/>
    <s v="Divorced"/>
    <n v="3072"/>
    <n v="11012"/>
    <n v="1"/>
    <s v="Y"/>
    <s v="No"/>
    <n v="11"/>
    <n v="3"/>
    <n v="3"/>
    <n v="80"/>
    <n v="2"/>
    <n v="12"/>
    <n v="4"/>
    <n v="3"/>
    <x v="12"/>
    <n v="9"/>
    <n v="6"/>
    <n v="10"/>
    <x v="1"/>
    <n v="0"/>
    <n v="0"/>
    <x v="0"/>
    <n v="1"/>
    <m/>
    <m/>
  </r>
  <r>
    <n v="45"/>
    <x v="1"/>
    <s v="Travel_Rarely"/>
    <n v="1268"/>
    <s v="Sales"/>
    <n v="4"/>
    <n v="2"/>
    <s v="Life Sciences"/>
    <n v="1"/>
    <n v="240"/>
    <n v="3"/>
    <x v="0"/>
    <n v="30"/>
    <n v="3"/>
    <x v="0"/>
    <x v="0"/>
    <x v="3"/>
    <s v="Divorced"/>
    <n v="5006"/>
    <n v="6319"/>
    <n v="4"/>
    <s v="Y"/>
    <s v="Yes"/>
    <n v="11"/>
    <n v="3"/>
    <n v="1"/>
    <n v="80"/>
    <n v="1"/>
    <n v="9"/>
    <n v="3"/>
    <n v="4"/>
    <x v="8"/>
    <n v="4"/>
    <n v="0"/>
    <n v="3"/>
    <x v="0"/>
    <n v="0"/>
    <n v="0"/>
    <x v="0"/>
    <n v="1"/>
    <m/>
    <m/>
  </r>
  <r>
    <n v="56"/>
    <x v="1"/>
    <s v="Travel_Rarely"/>
    <n v="713"/>
    <s v="Research &amp; Development"/>
    <n v="8"/>
    <n v="3"/>
    <s v="Life Sciences"/>
    <n v="1"/>
    <n v="241"/>
    <n v="3"/>
    <x v="0"/>
    <n v="67"/>
    <n v="3"/>
    <x v="1"/>
    <x v="1"/>
    <x v="3"/>
    <s v="Divorced"/>
    <n v="4257"/>
    <n v="13939"/>
    <n v="4"/>
    <s v="Y"/>
    <s v="Yes"/>
    <n v="18"/>
    <n v="3"/>
    <n v="3"/>
    <n v="80"/>
    <n v="1"/>
    <n v="19"/>
    <n v="3"/>
    <n v="3"/>
    <x v="4"/>
    <n v="2"/>
    <n v="2"/>
    <n v="2"/>
    <x v="1"/>
    <n v="0"/>
    <n v="0"/>
    <x v="0"/>
    <n v="1"/>
    <m/>
    <m/>
  </r>
  <r>
    <n v="33"/>
    <x v="1"/>
    <s v="Travel_Rarely"/>
    <n v="134"/>
    <s v="Research &amp; Development"/>
    <n v="2"/>
    <n v="3"/>
    <s v="Life Sciences"/>
    <n v="1"/>
    <n v="242"/>
    <n v="3"/>
    <x v="1"/>
    <n v="90"/>
    <n v="3"/>
    <x v="1"/>
    <x v="1"/>
    <x v="0"/>
    <s v="Single"/>
    <n v="2500"/>
    <n v="10515"/>
    <n v="0"/>
    <s v="Y"/>
    <s v="No"/>
    <n v="14"/>
    <n v="3"/>
    <n v="1"/>
    <n v="80"/>
    <n v="0"/>
    <n v="4"/>
    <n v="2"/>
    <n v="4"/>
    <x v="11"/>
    <n v="1"/>
    <n v="0"/>
    <n v="2"/>
    <x v="1"/>
    <n v="0"/>
    <n v="0"/>
    <x v="1"/>
    <n v="1"/>
    <m/>
    <m/>
  </r>
  <r>
    <n v="19"/>
    <x v="0"/>
    <s v="Travel_Rarely"/>
    <n v="303"/>
    <s v="Research &amp; Development"/>
    <n v="2"/>
    <n v="3"/>
    <s v="Life Sciences"/>
    <n v="1"/>
    <n v="243"/>
    <n v="2"/>
    <x v="1"/>
    <n v="47"/>
    <n v="2"/>
    <x v="1"/>
    <x v="2"/>
    <x v="0"/>
    <s v="Single"/>
    <n v="1102"/>
    <n v="9241"/>
    <n v="1"/>
    <s v="Y"/>
    <s v="No"/>
    <n v="22"/>
    <n v="4"/>
    <n v="3"/>
    <n v="80"/>
    <n v="0"/>
    <n v="1"/>
    <n v="3"/>
    <n v="2"/>
    <x v="6"/>
    <n v="0"/>
    <n v="1"/>
    <n v="0"/>
    <x v="1"/>
    <n v="1"/>
    <n v="19836"/>
    <x v="1"/>
    <n v="1"/>
    <m/>
    <m/>
  </r>
  <r>
    <n v="46"/>
    <x v="1"/>
    <s v="Travel_Rarely"/>
    <n v="526"/>
    <s v="Sales"/>
    <n v="1"/>
    <n v="2"/>
    <s v="Marketing"/>
    <n v="1"/>
    <n v="244"/>
    <n v="2"/>
    <x v="0"/>
    <n v="92"/>
    <n v="3"/>
    <x v="2"/>
    <x v="0"/>
    <x v="3"/>
    <s v="Divorced"/>
    <n v="10453"/>
    <n v="2137"/>
    <n v="1"/>
    <s v="Y"/>
    <s v="No"/>
    <n v="25"/>
    <n v="4"/>
    <n v="3"/>
    <n v="80"/>
    <n v="3"/>
    <n v="24"/>
    <n v="2"/>
    <n v="3"/>
    <x v="25"/>
    <n v="13"/>
    <n v="15"/>
    <n v="7"/>
    <x v="0"/>
    <n v="0"/>
    <n v="0"/>
    <x v="2"/>
    <n v="1"/>
    <m/>
    <m/>
  </r>
  <r>
    <n v="38"/>
    <x v="1"/>
    <s v="Travel_Rarely"/>
    <n v="1380"/>
    <s v="Research &amp; Development"/>
    <n v="9"/>
    <n v="2"/>
    <s v="Life Sciences"/>
    <n v="1"/>
    <n v="245"/>
    <n v="3"/>
    <x v="0"/>
    <n v="75"/>
    <n v="3"/>
    <x v="1"/>
    <x v="2"/>
    <x v="0"/>
    <s v="Single"/>
    <n v="2288"/>
    <n v="6319"/>
    <n v="1"/>
    <s v="Y"/>
    <s v="No"/>
    <n v="12"/>
    <n v="3"/>
    <n v="3"/>
    <n v="80"/>
    <n v="0"/>
    <n v="2"/>
    <n v="3"/>
    <n v="3"/>
    <x v="4"/>
    <n v="2"/>
    <n v="2"/>
    <n v="1"/>
    <x v="1"/>
    <n v="0"/>
    <n v="0"/>
    <x v="1"/>
    <n v="1"/>
    <m/>
    <m/>
  </r>
  <r>
    <n v="31"/>
    <x v="1"/>
    <s v="Travel_Rarely"/>
    <n v="140"/>
    <s v="Research &amp; Development"/>
    <n v="12"/>
    <n v="1"/>
    <s v="Medical"/>
    <n v="1"/>
    <n v="246"/>
    <n v="3"/>
    <x v="0"/>
    <n v="95"/>
    <n v="3"/>
    <x v="1"/>
    <x v="1"/>
    <x v="0"/>
    <s v="Married"/>
    <n v="3929"/>
    <n v="6984"/>
    <n v="8"/>
    <s v="Y"/>
    <s v="Yes"/>
    <n v="23"/>
    <n v="4"/>
    <n v="3"/>
    <n v="80"/>
    <n v="1"/>
    <n v="7"/>
    <n v="0"/>
    <n v="3"/>
    <x v="9"/>
    <n v="2"/>
    <n v="0"/>
    <n v="2"/>
    <x v="1"/>
    <n v="0"/>
    <n v="0"/>
    <x v="0"/>
    <n v="1"/>
    <m/>
    <m/>
  </r>
  <r>
    <n v="34"/>
    <x v="1"/>
    <s v="Travel_Rarely"/>
    <n v="629"/>
    <s v="Research &amp; Development"/>
    <n v="27"/>
    <n v="2"/>
    <s v="Medical"/>
    <n v="1"/>
    <n v="247"/>
    <n v="4"/>
    <x v="0"/>
    <n v="95"/>
    <n v="3"/>
    <x v="1"/>
    <x v="1"/>
    <x v="1"/>
    <s v="Single"/>
    <n v="2311"/>
    <n v="5711"/>
    <n v="2"/>
    <s v="Y"/>
    <s v="No"/>
    <n v="15"/>
    <n v="3"/>
    <n v="4"/>
    <n v="80"/>
    <n v="0"/>
    <n v="9"/>
    <n v="3"/>
    <n v="3"/>
    <x v="11"/>
    <n v="2"/>
    <n v="1"/>
    <n v="2"/>
    <x v="1"/>
    <n v="0"/>
    <n v="0"/>
    <x v="1"/>
    <n v="1"/>
    <m/>
    <m/>
  </r>
  <r>
    <n v="41"/>
    <x v="0"/>
    <s v="Travel_Rarely"/>
    <n v="1356"/>
    <s v="Sales"/>
    <n v="20"/>
    <n v="2"/>
    <s v="Marketing"/>
    <n v="1"/>
    <n v="248"/>
    <n v="2"/>
    <x v="0"/>
    <n v="70"/>
    <n v="3"/>
    <x v="1"/>
    <x v="6"/>
    <x v="1"/>
    <s v="Single"/>
    <n v="3140"/>
    <n v="21728"/>
    <n v="1"/>
    <s v="Y"/>
    <s v="Yes"/>
    <n v="22"/>
    <n v="4"/>
    <n v="4"/>
    <n v="80"/>
    <n v="0"/>
    <n v="4"/>
    <n v="5"/>
    <n v="2"/>
    <x v="9"/>
    <n v="3"/>
    <n v="0"/>
    <n v="2"/>
    <x v="0"/>
    <n v="1"/>
    <n v="56520"/>
    <x v="0"/>
    <n v="1"/>
    <m/>
    <m/>
  </r>
  <r>
    <n v="50"/>
    <x v="1"/>
    <s v="Travel_Rarely"/>
    <n v="328"/>
    <s v="Research &amp; Development"/>
    <n v="1"/>
    <n v="3"/>
    <s v="Medical"/>
    <n v="1"/>
    <n v="249"/>
    <n v="3"/>
    <x v="1"/>
    <n v="86"/>
    <n v="2"/>
    <x v="1"/>
    <x v="2"/>
    <x v="2"/>
    <s v="Married"/>
    <n v="3690"/>
    <n v="3425"/>
    <n v="2"/>
    <s v="Y"/>
    <s v="No"/>
    <n v="15"/>
    <n v="3"/>
    <n v="4"/>
    <n v="80"/>
    <n v="1"/>
    <n v="5"/>
    <n v="2"/>
    <n v="2"/>
    <x v="11"/>
    <n v="2"/>
    <n v="0"/>
    <n v="2"/>
    <x v="1"/>
    <n v="0"/>
    <n v="0"/>
    <x v="0"/>
    <n v="1"/>
    <m/>
    <m/>
  </r>
  <r>
    <n v="53"/>
    <x v="1"/>
    <s v="Travel_Rarely"/>
    <n v="1084"/>
    <s v="Research &amp; Development"/>
    <n v="13"/>
    <n v="2"/>
    <s v="Medical"/>
    <n v="1"/>
    <n v="250"/>
    <n v="4"/>
    <x v="0"/>
    <n v="57"/>
    <n v="4"/>
    <x v="0"/>
    <x v="3"/>
    <x v="3"/>
    <s v="Divorced"/>
    <n v="4450"/>
    <n v="26250"/>
    <n v="1"/>
    <s v="Y"/>
    <s v="No"/>
    <n v="11"/>
    <n v="3"/>
    <n v="3"/>
    <n v="80"/>
    <n v="2"/>
    <n v="5"/>
    <n v="3"/>
    <n v="3"/>
    <x v="9"/>
    <n v="2"/>
    <n v="1"/>
    <n v="3"/>
    <x v="2"/>
    <n v="0"/>
    <n v="0"/>
    <x v="0"/>
    <n v="1"/>
    <m/>
    <m/>
  </r>
  <r>
    <n v="33"/>
    <x v="1"/>
    <s v="Travel_Rarely"/>
    <n v="931"/>
    <s v="Research &amp; Development"/>
    <n v="14"/>
    <n v="3"/>
    <s v="Medical"/>
    <n v="1"/>
    <n v="252"/>
    <n v="4"/>
    <x v="0"/>
    <n v="72"/>
    <n v="3"/>
    <x v="1"/>
    <x v="1"/>
    <x v="1"/>
    <s v="Married"/>
    <n v="2756"/>
    <n v="4673"/>
    <n v="1"/>
    <s v="Y"/>
    <s v="No"/>
    <n v="13"/>
    <n v="3"/>
    <n v="4"/>
    <n v="80"/>
    <n v="1"/>
    <n v="8"/>
    <n v="5"/>
    <n v="3"/>
    <x v="3"/>
    <n v="7"/>
    <n v="1"/>
    <n v="6"/>
    <x v="1"/>
    <n v="0"/>
    <n v="0"/>
    <x v="1"/>
    <n v="1"/>
    <m/>
    <m/>
  </r>
  <r>
    <n v="40"/>
    <x v="1"/>
    <s v="Travel_Rarely"/>
    <n v="989"/>
    <s v="Research &amp; Development"/>
    <n v="4"/>
    <n v="1"/>
    <s v="Medical"/>
    <n v="1"/>
    <n v="253"/>
    <n v="4"/>
    <x v="0"/>
    <n v="46"/>
    <n v="3"/>
    <x v="4"/>
    <x v="5"/>
    <x v="2"/>
    <s v="Married"/>
    <n v="19033"/>
    <n v="6499"/>
    <n v="1"/>
    <s v="Y"/>
    <s v="No"/>
    <n v="14"/>
    <n v="3"/>
    <n v="2"/>
    <n v="80"/>
    <n v="1"/>
    <n v="21"/>
    <n v="2"/>
    <n v="3"/>
    <x v="23"/>
    <n v="8"/>
    <n v="9"/>
    <n v="9"/>
    <x v="4"/>
    <n v="0"/>
    <n v="0"/>
    <x v="3"/>
    <n v="1"/>
    <m/>
    <m/>
  </r>
  <r>
    <n v="55"/>
    <x v="1"/>
    <s v="Travel_Rarely"/>
    <n v="692"/>
    <s v="Research &amp; Development"/>
    <n v="14"/>
    <n v="4"/>
    <s v="Medical"/>
    <n v="1"/>
    <n v="254"/>
    <n v="3"/>
    <x v="1"/>
    <n v="61"/>
    <n v="4"/>
    <x v="4"/>
    <x v="7"/>
    <x v="1"/>
    <s v="Single"/>
    <n v="18722"/>
    <n v="13339"/>
    <n v="8"/>
    <s v="Y"/>
    <s v="No"/>
    <n v="11"/>
    <n v="3"/>
    <n v="4"/>
    <n v="80"/>
    <n v="0"/>
    <n v="36"/>
    <n v="3"/>
    <n v="3"/>
    <x v="25"/>
    <n v="15"/>
    <n v="2"/>
    <n v="15"/>
    <x v="1"/>
    <n v="0"/>
    <n v="0"/>
    <x v="3"/>
    <n v="1"/>
    <m/>
    <m/>
  </r>
  <r>
    <n v="34"/>
    <x v="1"/>
    <s v="Travel_Frequently"/>
    <n v="1069"/>
    <s v="Research &amp; Development"/>
    <n v="2"/>
    <n v="1"/>
    <s v="Life Sciences"/>
    <n v="1"/>
    <n v="256"/>
    <n v="4"/>
    <x v="1"/>
    <n v="45"/>
    <n v="2"/>
    <x v="0"/>
    <x v="3"/>
    <x v="2"/>
    <s v="Married"/>
    <n v="9547"/>
    <n v="14074"/>
    <n v="1"/>
    <s v="Y"/>
    <s v="No"/>
    <n v="17"/>
    <n v="3"/>
    <n v="3"/>
    <n v="80"/>
    <n v="0"/>
    <n v="10"/>
    <n v="2"/>
    <n v="2"/>
    <x v="1"/>
    <n v="9"/>
    <n v="1"/>
    <n v="9"/>
    <x v="2"/>
    <n v="0"/>
    <n v="0"/>
    <x v="2"/>
    <n v="1"/>
    <m/>
    <m/>
  </r>
  <r>
    <n v="51"/>
    <x v="1"/>
    <s v="Travel_Rarely"/>
    <n v="313"/>
    <s v="Research &amp; Development"/>
    <n v="3"/>
    <n v="3"/>
    <s v="Medical"/>
    <n v="1"/>
    <n v="258"/>
    <n v="4"/>
    <x v="0"/>
    <n v="98"/>
    <n v="3"/>
    <x v="3"/>
    <x v="4"/>
    <x v="1"/>
    <s v="Single"/>
    <n v="13734"/>
    <n v="7192"/>
    <n v="3"/>
    <s v="Y"/>
    <s v="No"/>
    <n v="18"/>
    <n v="3"/>
    <n v="3"/>
    <n v="80"/>
    <n v="0"/>
    <n v="21"/>
    <n v="6"/>
    <n v="3"/>
    <x v="5"/>
    <n v="7"/>
    <n v="1"/>
    <n v="0"/>
    <x v="3"/>
    <n v="0"/>
    <n v="0"/>
    <x v="3"/>
    <n v="1"/>
    <m/>
    <m/>
  </r>
  <r>
    <n v="52"/>
    <x v="1"/>
    <s v="Travel_Rarely"/>
    <n v="699"/>
    <s v="Research &amp; Development"/>
    <n v="1"/>
    <n v="4"/>
    <s v="Life Sciences"/>
    <n v="1"/>
    <n v="259"/>
    <n v="3"/>
    <x v="1"/>
    <n v="65"/>
    <n v="2"/>
    <x v="4"/>
    <x v="5"/>
    <x v="2"/>
    <s v="Married"/>
    <n v="19999"/>
    <n v="5678"/>
    <n v="0"/>
    <s v="Y"/>
    <s v="No"/>
    <n v="14"/>
    <n v="3"/>
    <n v="1"/>
    <n v="80"/>
    <n v="1"/>
    <n v="34"/>
    <n v="5"/>
    <n v="3"/>
    <x v="26"/>
    <n v="18"/>
    <n v="11"/>
    <n v="9"/>
    <x v="4"/>
    <n v="0"/>
    <n v="0"/>
    <x v="3"/>
    <n v="1"/>
    <m/>
    <m/>
  </r>
  <r>
    <n v="27"/>
    <x v="1"/>
    <s v="Travel_Rarely"/>
    <n v="894"/>
    <s v="Research &amp; Development"/>
    <n v="9"/>
    <n v="3"/>
    <s v="Medical"/>
    <n v="1"/>
    <n v="260"/>
    <n v="4"/>
    <x v="0"/>
    <n v="99"/>
    <n v="3"/>
    <x v="1"/>
    <x v="1"/>
    <x v="1"/>
    <s v="Single"/>
    <n v="2279"/>
    <n v="11781"/>
    <n v="1"/>
    <s v="Y"/>
    <s v="No"/>
    <n v="16"/>
    <n v="3"/>
    <n v="4"/>
    <n v="80"/>
    <n v="0"/>
    <n v="7"/>
    <n v="2"/>
    <n v="2"/>
    <x v="5"/>
    <n v="7"/>
    <n v="0"/>
    <n v="3"/>
    <x v="1"/>
    <n v="0"/>
    <n v="0"/>
    <x v="1"/>
    <n v="1"/>
    <m/>
    <m/>
  </r>
  <r>
    <n v="35"/>
    <x v="0"/>
    <s v="Travel_Rarely"/>
    <n v="556"/>
    <s v="Research &amp; Development"/>
    <n v="23"/>
    <n v="2"/>
    <s v="Life Sciences"/>
    <n v="1"/>
    <n v="261"/>
    <n v="2"/>
    <x v="1"/>
    <n v="50"/>
    <n v="2"/>
    <x v="0"/>
    <x v="3"/>
    <x v="2"/>
    <s v="Married"/>
    <n v="5916"/>
    <n v="15497"/>
    <n v="3"/>
    <s v="Y"/>
    <s v="Yes"/>
    <n v="13"/>
    <n v="3"/>
    <n v="1"/>
    <n v="80"/>
    <n v="0"/>
    <n v="8"/>
    <n v="1"/>
    <n v="3"/>
    <x v="6"/>
    <n v="0"/>
    <n v="0"/>
    <n v="1"/>
    <x v="2"/>
    <n v="1"/>
    <n v="106488"/>
    <x v="0"/>
    <n v="1"/>
    <m/>
    <m/>
  </r>
  <r>
    <n v="43"/>
    <x v="1"/>
    <s v="Non-Travel"/>
    <n v="1344"/>
    <s v="Research &amp; Development"/>
    <n v="7"/>
    <n v="3"/>
    <s v="Medical"/>
    <n v="1"/>
    <n v="262"/>
    <n v="4"/>
    <x v="1"/>
    <n v="37"/>
    <n v="4"/>
    <x v="1"/>
    <x v="1"/>
    <x v="0"/>
    <s v="Divorced"/>
    <n v="2089"/>
    <n v="5228"/>
    <n v="4"/>
    <s v="Y"/>
    <s v="No"/>
    <n v="14"/>
    <n v="3"/>
    <n v="4"/>
    <n v="80"/>
    <n v="3"/>
    <n v="7"/>
    <n v="3"/>
    <n v="4"/>
    <x v="8"/>
    <n v="4"/>
    <n v="2"/>
    <n v="2"/>
    <x v="1"/>
    <n v="0"/>
    <n v="0"/>
    <x v="1"/>
    <n v="1"/>
    <m/>
    <m/>
  </r>
  <r>
    <n v="45"/>
    <x v="1"/>
    <s v="Non-Travel"/>
    <n v="1195"/>
    <s v="Research &amp; Development"/>
    <n v="2"/>
    <n v="2"/>
    <s v="Medical"/>
    <n v="1"/>
    <n v="264"/>
    <n v="1"/>
    <x v="1"/>
    <n v="65"/>
    <n v="2"/>
    <x v="3"/>
    <x v="5"/>
    <x v="0"/>
    <s v="Married"/>
    <n v="16792"/>
    <n v="20462"/>
    <n v="9"/>
    <s v="Y"/>
    <s v="No"/>
    <n v="23"/>
    <n v="4"/>
    <n v="4"/>
    <n v="80"/>
    <n v="1"/>
    <n v="22"/>
    <n v="1"/>
    <n v="3"/>
    <x v="23"/>
    <n v="8"/>
    <n v="11"/>
    <n v="8"/>
    <x v="4"/>
    <n v="0"/>
    <n v="0"/>
    <x v="3"/>
    <n v="1"/>
    <m/>
    <m/>
  </r>
  <r>
    <n v="37"/>
    <x v="1"/>
    <s v="Travel_Rarely"/>
    <n v="290"/>
    <s v="Research &amp; Development"/>
    <n v="21"/>
    <n v="3"/>
    <s v="Life Sciences"/>
    <n v="1"/>
    <n v="267"/>
    <n v="2"/>
    <x v="1"/>
    <n v="65"/>
    <n v="4"/>
    <x v="1"/>
    <x v="1"/>
    <x v="3"/>
    <s v="Married"/>
    <n v="3564"/>
    <n v="22977"/>
    <n v="1"/>
    <s v="Y"/>
    <s v="Yes"/>
    <n v="12"/>
    <n v="3"/>
    <n v="1"/>
    <n v="80"/>
    <n v="1"/>
    <n v="8"/>
    <n v="3"/>
    <n v="2"/>
    <x v="3"/>
    <n v="7"/>
    <n v="1"/>
    <n v="7"/>
    <x v="1"/>
    <n v="0"/>
    <n v="0"/>
    <x v="0"/>
    <n v="1"/>
    <m/>
    <m/>
  </r>
  <r>
    <n v="35"/>
    <x v="1"/>
    <s v="Travel_Frequently"/>
    <n v="138"/>
    <s v="Research &amp; Development"/>
    <n v="2"/>
    <n v="3"/>
    <s v="Medical"/>
    <n v="1"/>
    <n v="269"/>
    <n v="2"/>
    <x v="0"/>
    <n v="37"/>
    <n v="3"/>
    <x v="0"/>
    <x v="2"/>
    <x v="1"/>
    <s v="Single"/>
    <n v="4425"/>
    <n v="15986"/>
    <n v="5"/>
    <s v="Y"/>
    <s v="No"/>
    <n v="11"/>
    <n v="3"/>
    <n v="4"/>
    <n v="80"/>
    <n v="0"/>
    <n v="10"/>
    <n v="5"/>
    <n v="3"/>
    <x v="0"/>
    <n v="2"/>
    <n v="1"/>
    <n v="2"/>
    <x v="1"/>
    <n v="0"/>
    <n v="0"/>
    <x v="0"/>
    <n v="1"/>
    <m/>
    <m/>
  </r>
  <r>
    <n v="42"/>
    <x v="1"/>
    <s v="Non-Travel"/>
    <n v="926"/>
    <s v="Research &amp; Development"/>
    <n v="21"/>
    <n v="2"/>
    <s v="Medical"/>
    <n v="1"/>
    <n v="270"/>
    <n v="3"/>
    <x v="0"/>
    <n v="36"/>
    <n v="3"/>
    <x v="0"/>
    <x v="3"/>
    <x v="2"/>
    <s v="Divorced"/>
    <n v="5265"/>
    <n v="16439"/>
    <n v="2"/>
    <s v="Y"/>
    <s v="No"/>
    <n v="16"/>
    <n v="3"/>
    <n v="2"/>
    <n v="80"/>
    <n v="1"/>
    <n v="11"/>
    <n v="5"/>
    <n v="3"/>
    <x v="8"/>
    <n v="3"/>
    <n v="0"/>
    <n v="2"/>
    <x v="2"/>
    <n v="0"/>
    <n v="0"/>
    <x v="0"/>
    <n v="1"/>
    <m/>
    <m/>
  </r>
  <r>
    <n v="38"/>
    <x v="1"/>
    <s v="Travel_Rarely"/>
    <n v="1261"/>
    <s v="Research &amp; Development"/>
    <n v="2"/>
    <n v="4"/>
    <s v="Life Sciences"/>
    <n v="1"/>
    <n v="271"/>
    <n v="4"/>
    <x v="1"/>
    <n v="88"/>
    <n v="3"/>
    <x v="0"/>
    <x v="3"/>
    <x v="2"/>
    <s v="Married"/>
    <n v="6553"/>
    <n v="7259"/>
    <n v="9"/>
    <s v="Y"/>
    <s v="No"/>
    <n v="14"/>
    <n v="3"/>
    <n v="2"/>
    <n v="80"/>
    <n v="0"/>
    <n v="14"/>
    <n v="3"/>
    <n v="3"/>
    <x v="6"/>
    <n v="0"/>
    <n v="0"/>
    <n v="0"/>
    <x v="2"/>
    <n v="0"/>
    <n v="0"/>
    <x v="4"/>
    <n v="1"/>
    <m/>
    <m/>
  </r>
  <r>
    <n v="38"/>
    <x v="1"/>
    <s v="Travel_Rarely"/>
    <n v="1084"/>
    <s v="Research &amp; Development"/>
    <n v="29"/>
    <n v="3"/>
    <s v="Technical Degree"/>
    <n v="1"/>
    <n v="273"/>
    <n v="4"/>
    <x v="1"/>
    <n v="54"/>
    <n v="3"/>
    <x v="0"/>
    <x v="3"/>
    <x v="0"/>
    <s v="Married"/>
    <n v="6261"/>
    <n v="4185"/>
    <n v="3"/>
    <s v="Y"/>
    <s v="No"/>
    <n v="18"/>
    <n v="3"/>
    <n v="1"/>
    <n v="80"/>
    <n v="1"/>
    <n v="9"/>
    <n v="3"/>
    <n v="1"/>
    <x v="5"/>
    <n v="7"/>
    <n v="1"/>
    <n v="7"/>
    <x v="2"/>
    <n v="0"/>
    <n v="0"/>
    <x v="4"/>
    <n v="1"/>
    <m/>
    <m/>
  </r>
  <r>
    <n v="27"/>
    <x v="1"/>
    <s v="Travel_Frequently"/>
    <n v="472"/>
    <s v="Research &amp; Development"/>
    <n v="1"/>
    <n v="1"/>
    <s v="Technical Degree"/>
    <n v="1"/>
    <n v="274"/>
    <n v="3"/>
    <x v="1"/>
    <n v="60"/>
    <n v="2"/>
    <x v="0"/>
    <x v="3"/>
    <x v="3"/>
    <s v="Married"/>
    <n v="4298"/>
    <n v="9679"/>
    <n v="5"/>
    <s v="Y"/>
    <s v="No"/>
    <n v="19"/>
    <n v="3"/>
    <n v="3"/>
    <n v="80"/>
    <n v="1"/>
    <n v="6"/>
    <n v="1"/>
    <n v="3"/>
    <x v="4"/>
    <n v="2"/>
    <n v="2"/>
    <n v="0"/>
    <x v="2"/>
    <n v="0"/>
    <n v="0"/>
    <x v="0"/>
    <n v="1"/>
    <m/>
    <m/>
  </r>
  <r>
    <n v="49"/>
    <x v="1"/>
    <s v="Non-Travel"/>
    <n v="1002"/>
    <s v="Research &amp; Development"/>
    <n v="18"/>
    <n v="4"/>
    <s v="Life Sciences"/>
    <n v="1"/>
    <n v="275"/>
    <n v="4"/>
    <x v="1"/>
    <n v="92"/>
    <n v="3"/>
    <x v="0"/>
    <x v="3"/>
    <x v="0"/>
    <s v="Divorced"/>
    <n v="6804"/>
    <n v="23793"/>
    <n v="1"/>
    <s v="Y"/>
    <s v="Yes"/>
    <n v="15"/>
    <n v="3"/>
    <n v="1"/>
    <n v="80"/>
    <n v="2"/>
    <n v="7"/>
    <n v="0"/>
    <n v="3"/>
    <x v="5"/>
    <n v="7"/>
    <n v="1"/>
    <n v="7"/>
    <x v="2"/>
    <n v="0"/>
    <n v="0"/>
    <x v="4"/>
    <n v="1"/>
    <m/>
    <m/>
  </r>
  <r>
    <n v="34"/>
    <x v="1"/>
    <s v="Travel_Frequently"/>
    <n v="878"/>
    <s v="Research &amp; Development"/>
    <n v="10"/>
    <n v="4"/>
    <s v="Medical"/>
    <n v="1"/>
    <n v="277"/>
    <n v="4"/>
    <x v="1"/>
    <n v="43"/>
    <n v="3"/>
    <x v="1"/>
    <x v="1"/>
    <x v="2"/>
    <s v="Divorced"/>
    <n v="3815"/>
    <n v="5972"/>
    <n v="1"/>
    <s v="Y"/>
    <s v="Yes"/>
    <n v="17"/>
    <n v="3"/>
    <n v="4"/>
    <n v="80"/>
    <n v="1"/>
    <n v="5"/>
    <n v="4"/>
    <n v="4"/>
    <x v="8"/>
    <n v="3"/>
    <n v="2"/>
    <n v="0"/>
    <x v="1"/>
    <n v="0"/>
    <n v="0"/>
    <x v="0"/>
    <n v="1"/>
    <m/>
    <m/>
  </r>
  <r>
    <n v="40"/>
    <x v="1"/>
    <s v="Travel_Rarely"/>
    <n v="905"/>
    <s v="Research &amp; Development"/>
    <n v="19"/>
    <n v="2"/>
    <s v="Medical"/>
    <n v="1"/>
    <n v="281"/>
    <n v="3"/>
    <x v="1"/>
    <n v="99"/>
    <n v="3"/>
    <x v="0"/>
    <x v="2"/>
    <x v="0"/>
    <s v="Married"/>
    <n v="2741"/>
    <n v="16523"/>
    <n v="8"/>
    <s v="Y"/>
    <s v="Yes"/>
    <n v="15"/>
    <n v="3"/>
    <n v="3"/>
    <n v="80"/>
    <n v="1"/>
    <n v="15"/>
    <n v="2"/>
    <n v="4"/>
    <x v="5"/>
    <n v="2"/>
    <n v="3"/>
    <n v="7"/>
    <x v="1"/>
    <n v="0"/>
    <n v="0"/>
    <x v="1"/>
    <n v="1"/>
    <m/>
    <m/>
  </r>
  <r>
    <n v="38"/>
    <x v="0"/>
    <s v="Travel_Rarely"/>
    <n v="1180"/>
    <s v="Research &amp; Development"/>
    <n v="29"/>
    <n v="1"/>
    <s v="Medical"/>
    <n v="1"/>
    <n v="282"/>
    <n v="2"/>
    <x v="1"/>
    <n v="70"/>
    <n v="3"/>
    <x v="0"/>
    <x v="4"/>
    <x v="3"/>
    <s v="Married"/>
    <n v="6673"/>
    <n v="11354"/>
    <n v="7"/>
    <s v="Y"/>
    <s v="Yes"/>
    <n v="19"/>
    <n v="3"/>
    <n v="2"/>
    <n v="80"/>
    <n v="0"/>
    <n v="17"/>
    <n v="2"/>
    <n v="3"/>
    <x v="6"/>
    <n v="0"/>
    <n v="0"/>
    <n v="0"/>
    <x v="3"/>
    <n v="1"/>
    <n v="120114"/>
    <x v="4"/>
    <n v="1"/>
    <m/>
    <m/>
  </r>
  <r>
    <n v="29"/>
    <x v="0"/>
    <s v="Travel_Rarely"/>
    <n v="121"/>
    <s v="Sales"/>
    <n v="27"/>
    <n v="3"/>
    <s v="Marketing"/>
    <n v="1"/>
    <n v="283"/>
    <n v="2"/>
    <x v="0"/>
    <n v="35"/>
    <n v="3"/>
    <x v="2"/>
    <x v="0"/>
    <x v="0"/>
    <s v="Married"/>
    <n v="7639"/>
    <n v="24525"/>
    <n v="1"/>
    <s v="Y"/>
    <s v="No"/>
    <n v="22"/>
    <n v="4"/>
    <n v="4"/>
    <n v="80"/>
    <n v="3"/>
    <n v="10"/>
    <n v="3"/>
    <n v="2"/>
    <x v="1"/>
    <n v="4"/>
    <n v="1"/>
    <n v="9"/>
    <x v="0"/>
    <n v="1"/>
    <n v="137502"/>
    <x v="4"/>
    <n v="1"/>
    <m/>
    <m/>
  </r>
  <r>
    <n v="22"/>
    <x v="1"/>
    <s v="Travel_Rarely"/>
    <n v="1136"/>
    <s v="Research &amp; Development"/>
    <n v="5"/>
    <n v="3"/>
    <s v="Life Sciences"/>
    <n v="1"/>
    <n v="284"/>
    <n v="4"/>
    <x v="1"/>
    <n v="60"/>
    <n v="4"/>
    <x v="1"/>
    <x v="1"/>
    <x v="1"/>
    <s v="Divorced"/>
    <n v="2328"/>
    <n v="12392"/>
    <n v="1"/>
    <s v="Y"/>
    <s v="Yes"/>
    <n v="16"/>
    <n v="3"/>
    <n v="1"/>
    <n v="80"/>
    <n v="1"/>
    <n v="4"/>
    <n v="2"/>
    <n v="2"/>
    <x v="9"/>
    <n v="2"/>
    <n v="2"/>
    <n v="2"/>
    <x v="1"/>
    <n v="0"/>
    <n v="0"/>
    <x v="1"/>
    <n v="1"/>
    <m/>
    <m/>
  </r>
  <r>
    <n v="36"/>
    <x v="1"/>
    <s v="Travel_Frequently"/>
    <n v="635"/>
    <s v="Research &amp; Development"/>
    <n v="18"/>
    <n v="1"/>
    <s v="Medical"/>
    <n v="1"/>
    <n v="286"/>
    <n v="2"/>
    <x v="0"/>
    <n v="73"/>
    <n v="3"/>
    <x v="1"/>
    <x v="2"/>
    <x v="0"/>
    <s v="Single"/>
    <n v="2153"/>
    <n v="7703"/>
    <n v="1"/>
    <s v="Y"/>
    <s v="No"/>
    <n v="13"/>
    <n v="3"/>
    <n v="1"/>
    <n v="80"/>
    <n v="0"/>
    <n v="8"/>
    <n v="2"/>
    <n v="3"/>
    <x v="3"/>
    <n v="1"/>
    <n v="1"/>
    <n v="7"/>
    <x v="1"/>
    <n v="0"/>
    <n v="0"/>
    <x v="1"/>
    <n v="1"/>
    <m/>
    <m/>
  </r>
  <r>
    <n v="40"/>
    <x v="1"/>
    <s v="Non-Travel"/>
    <n v="1151"/>
    <s v="Research &amp; Development"/>
    <n v="9"/>
    <n v="5"/>
    <s v="Life Sciences"/>
    <n v="1"/>
    <n v="287"/>
    <n v="4"/>
    <x v="1"/>
    <n v="63"/>
    <n v="2"/>
    <x v="0"/>
    <x v="4"/>
    <x v="0"/>
    <s v="Married"/>
    <n v="4876"/>
    <n v="14242"/>
    <n v="9"/>
    <s v="Y"/>
    <s v="No"/>
    <n v="14"/>
    <n v="3"/>
    <n v="4"/>
    <n v="80"/>
    <n v="1"/>
    <n v="5"/>
    <n v="5"/>
    <n v="1"/>
    <x v="11"/>
    <n v="2"/>
    <n v="0"/>
    <n v="2"/>
    <x v="3"/>
    <n v="0"/>
    <n v="0"/>
    <x v="0"/>
    <n v="1"/>
    <m/>
    <m/>
  </r>
  <r>
    <n v="46"/>
    <x v="1"/>
    <s v="Travel_Rarely"/>
    <n v="644"/>
    <s v="Research &amp; Development"/>
    <n v="1"/>
    <n v="4"/>
    <s v="Medical"/>
    <n v="1"/>
    <n v="288"/>
    <n v="4"/>
    <x v="1"/>
    <n v="97"/>
    <n v="3"/>
    <x v="2"/>
    <x v="4"/>
    <x v="3"/>
    <s v="Divorced"/>
    <n v="9396"/>
    <n v="12368"/>
    <n v="7"/>
    <s v="Y"/>
    <s v="No"/>
    <n v="16"/>
    <n v="3"/>
    <n v="3"/>
    <n v="80"/>
    <n v="1"/>
    <n v="17"/>
    <n v="3"/>
    <n v="3"/>
    <x v="9"/>
    <n v="2"/>
    <n v="0"/>
    <n v="3"/>
    <x v="3"/>
    <n v="0"/>
    <n v="0"/>
    <x v="2"/>
    <n v="1"/>
    <m/>
    <m/>
  </r>
  <r>
    <n v="32"/>
    <x v="0"/>
    <s v="Travel_Rarely"/>
    <n v="1045"/>
    <s v="Sales"/>
    <n v="4"/>
    <n v="4"/>
    <s v="Medical"/>
    <n v="1"/>
    <n v="291"/>
    <n v="4"/>
    <x v="1"/>
    <n v="32"/>
    <n v="1"/>
    <x v="2"/>
    <x v="0"/>
    <x v="0"/>
    <s v="Married"/>
    <n v="10400"/>
    <n v="25812"/>
    <n v="1"/>
    <s v="Y"/>
    <s v="No"/>
    <n v="11"/>
    <n v="3"/>
    <n v="3"/>
    <n v="80"/>
    <n v="0"/>
    <n v="14"/>
    <n v="2"/>
    <n v="2"/>
    <x v="13"/>
    <n v="8"/>
    <n v="9"/>
    <n v="8"/>
    <x v="0"/>
    <n v="1"/>
    <n v="187200"/>
    <x v="2"/>
    <n v="1"/>
    <m/>
    <m/>
  </r>
  <r>
    <n v="30"/>
    <x v="1"/>
    <s v="Non-Travel"/>
    <n v="829"/>
    <s v="Research &amp; Development"/>
    <n v="1"/>
    <n v="1"/>
    <s v="Life Sciences"/>
    <n v="1"/>
    <n v="292"/>
    <n v="3"/>
    <x v="1"/>
    <n v="88"/>
    <n v="2"/>
    <x v="2"/>
    <x v="3"/>
    <x v="2"/>
    <s v="Single"/>
    <n v="8474"/>
    <n v="20925"/>
    <n v="1"/>
    <s v="Y"/>
    <s v="No"/>
    <n v="22"/>
    <n v="4"/>
    <n v="3"/>
    <n v="80"/>
    <n v="0"/>
    <n v="12"/>
    <n v="2"/>
    <n v="3"/>
    <x v="19"/>
    <n v="8"/>
    <n v="5"/>
    <n v="8"/>
    <x v="2"/>
    <n v="0"/>
    <n v="0"/>
    <x v="4"/>
    <n v="1"/>
    <m/>
    <m/>
  </r>
  <r>
    <n v="27"/>
    <x v="1"/>
    <s v="Travel_Frequently"/>
    <n v="1242"/>
    <s v="Sales"/>
    <n v="20"/>
    <n v="3"/>
    <s v="Life Sciences"/>
    <n v="1"/>
    <n v="293"/>
    <n v="4"/>
    <x v="0"/>
    <n v="90"/>
    <n v="3"/>
    <x v="0"/>
    <x v="0"/>
    <x v="2"/>
    <s v="Single"/>
    <n v="9981"/>
    <n v="12916"/>
    <n v="1"/>
    <s v="Y"/>
    <s v="No"/>
    <n v="14"/>
    <n v="3"/>
    <n v="4"/>
    <n v="80"/>
    <n v="0"/>
    <n v="7"/>
    <n v="2"/>
    <n v="3"/>
    <x v="5"/>
    <n v="7"/>
    <n v="0"/>
    <n v="7"/>
    <x v="0"/>
    <n v="0"/>
    <n v="0"/>
    <x v="2"/>
    <n v="1"/>
    <m/>
    <m/>
  </r>
  <r>
    <n v="51"/>
    <x v="1"/>
    <s v="Travel_Rarely"/>
    <n v="1469"/>
    <s v="Research &amp; Development"/>
    <n v="8"/>
    <n v="4"/>
    <s v="Life Sciences"/>
    <n v="1"/>
    <n v="296"/>
    <n v="2"/>
    <x v="1"/>
    <n v="81"/>
    <n v="2"/>
    <x v="2"/>
    <x v="7"/>
    <x v="1"/>
    <s v="Married"/>
    <n v="12490"/>
    <n v="15736"/>
    <n v="5"/>
    <s v="Y"/>
    <s v="No"/>
    <n v="16"/>
    <n v="3"/>
    <n v="4"/>
    <n v="80"/>
    <n v="2"/>
    <n v="16"/>
    <n v="5"/>
    <n v="1"/>
    <x v="1"/>
    <n v="9"/>
    <n v="4"/>
    <n v="7"/>
    <x v="1"/>
    <n v="0"/>
    <n v="0"/>
    <x v="3"/>
    <n v="1"/>
    <m/>
    <m/>
  </r>
  <r>
    <n v="30"/>
    <x v="0"/>
    <s v="Travel_Rarely"/>
    <n v="1005"/>
    <s v="Research &amp; Development"/>
    <n v="3"/>
    <n v="3"/>
    <s v="Technical Degree"/>
    <n v="1"/>
    <n v="297"/>
    <n v="4"/>
    <x v="0"/>
    <n v="88"/>
    <n v="3"/>
    <x v="1"/>
    <x v="1"/>
    <x v="3"/>
    <s v="Single"/>
    <n v="2657"/>
    <n v="8556"/>
    <n v="5"/>
    <s v="Y"/>
    <s v="Yes"/>
    <n v="11"/>
    <n v="3"/>
    <n v="3"/>
    <n v="80"/>
    <n v="0"/>
    <n v="8"/>
    <n v="5"/>
    <n v="3"/>
    <x v="8"/>
    <n v="2"/>
    <n v="0"/>
    <n v="4"/>
    <x v="1"/>
    <n v="1"/>
    <n v="47826"/>
    <x v="1"/>
    <n v="1"/>
    <m/>
    <m/>
  </r>
  <r>
    <n v="41"/>
    <x v="1"/>
    <s v="Travel_Rarely"/>
    <n v="896"/>
    <s v="Sales"/>
    <n v="6"/>
    <n v="3"/>
    <s v="Life Sciences"/>
    <n v="1"/>
    <n v="298"/>
    <n v="4"/>
    <x v="0"/>
    <n v="75"/>
    <n v="3"/>
    <x v="2"/>
    <x v="5"/>
    <x v="0"/>
    <s v="Single"/>
    <n v="13591"/>
    <n v="14674"/>
    <n v="3"/>
    <s v="Y"/>
    <s v="Yes"/>
    <n v="18"/>
    <n v="3"/>
    <n v="3"/>
    <n v="80"/>
    <n v="0"/>
    <n v="16"/>
    <n v="3"/>
    <n v="3"/>
    <x v="6"/>
    <n v="0"/>
    <n v="0"/>
    <n v="0"/>
    <x v="4"/>
    <n v="0"/>
    <n v="0"/>
    <x v="3"/>
    <n v="1"/>
    <m/>
    <m/>
  </r>
  <r>
    <n v="30"/>
    <x v="0"/>
    <s v="Travel_Frequently"/>
    <n v="334"/>
    <s v="Sales"/>
    <n v="26"/>
    <n v="4"/>
    <s v="Marketing"/>
    <n v="1"/>
    <n v="299"/>
    <n v="3"/>
    <x v="0"/>
    <n v="52"/>
    <n v="2"/>
    <x v="0"/>
    <x v="0"/>
    <x v="3"/>
    <s v="Single"/>
    <n v="6696"/>
    <n v="22967"/>
    <n v="5"/>
    <s v="Y"/>
    <s v="No"/>
    <n v="15"/>
    <n v="3"/>
    <n v="3"/>
    <n v="80"/>
    <n v="0"/>
    <n v="9"/>
    <n v="5"/>
    <n v="2"/>
    <x v="0"/>
    <n v="3"/>
    <n v="0"/>
    <n v="1"/>
    <x v="0"/>
    <n v="1"/>
    <n v="120528"/>
    <x v="4"/>
    <n v="1"/>
    <m/>
    <m/>
  </r>
  <r>
    <n v="29"/>
    <x v="0"/>
    <s v="Travel_Rarely"/>
    <n v="992"/>
    <s v="Research &amp; Development"/>
    <n v="1"/>
    <n v="3"/>
    <s v="Technical Degree"/>
    <n v="1"/>
    <n v="300"/>
    <n v="3"/>
    <x v="1"/>
    <n v="85"/>
    <n v="3"/>
    <x v="1"/>
    <x v="1"/>
    <x v="2"/>
    <s v="Single"/>
    <n v="2058"/>
    <n v="19757"/>
    <n v="0"/>
    <s v="Y"/>
    <s v="No"/>
    <n v="14"/>
    <n v="3"/>
    <n v="4"/>
    <n v="80"/>
    <n v="0"/>
    <n v="7"/>
    <n v="1"/>
    <n v="2"/>
    <x v="0"/>
    <n v="2"/>
    <n v="1"/>
    <n v="5"/>
    <x v="1"/>
    <n v="1"/>
    <n v="37044"/>
    <x v="1"/>
    <n v="1"/>
    <m/>
    <m/>
  </r>
  <r>
    <n v="45"/>
    <x v="1"/>
    <s v="Non-Travel"/>
    <n v="1052"/>
    <s v="Sales"/>
    <n v="6"/>
    <n v="3"/>
    <s v="Medical"/>
    <n v="1"/>
    <n v="302"/>
    <n v="4"/>
    <x v="0"/>
    <n v="57"/>
    <n v="2"/>
    <x v="2"/>
    <x v="0"/>
    <x v="0"/>
    <s v="Single"/>
    <n v="8865"/>
    <n v="16840"/>
    <n v="6"/>
    <s v="Y"/>
    <s v="No"/>
    <n v="12"/>
    <n v="3"/>
    <n v="4"/>
    <n v="80"/>
    <n v="0"/>
    <n v="23"/>
    <n v="2"/>
    <n v="3"/>
    <x v="27"/>
    <n v="7"/>
    <n v="12"/>
    <n v="8"/>
    <x v="0"/>
    <n v="0"/>
    <n v="0"/>
    <x v="4"/>
    <n v="1"/>
    <m/>
    <m/>
  </r>
  <r>
    <n v="54"/>
    <x v="1"/>
    <s v="Travel_Rarely"/>
    <n v="1147"/>
    <s v="Sales"/>
    <n v="3"/>
    <n v="3"/>
    <s v="Marketing"/>
    <n v="1"/>
    <n v="303"/>
    <n v="4"/>
    <x v="0"/>
    <n v="52"/>
    <n v="3"/>
    <x v="0"/>
    <x v="0"/>
    <x v="3"/>
    <s v="Married"/>
    <n v="5940"/>
    <n v="17011"/>
    <n v="2"/>
    <s v="Y"/>
    <s v="No"/>
    <n v="14"/>
    <n v="3"/>
    <n v="4"/>
    <n v="80"/>
    <n v="1"/>
    <n v="16"/>
    <n v="4"/>
    <n v="3"/>
    <x v="0"/>
    <n v="2"/>
    <n v="0"/>
    <n v="5"/>
    <x v="0"/>
    <n v="0"/>
    <n v="0"/>
    <x v="0"/>
    <n v="1"/>
    <m/>
    <m/>
  </r>
  <r>
    <n v="36"/>
    <x v="1"/>
    <s v="Travel_Rarely"/>
    <n v="1396"/>
    <s v="Research &amp; Development"/>
    <n v="5"/>
    <n v="2"/>
    <s v="Life Sciences"/>
    <n v="1"/>
    <n v="304"/>
    <n v="4"/>
    <x v="1"/>
    <n v="62"/>
    <n v="3"/>
    <x v="0"/>
    <x v="2"/>
    <x v="1"/>
    <s v="Single"/>
    <n v="5914"/>
    <n v="9945"/>
    <n v="8"/>
    <s v="Y"/>
    <s v="No"/>
    <n v="16"/>
    <n v="3"/>
    <n v="4"/>
    <n v="80"/>
    <n v="0"/>
    <n v="16"/>
    <n v="3"/>
    <n v="4"/>
    <x v="20"/>
    <n v="11"/>
    <n v="3"/>
    <n v="7"/>
    <x v="1"/>
    <n v="0"/>
    <n v="0"/>
    <x v="0"/>
    <n v="1"/>
    <m/>
    <m/>
  </r>
  <r>
    <n v="33"/>
    <x v="1"/>
    <s v="Travel_Rarely"/>
    <n v="147"/>
    <s v="Research &amp; Development"/>
    <n v="4"/>
    <n v="4"/>
    <s v="Medical"/>
    <n v="1"/>
    <n v="305"/>
    <n v="3"/>
    <x v="0"/>
    <n v="47"/>
    <n v="2"/>
    <x v="1"/>
    <x v="1"/>
    <x v="1"/>
    <s v="Married"/>
    <n v="2622"/>
    <n v="13248"/>
    <n v="6"/>
    <s v="Y"/>
    <s v="No"/>
    <n v="21"/>
    <n v="4"/>
    <n v="4"/>
    <n v="80"/>
    <n v="0"/>
    <n v="7"/>
    <n v="3"/>
    <n v="3"/>
    <x v="11"/>
    <n v="2"/>
    <n v="1"/>
    <n v="1"/>
    <x v="1"/>
    <n v="0"/>
    <n v="0"/>
    <x v="1"/>
    <n v="1"/>
    <m/>
    <m/>
  </r>
  <r>
    <n v="37"/>
    <x v="1"/>
    <s v="Travel_Frequently"/>
    <n v="663"/>
    <s v="Research &amp; Development"/>
    <n v="11"/>
    <n v="3"/>
    <s v="Other"/>
    <n v="1"/>
    <n v="306"/>
    <n v="2"/>
    <x v="1"/>
    <n v="47"/>
    <n v="3"/>
    <x v="2"/>
    <x v="7"/>
    <x v="0"/>
    <s v="Divorced"/>
    <n v="12185"/>
    <n v="10056"/>
    <n v="1"/>
    <s v="Y"/>
    <s v="Yes"/>
    <n v="14"/>
    <n v="3"/>
    <n v="3"/>
    <n v="80"/>
    <n v="3"/>
    <n v="10"/>
    <n v="1"/>
    <n v="3"/>
    <x v="1"/>
    <n v="8"/>
    <n v="0"/>
    <n v="7"/>
    <x v="1"/>
    <n v="0"/>
    <n v="0"/>
    <x v="3"/>
    <n v="1"/>
    <m/>
    <m/>
  </r>
  <r>
    <n v="38"/>
    <x v="1"/>
    <s v="Travel_Rarely"/>
    <n v="119"/>
    <s v="Sales"/>
    <n v="3"/>
    <n v="3"/>
    <s v="Life Sciences"/>
    <n v="1"/>
    <n v="307"/>
    <n v="1"/>
    <x v="1"/>
    <n v="76"/>
    <n v="3"/>
    <x v="2"/>
    <x v="0"/>
    <x v="2"/>
    <s v="Divorced"/>
    <n v="10609"/>
    <n v="9647"/>
    <n v="0"/>
    <s v="Y"/>
    <s v="No"/>
    <n v="12"/>
    <n v="3"/>
    <n v="3"/>
    <n v="80"/>
    <n v="2"/>
    <n v="17"/>
    <n v="6"/>
    <n v="2"/>
    <x v="22"/>
    <n v="10"/>
    <n v="5"/>
    <n v="13"/>
    <x v="0"/>
    <n v="0"/>
    <n v="0"/>
    <x v="2"/>
    <n v="1"/>
    <m/>
    <m/>
  </r>
  <r>
    <n v="31"/>
    <x v="1"/>
    <s v="Non-Travel"/>
    <n v="979"/>
    <s v="Research &amp; Development"/>
    <n v="1"/>
    <n v="4"/>
    <s v="Medical"/>
    <n v="1"/>
    <n v="308"/>
    <n v="3"/>
    <x v="1"/>
    <n v="90"/>
    <n v="1"/>
    <x v="0"/>
    <x v="3"/>
    <x v="2"/>
    <s v="Married"/>
    <n v="4345"/>
    <n v="4381"/>
    <n v="0"/>
    <s v="Y"/>
    <s v="No"/>
    <n v="12"/>
    <n v="3"/>
    <n v="4"/>
    <n v="80"/>
    <n v="1"/>
    <n v="6"/>
    <n v="2"/>
    <n v="3"/>
    <x v="8"/>
    <n v="4"/>
    <n v="1"/>
    <n v="4"/>
    <x v="2"/>
    <n v="0"/>
    <n v="0"/>
    <x v="0"/>
    <n v="1"/>
    <m/>
    <m/>
  </r>
  <r>
    <n v="59"/>
    <x v="1"/>
    <s v="Travel_Rarely"/>
    <n v="142"/>
    <s v="Research &amp; Development"/>
    <n v="3"/>
    <n v="3"/>
    <s v="Life Sciences"/>
    <n v="1"/>
    <n v="309"/>
    <n v="3"/>
    <x v="1"/>
    <n v="70"/>
    <n v="2"/>
    <x v="1"/>
    <x v="1"/>
    <x v="0"/>
    <s v="Married"/>
    <n v="2177"/>
    <n v="8456"/>
    <n v="3"/>
    <s v="Y"/>
    <s v="No"/>
    <n v="17"/>
    <n v="3"/>
    <n v="1"/>
    <n v="80"/>
    <n v="1"/>
    <n v="7"/>
    <n v="6"/>
    <n v="3"/>
    <x v="6"/>
    <n v="0"/>
    <n v="0"/>
    <n v="0"/>
    <x v="1"/>
    <n v="0"/>
    <n v="0"/>
    <x v="1"/>
    <n v="1"/>
    <m/>
    <m/>
  </r>
  <r>
    <n v="37"/>
    <x v="1"/>
    <s v="Travel_Frequently"/>
    <n v="319"/>
    <s v="Sales"/>
    <n v="4"/>
    <n v="4"/>
    <s v="Marketing"/>
    <n v="1"/>
    <n v="311"/>
    <n v="1"/>
    <x v="1"/>
    <n v="41"/>
    <n v="3"/>
    <x v="1"/>
    <x v="6"/>
    <x v="0"/>
    <s v="Divorced"/>
    <n v="2793"/>
    <n v="2539"/>
    <n v="4"/>
    <s v="Y"/>
    <s v="No"/>
    <n v="17"/>
    <n v="3"/>
    <n v="3"/>
    <n v="80"/>
    <n v="1"/>
    <n v="13"/>
    <n v="2"/>
    <n v="3"/>
    <x v="7"/>
    <n v="8"/>
    <n v="5"/>
    <n v="8"/>
    <x v="0"/>
    <n v="0"/>
    <n v="0"/>
    <x v="1"/>
    <n v="1"/>
    <m/>
    <m/>
  </r>
  <r>
    <n v="29"/>
    <x v="1"/>
    <s v="Travel_Frequently"/>
    <n v="1413"/>
    <s v="Sales"/>
    <n v="1"/>
    <n v="1"/>
    <s v="Medical"/>
    <n v="1"/>
    <n v="312"/>
    <n v="2"/>
    <x v="0"/>
    <n v="42"/>
    <n v="3"/>
    <x v="2"/>
    <x v="0"/>
    <x v="0"/>
    <s v="Married"/>
    <n v="7918"/>
    <n v="6599"/>
    <n v="1"/>
    <s v="Y"/>
    <s v="No"/>
    <n v="14"/>
    <n v="3"/>
    <n v="4"/>
    <n v="80"/>
    <n v="1"/>
    <n v="11"/>
    <n v="5"/>
    <n v="3"/>
    <x v="19"/>
    <n v="10"/>
    <n v="4"/>
    <n v="1"/>
    <x v="0"/>
    <n v="0"/>
    <n v="0"/>
    <x v="4"/>
    <n v="1"/>
    <m/>
    <m/>
  </r>
  <r>
    <n v="35"/>
    <x v="1"/>
    <s v="Travel_Frequently"/>
    <n v="944"/>
    <s v="Sales"/>
    <n v="1"/>
    <n v="3"/>
    <s v="Marketing"/>
    <n v="1"/>
    <n v="314"/>
    <n v="3"/>
    <x v="0"/>
    <n v="92"/>
    <n v="3"/>
    <x v="2"/>
    <x v="0"/>
    <x v="2"/>
    <s v="Single"/>
    <n v="8789"/>
    <n v="9096"/>
    <n v="1"/>
    <s v="Y"/>
    <s v="No"/>
    <n v="14"/>
    <n v="3"/>
    <n v="1"/>
    <n v="80"/>
    <n v="0"/>
    <n v="10"/>
    <n v="3"/>
    <n v="4"/>
    <x v="1"/>
    <n v="7"/>
    <n v="0"/>
    <n v="8"/>
    <x v="0"/>
    <n v="0"/>
    <n v="0"/>
    <x v="4"/>
    <n v="1"/>
    <m/>
    <m/>
  </r>
  <r>
    <n v="29"/>
    <x v="0"/>
    <s v="Travel_Rarely"/>
    <n v="896"/>
    <s v="Research &amp; Development"/>
    <n v="18"/>
    <n v="1"/>
    <s v="Medical"/>
    <n v="1"/>
    <n v="315"/>
    <n v="3"/>
    <x v="1"/>
    <n v="86"/>
    <n v="2"/>
    <x v="1"/>
    <x v="1"/>
    <x v="0"/>
    <s v="Single"/>
    <n v="2389"/>
    <n v="14961"/>
    <n v="1"/>
    <s v="Y"/>
    <s v="Yes"/>
    <n v="13"/>
    <n v="3"/>
    <n v="3"/>
    <n v="80"/>
    <n v="0"/>
    <n v="4"/>
    <n v="3"/>
    <n v="2"/>
    <x v="9"/>
    <n v="3"/>
    <n v="0"/>
    <n v="1"/>
    <x v="1"/>
    <n v="1"/>
    <n v="43002"/>
    <x v="1"/>
    <n v="1"/>
    <m/>
    <m/>
  </r>
  <r>
    <n v="52"/>
    <x v="1"/>
    <s v="Travel_Rarely"/>
    <n v="1323"/>
    <s v="Research &amp; Development"/>
    <n v="2"/>
    <n v="3"/>
    <s v="Life Sciences"/>
    <n v="1"/>
    <n v="316"/>
    <n v="3"/>
    <x v="0"/>
    <n v="89"/>
    <n v="2"/>
    <x v="1"/>
    <x v="2"/>
    <x v="0"/>
    <s v="Single"/>
    <n v="3212"/>
    <n v="3300"/>
    <n v="7"/>
    <s v="Y"/>
    <s v="No"/>
    <n v="15"/>
    <n v="3"/>
    <n v="2"/>
    <n v="80"/>
    <n v="0"/>
    <n v="6"/>
    <n v="3"/>
    <n v="2"/>
    <x v="4"/>
    <n v="2"/>
    <n v="2"/>
    <n v="2"/>
    <x v="1"/>
    <n v="0"/>
    <n v="0"/>
    <x v="0"/>
    <n v="1"/>
    <m/>
    <m/>
  </r>
  <r>
    <n v="42"/>
    <x v="1"/>
    <s v="Travel_Rarely"/>
    <n v="532"/>
    <s v="Research &amp; Development"/>
    <n v="4"/>
    <n v="2"/>
    <s v="Technical Degree"/>
    <n v="1"/>
    <n v="319"/>
    <n v="3"/>
    <x v="1"/>
    <n v="58"/>
    <n v="3"/>
    <x v="4"/>
    <x v="5"/>
    <x v="0"/>
    <s v="Married"/>
    <n v="19232"/>
    <n v="4933"/>
    <n v="1"/>
    <s v="Y"/>
    <s v="No"/>
    <n v="11"/>
    <n v="3"/>
    <n v="4"/>
    <n v="80"/>
    <n v="0"/>
    <n v="22"/>
    <n v="3"/>
    <n v="3"/>
    <x v="14"/>
    <n v="17"/>
    <n v="11"/>
    <n v="15"/>
    <x v="4"/>
    <n v="0"/>
    <n v="0"/>
    <x v="3"/>
    <n v="1"/>
    <m/>
    <m/>
  </r>
  <r>
    <n v="59"/>
    <x v="1"/>
    <s v="Travel_Rarely"/>
    <n v="818"/>
    <s v="Human Resources"/>
    <n v="6"/>
    <n v="2"/>
    <s v="Medical"/>
    <n v="1"/>
    <n v="321"/>
    <n v="2"/>
    <x v="1"/>
    <n v="52"/>
    <n v="3"/>
    <x v="1"/>
    <x v="8"/>
    <x v="2"/>
    <s v="Married"/>
    <n v="2267"/>
    <n v="25657"/>
    <n v="8"/>
    <s v="Y"/>
    <s v="No"/>
    <n v="17"/>
    <n v="3"/>
    <n v="4"/>
    <n v="80"/>
    <n v="0"/>
    <n v="7"/>
    <n v="2"/>
    <n v="2"/>
    <x v="4"/>
    <n v="2"/>
    <n v="2"/>
    <n v="2"/>
    <x v="5"/>
    <n v="0"/>
    <n v="0"/>
    <x v="1"/>
    <n v="1"/>
    <m/>
    <m/>
  </r>
  <r>
    <n v="50"/>
    <x v="1"/>
    <s v="Travel_Rarely"/>
    <n v="854"/>
    <s v="Sales"/>
    <n v="1"/>
    <n v="4"/>
    <s v="Medical"/>
    <n v="1"/>
    <n v="323"/>
    <n v="4"/>
    <x v="0"/>
    <n v="68"/>
    <n v="3"/>
    <x v="4"/>
    <x v="5"/>
    <x v="0"/>
    <s v="Divorced"/>
    <n v="19517"/>
    <n v="24118"/>
    <n v="3"/>
    <s v="Y"/>
    <s v="No"/>
    <n v="11"/>
    <n v="3"/>
    <n v="3"/>
    <n v="80"/>
    <n v="1"/>
    <n v="32"/>
    <n v="3"/>
    <n v="2"/>
    <x v="5"/>
    <n v="0"/>
    <n v="0"/>
    <n v="6"/>
    <x v="4"/>
    <n v="0"/>
    <n v="0"/>
    <x v="3"/>
    <n v="1"/>
    <m/>
    <m/>
  </r>
  <r>
    <n v="33"/>
    <x v="0"/>
    <s v="Travel_Rarely"/>
    <n v="813"/>
    <s v="Research &amp; Development"/>
    <n v="14"/>
    <n v="3"/>
    <s v="Medical"/>
    <n v="1"/>
    <n v="325"/>
    <n v="3"/>
    <x v="1"/>
    <n v="58"/>
    <n v="3"/>
    <x v="1"/>
    <x v="2"/>
    <x v="0"/>
    <s v="Married"/>
    <n v="2436"/>
    <n v="22149"/>
    <n v="5"/>
    <s v="Y"/>
    <s v="Yes"/>
    <n v="13"/>
    <n v="3"/>
    <n v="3"/>
    <n v="80"/>
    <n v="1"/>
    <n v="8"/>
    <n v="2"/>
    <n v="1"/>
    <x v="8"/>
    <n v="4"/>
    <n v="0"/>
    <n v="4"/>
    <x v="1"/>
    <n v="1"/>
    <n v="43848"/>
    <x v="1"/>
    <n v="1"/>
    <m/>
    <m/>
  </r>
  <r>
    <n v="43"/>
    <x v="1"/>
    <s v="Travel_Rarely"/>
    <n v="1034"/>
    <s v="Sales"/>
    <n v="16"/>
    <n v="3"/>
    <s v="Marketing"/>
    <n v="1"/>
    <n v="327"/>
    <n v="4"/>
    <x v="0"/>
    <n v="80"/>
    <n v="3"/>
    <x v="3"/>
    <x v="5"/>
    <x v="0"/>
    <s v="Married"/>
    <n v="16064"/>
    <n v="7744"/>
    <n v="5"/>
    <s v="Y"/>
    <s v="Yes"/>
    <n v="22"/>
    <n v="4"/>
    <n v="3"/>
    <n v="80"/>
    <n v="1"/>
    <n v="22"/>
    <n v="3"/>
    <n v="3"/>
    <x v="18"/>
    <n v="13"/>
    <n v="1"/>
    <n v="9"/>
    <x v="4"/>
    <n v="0"/>
    <n v="0"/>
    <x v="3"/>
    <n v="1"/>
    <m/>
    <m/>
  </r>
  <r>
    <n v="33"/>
    <x v="0"/>
    <s v="Travel_Rarely"/>
    <n v="465"/>
    <s v="Research &amp; Development"/>
    <n v="2"/>
    <n v="2"/>
    <s v="Life Sciences"/>
    <n v="1"/>
    <n v="328"/>
    <n v="1"/>
    <x v="0"/>
    <n v="39"/>
    <n v="3"/>
    <x v="1"/>
    <x v="2"/>
    <x v="3"/>
    <s v="Married"/>
    <n v="2707"/>
    <n v="21509"/>
    <n v="7"/>
    <s v="Y"/>
    <s v="No"/>
    <n v="20"/>
    <n v="4"/>
    <n v="1"/>
    <n v="80"/>
    <n v="0"/>
    <n v="13"/>
    <n v="3"/>
    <n v="4"/>
    <x v="7"/>
    <n v="7"/>
    <n v="1"/>
    <n v="7"/>
    <x v="1"/>
    <n v="1"/>
    <n v="48726"/>
    <x v="1"/>
    <n v="1"/>
    <m/>
    <m/>
  </r>
  <r>
    <n v="52"/>
    <x v="1"/>
    <s v="Non-Travel"/>
    <n v="771"/>
    <s v="Sales"/>
    <n v="2"/>
    <n v="4"/>
    <s v="Life Sciences"/>
    <n v="1"/>
    <n v="329"/>
    <n v="1"/>
    <x v="1"/>
    <n v="79"/>
    <n v="2"/>
    <x v="4"/>
    <x v="5"/>
    <x v="2"/>
    <s v="Single"/>
    <n v="19068"/>
    <n v="21030"/>
    <n v="1"/>
    <s v="Y"/>
    <s v="Yes"/>
    <n v="18"/>
    <n v="3"/>
    <n v="4"/>
    <n v="80"/>
    <n v="0"/>
    <n v="33"/>
    <n v="2"/>
    <n v="4"/>
    <x v="26"/>
    <n v="7"/>
    <n v="15"/>
    <n v="12"/>
    <x v="4"/>
    <n v="0"/>
    <n v="0"/>
    <x v="3"/>
    <n v="1"/>
    <m/>
    <m/>
  </r>
  <r>
    <n v="32"/>
    <x v="1"/>
    <s v="Travel_Rarely"/>
    <n v="1401"/>
    <s v="Sales"/>
    <n v="4"/>
    <n v="2"/>
    <s v="Life Sciences"/>
    <n v="1"/>
    <n v="330"/>
    <n v="3"/>
    <x v="0"/>
    <n v="56"/>
    <n v="3"/>
    <x v="1"/>
    <x v="6"/>
    <x v="1"/>
    <s v="Married"/>
    <n v="3931"/>
    <n v="20990"/>
    <n v="2"/>
    <s v="Y"/>
    <s v="No"/>
    <n v="11"/>
    <n v="3"/>
    <n v="1"/>
    <n v="80"/>
    <n v="1"/>
    <n v="6"/>
    <n v="5"/>
    <n v="3"/>
    <x v="9"/>
    <n v="3"/>
    <n v="1"/>
    <n v="2"/>
    <x v="0"/>
    <n v="0"/>
    <n v="0"/>
    <x v="0"/>
    <n v="1"/>
    <m/>
    <m/>
  </r>
  <r>
    <n v="32"/>
    <x v="0"/>
    <s v="Travel_Rarely"/>
    <n v="515"/>
    <s v="Research &amp; Development"/>
    <n v="1"/>
    <n v="3"/>
    <s v="Life Sciences"/>
    <n v="1"/>
    <n v="331"/>
    <n v="4"/>
    <x v="1"/>
    <n v="62"/>
    <n v="2"/>
    <x v="1"/>
    <x v="2"/>
    <x v="2"/>
    <s v="Single"/>
    <n v="3730"/>
    <n v="9571"/>
    <n v="0"/>
    <s v="Y"/>
    <s v="Yes"/>
    <n v="14"/>
    <n v="3"/>
    <n v="4"/>
    <n v="80"/>
    <n v="0"/>
    <n v="4"/>
    <n v="2"/>
    <n v="1"/>
    <x v="11"/>
    <n v="2"/>
    <n v="1"/>
    <n v="2"/>
    <x v="1"/>
    <n v="1"/>
    <n v="67140"/>
    <x v="0"/>
    <n v="1"/>
    <m/>
    <m/>
  </r>
  <r>
    <n v="39"/>
    <x v="1"/>
    <s v="Travel_Rarely"/>
    <n v="1431"/>
    <s v="Research &amp; Development"/>
    <n v="1"/>
    <n v="4"/>
    <s v="Medical"/>
    <n v="1"/>
    <n v="332"/>
    <n v="3"/>
    <x v="0"/>
    <n v="96"/>
    <n v="3"/>
    <x v="1"/>
    <x v="2"/>
    <x v="2"/>
    <s v="Divorced"/>
    <n v="2232"/>
    <n v="15417"/>
    <n v="7"/>
    <s v="Y"/>
    <s v="No"/>
    <n v="14"/>
    <n v="3"/>
    <n v="3"/>
    <n v="80"/>
    <n v="3"/>
    <n v="7"/>
    <n v="1"/>
    <n v="3"/>
    <x v="11"/>
    <n v="2"/>
    <n v="1"/>
    <n v="2"/>
    <x v="1"/>
    <n v="0"/>
    <n v="0"/>
    <x v="1"/>
    <n v="1"/>
    <m/>
    <m/>
  </r>
  <r>
    <n v="32"/>
    <x v="1"/>
    <s v="Non-Travel"/>
    <n v="976"/>
    <s v="Sales"/>
    <n v="26"/>
    <n v="4"/>
    <s v="Marketing"/>
    <n v="1"/>
    <n v="333"/>
    <n v="3"/>
    <x v="1"/>
    <n v="100"/>
    <n v="3"/>
    <x v="0"/>
    <x v="0"/>
    <x v="0"/>
    <s v="Married"/>
    <n v="4465"/>
    <n v="12069"/>
    <n v="0"/>
    <s v="Y"/>
    <s v="No"/>
    <n v="18"/>
    <n v="3"/>
    <n v="1"/>
    <n v="80"/>
    <n v="0"/>
    <n v="4"/>
    <n v="2"/>
    <n v="3"/>
    <x v="11"/>
    <n v="2"/>
    <n v="2"/>
    <n v="2"/>
    <x v="0"/>
    <n v="0"/>
    <n v="0"/>
    <x v="0"/>
    <n v="1"/>
    <m/>
    <m/>
  </r>
  <r>
    <n v="41"/>
    <x v="1"/>
    <s v="Travel_Rarely"/>
    <n v="1411"/>
    <s v="Research &amp; Development"/>
    <n v="19"/>
    <n v="2"/>
    <s v="Life Sciences"/>
    <n v="1"/>
    <n v="334"/>
    <n v="3"/>
    <x v="1"/>
    <n v="36"/>
    <n v="3"/>
    <x v="0"/>
    <x v="1"/>
    <x v="3"/>
    <s v="Divorced"/>
    <n v="3072"/>
    <n v="19877"/>
    <n v="2"/>
    <s v="Y"/>
    <s v="No"/>
    <n v="16"/>
    <n v="3"/>
    <n v="1"/>
    <n v="80"/>
    <n v="2"/>
    <n v="17"/>
    <n v="2"/>
    <n v="2"/>
    <x v="6"/>
    <n v="0"/>
    <n v="0"/>
    <n v="0"/>
    <x v="1"/>
    <n v="0"/>
    <n v="0"/>
    <x v="0"/>
    <n v="1"/>
    <m/>
    <m/>
  </r>
  <r>
    <n v="40"/>
    <x v="1"/>
    <s v="Travel_Rarely"/>
    <n v="1300"/>
    <s v="Research &amp; Development"/>
    <n v="24"/>
    <n v="2"/>
    <s v="Technical Degree"/>
    <n v="1"/>
    <n v="335"/>
    <n v="1"/>
    <x v="1"/>
    <n v="62"/>
    <n v="3"/>
    <x v="0"/>
    <x v="1"/>
    <x v="0"/>
    <s v="Divorced"/>
    <n v="3319"/>
    <n v="24447"/>
    <n v="1"/>
    <s v="Y"/>
    <s v="No"/>
    <n v="17"/>
    <n v="3"/>
    <n v="1"/>
    <n v="80"/>
    <n v="2"/>
    <n v="9"/>
    <n v="3"/>
    <n v="3"/>
    <x v="7"/>
    <n v="8"/>
    <n v="4"/>
    <n v="7"/>
    <x v="1"/>
    <n v="0"/>
    <n v="0"/>
    <x v="0"/>
    <n v="1"/>
    <m/>
    <m/>
  </r>
  <r>
    <n v="45"/>
    <x v="1"/>
    <s v="Travel_Rarely"/>
    <n v="252"/>
    <s v="Research &amp; Development"/>
    <n v="1"/>
    <n v="3"/>
    <s v="Other"/>
    <n v="1"/>
    <n v="336"/>
    <n v="3"/>
    <x v="1"/>
    <n v="70"/>
    <n v="4"/>
    <x v="4"/>
    <x v="5"/>
    <x v="0"/>
    <s v="Married"/>
    <n v="19202"/>
    <n v="15970"/>
    <n v="0"/>
    <s v="Y"/>
    <s v="No"/>
    <n v="11"/>
    <n v="3"/>
    <n v="3"/>
    <n v="80"/>
    <n v="1"/>
    <n v="25"/>
    <n v="2"/>
    <n v="3"/>
    <x v="25"/>
    <n v="0"/>
    <n v="1"/>
    <n v="7"/>
    <x v="4"/>
    <n v="0"/>
    <n v="0"/>
    <x v="3"/>
    <n v="1"/>
    <m/>
    <m/>
  </r>
  <r>
    <n v="31"/>
    <x v="1"/>
    <s v="Travel_Frequently"/>
    <n v="1327"/>
    <s v="Research &amp; Development"/>
    <n v="3"/>
    <n v="4"/>
    <s v="Medical"/>
    <n v="1"/>
    <n v="337"/>
    <n v="2"/>
    <x v="1"/>
    <n v="73"/>
    <n v="3"/>
    <x v="2"/>
    <x v="7"/>
    <x v="2"/>
    <s v="Divorced"/>
    <n v="13675"/>
    <n v="13523"/>
    <n v="9"/>
    <s v="Y"/>
    <s v="No"/>
    <n v="12"/>
    <n v="3"/>
    <n v="1"/>
    <n v="80"/>
    <n v="1"/>
    <n v="9"/>
    <n v="3"/>
    <n v="3"/>
    <x v="4"/>
    <n v="2"/>
    <n v="2"/>
    <n v="2"/>
    <x v="1"/>
    <n v="0"/>
    <n v="0"/>
    <x v="3"/>
    <n v="1"/>
    <m/>
    <m/>
  </r>
  <r>
    <n v="33"/>
    <x v="1"/>
    <s v="Travel_Rarely"/>
    <n v="832"/>
    <s v="Research &amp; Development"/>
    <n v="5"/>
    <n v="4"/>
    <s v="Life Sciences"/>
    <n v="1"/>
    <n v="338"/>
    <n v="3"/>
    <x v="0"/>
    <n v="63"/>
    <n v="2"/>
    <x v="1"/>
    <x v="1"/>
    <x v="0"/>
    <s v="Married"/>
    <n v="2911"/>
    <n v="14776"/>
    <n v="1"/>
    <s v="Y"/>
    <s v="No"/>
    <n v="13"/>
    <n v="3"/>
    <n v="3"/>
    <n v="80"/>
    <n v="1"/>
    <n v="2"/>
    <n v="2"/>
    <n v="2"/>
    <x v="4"/>
    <n v="2"/>
    <n v="0"/>
    <n v="2"/>
    <x v="1"/>
    <n v="0"/>
    <n v="0"/>
    <x v="1"/>
    <n v="1"/>
    <m/>
    <m/>
  </r>
  <r>
    <n v="34"/>
    <x v="1"/>
    <s v="Travel_Rarely"/>
    <n v="470"/>
    <s v="Research &amp; Development"/>
    <n v="2"/>
    <n v="4"/>
    <s v="Life Sciences"/>
    <n v="1"/>
    <n v="339"/>
    <n v="4"/>
    <x v="1"/>
    <n v="84"/>
    <n v="2"/>
    <x v="0"/>
    <x v="3"/>
    <x v="3"/>
    <s v="Married"/>
    <n v="5957"/>
    <n v="23687"/>
    <n v="6"/>
    <s v="Y"/>
    <s v="No"/>
    <n v="13"/>
    <n v="3"/>
    <n v="2"/>
    <n v="80"/>
    <n v="1"/>
    <n v="13"/>
    <n v="3"/>
    <n v="3"/>
    <x v="19"/>
    <n v="9"/>
    <n v="5"/>
    <n v="9"/>
    <x v="2"/>
    <n v="0"/>
    <n v="0"/>
    <x v="0"/>
    <n v="1"/>
    <m/>
    <m/>
  </r>
  <r>
    <n v="37"/>
    <x v="1"/>
    <s v="Travel_Rarely"/>
    <n v="1017"/>
    <s v="Research &amp; Development"/>
    <n v="1"/>
    <n v="2"/>
    <s v="Medical"/>
    <n v="1"/>
    <n v="340"/>
    <n v="3"/>
    <x v="0"/>
    <n v="83"/>
    <n v="2"/>
    <x v="1"/>
    <x v="1"/>
    <x v="3"/>
    <s v="Married"/>
    <n v="3920"/>
    <n v="18697"/>
    <n v="2"/>
    <s v="Y"/>
    <s v="No"/>
    <n v="14"/>
    <n v="3"/>
    <n v="1"/>
    <n v="80"/>
    <n v="1"/>
    <n v="17"/>
    <n v="2"/>
    <n v="2"/>
    <x v="11"/>
    <n v="1"/>
    <n v="0"/>
    <n v="2"/>
    <x v="1"/>
    <n v="0"/>
    <n v="0"/>
    <x v="0"/>
    <n v="1"/>
    <m/>
    <m/>
  </r>
  <r>
    <n v="45"/>
    <x v="1"/>
    <s v="Travel_Frequently"/>
    <n v="1199"/>
    <s v="Research &amp; Development"/>
    <n v="7"/>
    <n v="4"/>
    <s v="Life Sciences"/>
    <n v="1"/>
    <n v="341"/>
    <n v="1"/>
    <x v="1"/>
    <n v="77"/>
    <n v="4"/>
    <x v="0"/>
    <x v="3"/>
    <x v="2"/>
    <s v="Married"/>
    <n v="6434"/>
    <n v="5118"/>
    <n v="4"/>
    <s v="Y"/>
    <s v="No"/>
    <n v="17"/>
    <n v="3"/>
    <n v="4"/>
    <n v="80"/>
    <n v="1"/>
    <n v="9"/>
    <n v="1"/>
    <n v="3"/>
    <x v="11"/>
    <n v="2"/>
    <n v="0"/>
    <n v="2"/>
    <x v="2"/>
    <n v="0"/>
    <n v="0"/>
    <x v="4"/>
    <n v="1"/>
    <m/>
    <m/>
  </r>
  <r>
    <n v="37"/>
    <x v="0"/>
    <s v="Travel_Frequently"/>
    <n v="504"/>
    <s v="Research &amp; Development"/>
    <n v="10"/>
    <n v="3"/>
    <s v="Medical"/>
    <n v="1"/>
    <n v="342"/>
    <n v="1"/>
    <x v="1"/>
    <n v="61"/>
    <n v="3"/>
    <x v="2"/>
    <x v="3"/>
    <x v="2"/>
    <s v="Divorced"/>
    <n v="10048"/>
    <n v="22573"/>
    <n v="6"/>
    <s v="Y"/>
    <s v="No"/>
    <n v="11"/>
    <n v="3"/>
    <n v="2"/>
    <n v="80"/>
    <n v="2"/>
    <n v="17"/>
    <n v="5"/>
    <n v="3"/>
    <x v="6"/>
    <n v="0"/>
    <n v="0"/>
    <n v="0"/>
    <x v="2"/>
    <n v="1"/>
    <n v="180864"/>
    <x v="2"/>
    <n v="1"/>
    <m/>
    <m/>
  </r>
  <r>
    <n v="39"/>
    <x v="1"/>
    <s v="Travel_Frequently"/>
    <n v="505"/>
    <s v="Research &amp; Development"/>
    <n v="2"/>
    <n v="4"/>
    <s v="Technical Degree"/>
    <n v="1"/>
    <n v="343"/>
    <n v="3"/>
    <x v="0"/>
    <n v="64"/>
    <n v="3"/>
    <x v="2"/>
    <x v="4"/>
    <x v="2"/>
    <s v="Single"/>
    <n v="10938"/>
    <n v="6420"/>
    <n v="0"/>
    <s v="Y"/>
    <s v="No"/>
    <n v="25"/>
    <n v="4"/>
    <n v="4"/>
    <n v="80"/>
    <n v="0"/>
    <n v="20"/>
    <n v="1"/>
    <n v="3"/>
    <x v="27"/>
    <n v="6"/>
    <n v="11"/>
    <n v="8"/>
    <x v="3"/>
    <n v="0"/>
    <n v="0"/>
    <x v="2"/>
    <n v="1"/>
    <m/>
    <m/>
  </r>
  <r>
    <n v="29"/>
    <x v="1"/>
    <s v="Travel_Rarely"/>
    <n v="665"/>
    <s v="Research &amp; Development"/>
    <n v="15"/>
    <n v="3"/>
    <s v="Life Sciences"/>
    <n v="1"/>
    <n v="346"/>
    <n v="3"/>
    <x v="1"/>
    <n v="60"/>
    <n v="3"/>
    <x v="1"/>
    <x v="1"/>
    <x v="0"/>
    <s v="Single"/>
    <n v="2340"/>
    <n v="22673"/>
    <n v="1"/>
    <s v="Y"/>
    <s v="No"/>
    <n v="19"/>
    <n v="3"/>
    <n v="1"/>
    <n v="80"/>
    <n v="0"/>
    <n v="6"/>
    <n v="1"/>
    <n v="3"/>
    <x v="0"/>
    <n v="5"/>
    <n v="1"/>
    <n v="5"/>
    <x v="1"/>
    <n v="0"/>
    <n v="0"/>
    <x v="1"/>
    <n v="1"/>
    <m/>
    <m/>
  </r>
  <r>
    <n v="42"/>
    <x v="1"/>
    <s v="Travel_Rarely"/>
    <n v="916"/>
    <s v="Research &amp; Development"/>
    <n v="17"/>
    <n v="2"/>
    <s v="Life Sciences"/>
    <n v="1"/>
    <n v="347"/>
    <n v="4"/>
    <x v="0"/>
    <n v="82"/>
    <n v="4"/>
    <x v="0"/>
    <x v="1"/>
    <x v="3"/>
    <s v="Single"/>
    <n v="6545"/>
    <n v="23016"/>
    <n v="3"/>
    <s v="Y"/>
    <s v="Yes"/>
    <n v="13"/>
    <n v="3"/>
    <n v="3"/>
    <n v="80"/>
    <n v="0"/>
    <n v="10"/>
    <n v="1"/>
    <n v="3"/>
    <x v="11"/>
    <n v="2"/>
    <n v="0"/>
    <n v="2"/>
    <x v="1"/>
    <n v="0"/>
    <n v="0"/>
    <x v="4"/>
    <n v="1"/>
    <m/>
    <m/>
  </r>
  <r>
    <n v="29"/>
    <x v="1"/>
    <s v="Travel_Rarely"/>
    <n v="1247"/>
    <s v="Sales"/>
    <n v="20"/>
    <n v="2"/>
    <s v="Marketing"/>
    <n v="1"/>
    <n v="349"/>
    <n v="4"/>
    <x v="1"/>
    <n v="45"/>
    <n v="3"/>
    <x v="0"/>
    <x v="0"/>
    <x v="0"/>
    <s v="Divorced"/>
    <n v="6931"/>
    <n v="10732"/>
    <n v="2"/>
    <s v="Y"/>
    <s v="No"/>
    <n v="14"/>
    <n v="3"/>
    <n v="4"/>
    <n v="80"/>
    <n v="1"/>
    <n v="10"/>
    <n v="2"/>
    <n v="3"/>
    <x v="11"/>
    <n v="2"/>
    <n v="0"/>
    <n v="2"/>
    <x v="0"/>
    <n v="0"/>
    <n v="0"/>
    <x v="4"/>
    <n v="1"/>
    <m/>
    <m/>
  </r>
  <r>
    <n v="25"/>
    <x v="1"/>
    <s v="Travel_Rarely"/>
    <n v="685"/>
    <s v="Research &amp; Development"/>
    <n v="1"/>
    <n v="3"/>
    <s v="Life Sciences"/>
    <n v="1"/>
    <n v="350"/>
    <n v="1"/>
    <x v="0"/>
    <n v="62"/>
    <n v="3"/>
    <x v="0"/>
    <x v="3"/>
    <x v="2"/>
    <s v="Married"/>
    <n v="4898"/>
    <n v="7505"/>
    <n v="0"/>
    <s v="Y"/>
    <s v="No"/>
    <n v="12"/>
    <n v="3"/>
    <n v="4"/>
    <n v="80"/>
    <n v="2"/>
    <n v="5"/>
    <n v="3"/>
    <n v="3"/>
    <x v="9"/>
    <n v="2"/>
    <n v="1"/>
    <n v="2"/>
    <x v="2"/>
    <n v="0"/>
    <n v="0"/>
    <x v="0"/>
    <n v="1"/>
    <m/>
    <m/>
  </r>
  <r>
    <n v="42"/>
    <x v="1"/>
    <s v="Travel_Rarely"/>
    <n v="269"/>
    <s v="Research &amp; Development"/>
    <n v="2"/>
    <n v="3"/>
    <s v="Medical"/>
    <n v="1"/>
    <n v="351"/>
    <n v="4"/>
    <x v="0"/>
    <n v="56"/>
    <n v="2"/>
    <x v="1"/>
    <x v="2"/>
    <x v="3"/>
    <s v="Divorced"/>
    <n v="2593"/>
    <n v="8007"/>
    <n v="0"/>
    <s v="Y"/>
    <s v="Yes"/>
    <n v="11"/>
    <n v="3"/>
    <n v="3"/>
    <n v="80"/>
    <n v="1"/>
    <n v="10"/>
    <n v="4"/>
    <n v="3"/>
    <x v="7"/>
    <n v="6"/>
    <n v="7"/>
    <n v="8"/>
    <x v="1"/>
    <n v="0"/>
    <n v="0"/>
    <x v="1"/>
    <n v="1"/>
    <m/>
    <m/>
  </r>
  <r>
    <n v="40"/>
    <x v="1"/>
    <s v="Travel_Rarely"/>
    <n v="1416"/>
    <s v="Research &amp; Development"/>
    <n v="2"/>
    <n v="2"/>
    <s v="Medical"/>
    <n v="1"/>
    <n v="352"/>
    <n v="1"/>
    <x v="1"/>
    <n v="49"/>
    <n v="3"/>
    <x v="4"/>
    <x v="7"/>
    <x v="2"/>
    <s v="Divorced"/>
    <n v="19436"/>
    <n v="5949"/>
    <n v="0"/>
    <s v="Y"/>
    <s v="No"/>
    <n v="19"/>
    <n v="3"/>
    <n v="4"/>
    <n v="80"/>
    <n v="1"/>
    <n v="22"/>
    <n v="5"/>
    <n v="3"/>
    <x v="17"/>
    <n v="7"/>
    <n v="3"/>
    <n v="9"/>
    <x v="1"/>
    <n v="0"/>
    <n v="0"/>
    <x v="3"/>
    <n v="1"/>
    <m/>
    <m/>
  </r>
  <r>
    <n v="51"/>
    <x v="1"/>
    <s v="Travel_Rarely"/>
    <n v="833"/>
    <s v="Research &amp; Development"/>
    <n v="1"/>
    <n v="3"/>
    <s v="Life Sciences"/>
    <n v="1"/>
    <n v="353"/>
    <n v="3"/>
    <x v="1"/>
    <n v="96"/>
    <n v="3"/>
    <x v="1"/>
    <x v="1"/>
    <x v="0"/>
    <s v="Married"/>
    <n v="2723"/>
    <n v="23231"/>
    <n v="1"/>
    <s v="Y"/>
    <s v="No"/>
    <n v="11"/>
    <n v="3"/>
    <n v="2"/>
    <n v="80"/>
    <n v="0"/>
    <n v="1"/>
    <n v="0"/>
    <n v="2"/>
    <x v="6"/>
    <n v="0"/>
    <n v="0"/>
    <n v="0"/>
    <x v="1"/>
    <n v="0"/>
    <n v="0"/>
    <x v="1"/>
    <n v="1"/>
    <m/>
    <m/>
  </r>
  <r>
    <n v="31"/>
    <x v="0"/>
    <s v="Travel_Frequently"/>
    <n v="307"/>
    <s v="Research &amp; Development"/>
    <n v="29"/>
    <n v="2"/>
    <s v="Medical"/>
    <n v="1"/>
    <n v="355"/>
    <n v="3"/>
    <x v="1"/>
    <n v="71"/>
    <n v="2"/>
    <x v="1"/>
    <x v="2"/>
    <x v="1"/>
    <s v="Single"/>
    <n v="3479"/>
    <n v="11652"/>
    <n v="0"/>
    <s v="Y"/>
    <s v="No"/>
    <n v="11"/>
    <n v="3"/>
    <n v="2"/>
    <n v="80"/>
    <n v="0"/>
    <n v="6"/>
    <n v="2"/>
    <n v="4"/>
    <x v="8"/>
    <n v="4"/>
    <n v="1"/>
    <n v="4"/>
    <x v="1"/>
    <n v="1"/>
    <n v="62622"/>
    <x v="0"/>
    <n v="1"/>
    <m/>
    <m/>
  </r>
  <r>
    <n v="32"/>
    <x v="1"/>
    <s v="Travel_Frequently"/>
    <n v="1311"/>
    <s v="Research &amp; Development"/>
    <n v="7"/>
    <n v="3"/>
    <s v="Life Sciences"/>
    <n v="1"/>
    <n v="359"/>
    <n v="2"/>
    <x v="1"/>
    <n v="100"/>
    <n v="4"/>
    <x v="1"/>
    <x v="2"/>
    <x v="1"/>
    <s v="Married"/>
    <n v="2794"/>
    <n v="26062"/>
    <n v="1"/>
    <s v="Y"/>
    <s v="No"/>
    <n v="20"/>
    <n v="4"/>
    <n v="3"/>
    <n v="80"/>
    <n v="0"/>
    <n v="5"/>
    <n v="3"/>
    <n v="1"/>
    <x v="8"/>
    <n v="1"/>
    <n v="0"/>
    <n v="3"/>
    <x v="1"/>
    <n v="0"/>
    <n v="0"/>
    <x v="1"/>
    <n v="1"/>
    <m/>
    <m/>
  </r>
  <r>
    <n v="38"/>
    <x v="1"/>
    <s v="Non-Travel"/>
    <n v="1327"/>
    <s v="Sales"/>
    <n v="2"/>
    <n v="2"/>
    <s v="Life Sciences"/>
    <n v="1"/>
    <n v="361"/>
    <n v="4"/>
    <x v="1"/>
    <n v="39"/>
    <n v="2"/>
    <x v="0"/>
    <x v="0"/>
    <x v="0"/>
    <s v="Married"/>
    <n v="5249"/>
    <n v="19682"/>
    <n v="3"/>
    <s v="Y"/>
    <s v="No"/>
    <n v="18"/>
    <n v="3"/>
    <n v="4"/>
    <n v="80"/>
    <n v="1"/>
    <n v="13"/>
    <n v="0"/>
    <n v="3"/>
    <x v="3"/>
    <n v="7"/>
    <n v="7"/>
    <n v="5"/>
    <x v="0"/>
    <n v="0"/>
    <n v="0"/>
    <x v="0"/>
    <n v="1"/>
    <m/>
    <m/>
  </r>
  <r>
    <n v="32"/>
    <x v="1"/>
    <s v="Travel_Rarely"/>
    <n v="128"/>
    <s v="Research &amp; Development"/>
    <n v="2"/>
    <n v="1"/>
    <s v="Technical Degree"/>
    <n v="1"/>
    <n v="362"/>
    <n v="4"/>
    <x v="1"/>
    <n v="84"/>
    <n v="2"/>
    <x v="0"/>
    <x v="2"/>
    <x v="3"/>
    <s v="Single"/>
    <n v="2176"/>
    <n v="19737"/>
    <n v="4"/>
    <s v="Y"/>
    <s v="No"/>
    <n v="13"/>
    <n v="3"/>
    <n v="4"/>
    <n v="80"/>
    <n v="0"/>
    <n v="9"/>
    <n v="5"/>
    <n v="3"/>
    <x v="0"/>
    <n v="2"/>
    <n v="0"/>
    <n v="4"/>
    <x v="1"/>
    <n v="0"/>
    <n v="0"/>
    <x v="1"/>
    <n v="1"/>
    <m/>
    <m/>
  </r>
  <r>
    <n v="46"/>
    <x v="1"/>
    <s v="Travel_Rarely"/>
    <n v="488"/>
    <s v="Sales"/>
    <n v="2"/>
    <n v="3"/>
    <s v="Technical Degree"/>
    <n v="1"/>
    <n v="363"/>
    <n v="3"/>
    <x v="0"/>
    <n v="75"/>
    <n v="1"/>
    <x v="3"/>
    <x v="5"/>
    <x v="1"/>
    <s v="Married"/>
    <n v="16872"/>
    <n v="14977"/>
    <n v="3"/>
    <s v="Y"/>
    <s v="Yes"/>
    <n v="12"/>
    <n v="3"/>
    <n v="2"/>
    <n v="80"/>
    <n v="1"/>
    <n v="28"/>
    <n v="2"/>
    <n v="2"/>
    <x v="5"/>
    <n v="7"/>
    <n v="7"/>
    <n v="7"/>
    <x v="4"/>
    <n v="0"/>
    <n v="0"/>
    <x v="3"/>
    <n v="1"/>
    <m/>
    <m/>
  </r>
  <r>
    <n v="28"/>
    <x v="0"/>
    <s v="Travel_Rarely"/>
    <n v="529"/>
    <s v="Research &amp; Development"/>
    <n v="2"/>
    <n v="4"/>
    <s v="Life Sciences"/>
    <n v="1"/>
    <n v="364"/>
    <n v="1"/>
    <x v="1"/>
    <n v="79"/>
    <n v="3"/>
    <x v="1"/>
    <x v="2"/>
    <x v="2"/>
    <s v="Single"/>
    <n v="3485"/>
    <n v="14935"/>
    <n v="2"/>
    <s v="Y"/>
    <s v="No"/>
    <n v="11"/>
    <n v="3"/>
    <n v="3"/>
    <n v="80"/>
    <n v="0"/>
    <n v="5"/>
    <n v="5"/>
    <n v="1"/>
    <x v="2"/>
    <n v="0"/>
    <n v="0"/>
    <n v="0"/>
    <x v="1"/>
    <n v="1"/>
    <n v="62730"/>
    <x v="0"/>
    <n v="1"/>
    <m/>
    <m/>
  </r>
  <r>
    <n v="29"/>
    <x v="1"/>
    <s v="Travel_Rarely"/>
    <n v="1210"/>
    <s v="Sales"/>
    <n v="2"/>
    <n v="3"/>
    <s v="Medical"/>
    <n v="1"/>
    <n v="366"/>
    <n v="1"/>
    <x v="1"/>
    <n v="78"/>
    <n v="2"/>
    <x v="0"/>
    <x v="0"/>
    <x v="1"/>
    <s v="Married"/>
    <n v="6644"/>
    <n v="3687"/>
    <n v="2"/>
    <s v="Y"/>
    <s v="No"/>
    <n v="19"/>
    <n v="3"/>
    <n v="2"/>
    <n v="80"/>
    <n v="2"/>
    <n v="10"/>
    <n v="2"/>
    <n v="3"/>
    <x v="2"/>
    <n v="0"/>
    <n v="0"/>
    <n v="0"/>
    <x v="0"/>
    <n v="0"/>
    <n v="0"/>
    <x v="4"/>
    <n v="1"/>
    <m/>
    <m/>
  </r>
  <r>
    <n v="31"/>
    <x v="1"/>
    <s v="Travel_Rarely"/>
    <n v="1463"/>
    <s v="Research &amp; Development"/>
    <n v="23"/>
    <n v="3"/>
    <s v="Medical"/>
    <n v="1"/>
    <n v="367"/>
    <n v="2"/>
    <x v="1"/>
    <n v="64"/>
    <n v="2"/>
    <x v="0"/>
    <x v="4"/>
    <x v="0"/>
    <s v="Married"/>
    <n v="5582"/>
    <n v="14408"/>
    <n v="0"/>
    <s v="Y"/>
    <s v="No"/>
    <n v="21"/>
    <n v="4"/>
    <n v="2"/>
    <n v="80"/>
    <n v="1"/>
    <n v="10"/>
    <n v="2"/>
    <n v="3"/>
    <x v="7"/>
    <n v="0"/>
    <n v="7"/>
    <n v="8"/>
    <x v="3"/>
    <n v="0"/>
    <n v="0"/>
    <x v="0"/>
    <n v="1"/>
    <m/>
    <m/>
  </r>
  <r>
    <n v="25"/>
    <x v="1"/>
    <s v="Non-Travel"/>
    <n v="675"/>
    <s v="Research &amp; Development"/>
    <n v="5"/>
    <n v="2"/>
    <s v="Life Sciences"/>
    <n v="1"/>
    <n v="369"/>
    <n v="2"/>
    <x v="1"/>
    <n v="85"/>
    <n v="4"/>
    <x v="0"/>
    <x v="4"/>
    <x v="3"/>
    <s v="Divorced"/>
    <n v="4000"/>
    <n v="18384"/>
    <n v="1"/>
    <s v="Y"/>
    <s v="No"/>
    <n v="12"/>
    <n v="3"/>
    <n v="4"/>
    <n v="80"/>
    <n v="2"/>
    <n v="6"/>
    <n v="2"/>
    <n v="3"/>
    <x v="0"/>
    <n v="3"/>
    <n v="1"/>
    <n v="5"/>
    <x v="3"/>
    <n v="0"/>
    <n v="0"/>
    <x v="0"/>
    <n v="1"/>
    <m/>
    <m/>
  </r>
  <r>
    <n v="45"/>
    <x v="1"/>
    <s v="Travel_Rarely"/>
    <n v="1385"/>
    <s v="Research &amp; Development"/>
    <n v="20"/>
    <n v="2"/>
    <s v="Medical"/>
    <n v="1"/>
    <n v="372"/>
    <n v="3"/>
    <x v="1"/>
    <n v="79"/>
    <n v="3"/>
    <x v="3"/>
    <x v="4"/>
    <x v="0"/>
    <s v="Married"/>
    <n v="13496"/>
    <n v="7501"/>
    <n v="0"/>
    <s v="Y"/>
    <s v="Yes"/>
    <n v="14"/>
    <n v="3"/>
    <n v="2"/>
    <n v="80"/>
    <n v="0"/>
    <n v="21"/>
    <n v="2"/>
    <n v="3"/>
    <x v="23"/>
    <n v="7"/>
    <n v="4"/>
    <n v="10"/>
    <x v="3"/>
    <n v="0"/>
    <n v="0"/>
    <x v="3"/>
    <n v="1"/>
    <m/>
    <m/>
  </r>
  <r>
    <n v="36"/>
    <x v="1"/>
    <s v="Travel_Rarely"/>
    <n v="1403"/>
    <s v="Research &amp; Development"/>
    <n v="6"/>
    <n v="3"/>
    <s v="Life Sciences"/>
    <n v="1"/>
    <n v="373"/>
    <n v="4"/>
    <x v="1"/>
    <n v="47"/>
    <n v="3"/>
    <x v="1"/>
    <x v="2"/>
    <x v="0"/>
    <s v="Married"/>
    <n v="3210"/>
    <n v="20251"/>
    <n v="0"/>
    <s v="Y"/>
    <s v="No"/>
    <n v="11"/>
    <n v="3"/>
    <n v="3"/>
    <n v="80"/>
    <n v="1"/>
    <n v="16"/>
    <n v="4"/>
    <n v="3"/>
    <x v="15"/>
    <n v="13"/>
    <n v="10"/>
    <n v="11"/>
    <x v="1"/>
    <n v="0"/>
    <n v="0"/>
    <x v="0"/>
    <n v="1"/>
    <m/>
    <m/>
  </r>
  <r>
    <n v="55"/>
    <x v="1"/>
    <s v="Travel_Rarely"/>
    <n v="452"/>
    <s v="Research &amp; Development"/>
    <n v="1"/>
    <n v="3"/>
    <s v="Medical"/>
    <n v="1"/>
    <n v="374"/>
    <n v="4"/>
    <x v="1"/>
    <n v="81"/>
    <n v="3"/>
    <x v="4"/>
    <x v="5"/>
    <x v="3"/>
    <s v="Single"/>
    <n v="19045"/>
    <n v="18938"/>
    <n v="0"/>
    <s v="Y"/>
    <s v="Yes"/>
    <n v="14"/>
    <n v="3"/>
    <n v="3"/>
    <n v="80"/>
    <n v="0"/>
    <n v="37"/>
    <n v="2"/>
    <n v="3"/>
    <x v="28"/>
    <n v="10"/>
    <n v="4"/>
    <n v="13"/>
    <x v="4"/>
    <n v="0"/>
    <n v="0"/>
    <x v="3"/>
    <n v="1"/>
    <m/>
    <m/>
  </r>
  <r>
    <n v="47"/>
    <x v="0"/>
    <s v="Non-Travel"/>
    <n v="666"/>
    <s v="Research &amp; Development"/>
    <n v="29"/>
    <n v="4"/>
    <s v="Life Sciences"/>
    <n v="1"/>
    <n v="376"/>
    <n v="1"/>
    <x v="1"/>
    <n v="88"/>
    <n v="3"/>
    <x v="2"/>
    <x v="5"/>
    <x v="1"/>
    <s v="Married"/>
    <n v="11849"/>
    <n v="10268"/>
    <n v="1"/>
    <s v="Y"/>
    <s v="Yes"/>
    <n v="12"/>
    <n v="3"/>
    <n v="4"/>
    <n v="80"/>
    <n v="1"/>
    <n v="10"/>
    <n v="2"/>
    <n v="2"/>
    <x v="1"/>
    <n v="7"/>
    <n v="9"/>
    <n v="9"/>
    <x v="4"/>
    <n v="1"/>
    <n v="213282"/>
    <x v="2"/>
    <n v="1"/>
    <m/>
    <m/>
  </r>
  <r>
    <n v="28"/>
    <x v="1"/>
    <s v="Travel_Rarely"/>
    <n v="1158"/>
    <s v="Research &amp; Development"/>
    <n v="9"/>
    <n v="3"/>
    <s v="Medical"/>
    <n v="1"/>
    <n v="377"/>
    <n v="4"/>
    <x v="1"/>
    <n v="94"/>
    <n v="3"/>
    <x v="1"/>
    <x v="1"/>
    <x v="0"/>
    <s v="Married"/>
    <n v="2070"/>
    <n v="2613"/>
    <n v="1"/>
    <s v="Y"/>
    <s v="No"/>
    <n v="23"/>
    <n v="4"/>
    <n v="4"/>
    <n v="80"/>
    <n v="1"/>
    <n v="5"/>
    <n v="3"/>
    <n v="2"/>
    <x v="8"/>
    <n v="2"/>
    <n v="0"/>
    <n v="4"/>
    <x v="1"/>
    <n v="0"/>
    <n v="0"/>
    <x v="1"/>
    <n v="1"/>
    <m/>
    <m/>
  </r>
  <r>
    <n v="37"/>
    <x v="1"/>
    <s v="Travel_Rarely"/>
    <n v="228"/>
    <s v="Sales"/>
    <n v="6"/>
    <n v="4"/>
    <s v="Medical"/>
    <n v="1"/>
    <n v="378"/>
    <n v="3"/>
    <x v="1"/>
    <n v="98"/>
    <n v="3"/>
    <x v="0"/>
    <x v="0"/>
    <x v="0"/>
    <s v="Married"/>
    <n v="6502"/>
    <n v="22825"/>
    <n v="4"/>
    <s v="Y"/>
    <s v="No"/>
    <n v="14"/>
    <n v="3"/>
    <n v="2"/>
    <n v="80"/>
    <n v="1"/>
    <n v="7"/>
    <n v="5"/>
    <n v="4"/>
    <x v="8"/>
    <n v="4"/>
    <n v="0"/>
    <n v="1"/>
    <x v="0"/>
    <n v="0"/>
    <n v="0"/>
    <x v="4"/>
    <n v="1"/>
    <m/>
    <m/>
  </r>
  <r>
    <n v="21"/>
    <x v="1"/>
    <s v="Travel_Rarely"/>
    <n v="996"/>
    <s v="Research &amp; Development"/>
    <n v="3"/>
    <n v="2"/>
    <s v="Medical"/>
    <n v="1"/>
    <n v="379"/>
    <n v="4"/>
    <x v="1"/>
    <n v="100"/>
    <n v="2"/>
    <x v="1"/>
    <x v="1"/>
    <x v="2"/>
    <s v="Single"/>
    <n v="3230"/>
    <n v="10531"/>
    <n v="1"/>
    <s v="Y"/>
    <s v="No"/>
    <n v="17"/>
    <n v="3"/>
    <n v="1"/>
    <n v="80"/>
    <n v="0"/>
    <n v="3"/>
    <n v="4"/>
    <n v="4"/>
    <x v="11"/>
    <n v="2"/>
    <n v="1"/>
    <n v="0"/>
    <x v="1"/>
    <n v="0"/>
    <n v="0"/>
    <x v="0"/>
    <n v="1"/>
    <m/>
    <m/>
  </r>
  <r>
    <n v="37"/>
    <x v="1"/>
    <s v="Non-Travel"/>
    <n v="728"/>
    <s v="Research &amp; Development"/>
    <n v="1"/>
    <n v="4"/>
    <s v="Medical"/>
    <n v="1"/>
    <n v="380"/>
    <n v="1"/>
    <x v="0"/>
    <n v="80"/>
    <n v="3"/>
    <x v="2"/>
    <x v="7"/>
    <x v="0"/>
    <s v="Divorced"/>
    <n v="13603"/>
    <n v="11677"/>
    <n v="2"/>
    <s v="Y"/>
    <s v="Yes"/>
    <n v="18"/>
    <n v="3"/>
    <n v="1"/>
    <n v="80"/>
    <n v="2"/>
    <n v="15"/>
    <n v="2"/>
    <n v="3"/>
    <x v="8"/>
    <n v="2"/>
    <n v="0"/>
    <n v="2"/>
    <x v="1"/>
    <n v="0"/>
    <n v="0"/>
    <x v="3"/>
    <n v="1"/>
    <m/>
    <m/>
  </r>
  <r>
    <n v="35"/>
    <x v="1"/>
    <s v="Travel_Rarely"/>
    <n v="1315"/>
    <s v="Research &amp; Development"/>
    <n v="22"/>
    <n v="3"/>
    <s v="Life Sciences"/>
    <n v="1"/>
    <n v="381"/>
    <n v="2"/>
    <x v="0"/>
    <n v="71"/>
    <n v="4"/>
    <x v="2"/>
    <x v="5"/>
    <x v="1"/>
    <s v="Divorced"/>
    <n v="11996"/>
    <n v="19100"/>
    <n v="7"/>
    <s v="Y"/>
    <s v="No"/>
    <n v="18"/>
    <n v="3"/>
    <n v="2"/>
    <n v="80"/>
    <n v="1"/>
    <n v="10"/>
    <n v="6"/>
    <n v="2"/>
    <x v="5"/>
    <n v="7"/>
    <n v="6"/>
    <n v="2"/>
    <x v="4"/>
    <n v="0"/>
    <n v="0"/>
    <x v="2"/>
    <n v="1"/>
    <m/>
    <m/>
  </r>
  <r>
    <n v="38"/>
    <x v="1"/>
    <s v="Travel_Rarely"/>
    <n v="322"/>
    <s v="Sales"/>
    <n v="7"/>
    <n v="2"/>
    <s v="Medical"/>
    <n v="1"/>
    <n v="382"/>
    <n v="1"/>
    <x v="0"/>
    <n v="44"/>
    <n v="4"/>
    <x v="0"/>
    <x v="0"/>
    <x v="3"/>
    <s v="Divorced"/>
    <n v="5605"/>
    <n v="19191"/>
    <n v="1"/>
    <s v="Y"/>
    <s v="Yes"/>
    <n v="24"/>
    <n v="4"/>
    <n v="3"/>
    <n v="80"/>
    <n v="1"/>
    <n v="8"/>
    <n v="3"/>
    <n v="3"/>
    <x v="3"/>
    <n v="0"/>
    <n v="7"/>
    <n v="7"/>
    <x v="0"/>
    <n v="0"/>
    <n v="0"/>
    <x v="0"/>
    <n v="1"/>
    <m/>
    <m/>
  </r>
  <r>
    <n v="26"/>
    <x v="1"/>
    <s v="Travel_Frequently"/>
    <n v="1479"/>
    <s v="Research &amp; Development"/>
    <n v="1"/>
    <n v="3"/>
    <s v="Life Sciences"/>
    <n v="1"/>
    <n v="384"/>
    <n v="3"/>
    <x v="0"/>
    <n v="84"/>
    <n v="3"/>
    <x v="0"/>
    <x v="3"/>
    <x v="1"/>
    <s v="Divorced"/>
    <n v="6397"/>
    <n v="26767"/>
    <n v="1"/>
    <s v="Y"/>
    <s v="No"/>
    <n v="20"/>
    <n v="4"/>
    <n v="1"/>
    <n v="80"/>
    <n v="1"/>
    <n v="6"/>
    <n v="6"/>
    <n v="1"/>
    <x v="0"/>
    <n v="5"/>
    <n v="1"/>
    <n v="4"/>
    <x v="2"/>
    <n v="0"/>
    <n v="0"/>
    <x v="4"/>
    <n v="1"/>
    <m/>
    <m/>
  </r>
  <r>
    <n v="50"/>
    <x v="1"/>
    <s v="Travel_Rarely"/>
    <n v="797"/>
    <s v="Research &amp; Development"/>
    <n v="4"/>
    <n v="1"/>
    <s v="Life Sciences"/>
    <n v="1"/>
    <n v="385"/>
    <n v="1"/>
    <x v="1"/>
    <n v="96"/>
    <n v="3"/>
    <x v="4"/>
    <x v="7"/>
    <x v="1"/>
    <s v="Divorced"/>
    <n v="19144"/>
    <n v="15815"/>
    <n v="3"/>
    <s v="Y"/>
    <s v="No"/>
    <n v="14"/>
    <n v="3"/>
    <n v="1"/>
    <n v="80"/>
    <n v="2"/>
    <n v="28"/>
    <n v="4"/>
    <n v="2"/>
    <x v="1"/>
    <n v="4"/>
    <n v="1"/>
    <n v="6"/>
    <x v="1"/>
    <n v="0"/>
    <n v="0"/>
    <x v="3"/>
    <n v="1"/>
    <m/>
    <m/>
  </r>
  <r>
    <n v="53"/>
    <x v="1"/>
    <s v="Travel_Rarely"/>
    <n v="1070"/>
    <s v="Research &amp; Development"/>
    <n v="3"/>
    <n v="4"/>
    <s v="Medical"/>
    <n v="1"/>
    <n v="386"/>
    <n v="3"/>
    <x v="1"/>
    <n v="45"/>
    <n v="3"/>
    <x v="3"/>
    <x v="7"/>
    <x v="2"/>
    <s v="Married"/>
    <n v="17584"/>
    <n v="21016"/>
    <n v="3"/>
    <s v="Y"/>
    <s v="Yes"/>
    <n v="16"/>
    <n v="3"/>
    <n v="4"/>
    <n v="80"/>
    <n v="3"/>
    <n v="21"/>
    <n v="5"/>
    <n v="2"/>
    <x v="8"/>
    <n v="3"/>
    <n v="1"/>
    <n v="3"/>
    <x v="1"/>
    <n v="0"/>
    <n v="0"/>
    <x v="3"/>
    <n v="1"/>
    <m/>
    <m/>
  </r>
  <r>
    <n v="42"/>
    <x v="1"/>
    <s v="Travel_Rarely"/>
    <n v="635"/>
    <s v="Sales"/>
    <n v="1"/>
    <n v="1"/>
    <s v="Life Sciences"/>
    <n v="1"/>
    <n v="387"/>
    <n v="2"/>
    <x v="1"/>
    <n v="99"/>
    <n v="3"/>
    <x v="0"/>
    <x v="0"/>
    <x v="2"/>
    <s v="Married"/>
    <n v="4907"/>
    <n v="24532"/>
    <n v="1"/>
    <s v="Y"/>
    <s v="No"/>
    <n v="25"/>
    <n v="4"/>
    <n v="3"/>
    <n v="80"/>
    <n v="0"/>
    <n v="20"/>
    <n v="3"/>
    <n v="3"/>
    <x v="23"/>
    <n v="16"/>
    <n v="11"/>
    <n v="6"/>
    <x v="0"/>
    <n v="0"/>
    <n v="0"/>
    <x v="0"/>
    <n v="1"/>
    <m/>
    <m/>
  </r>
  <r>
    <n v="29"/>
    <x v="1"/>
    <s v="Travel_Frequently"/>
    <n v="442"/>
    <s v="Sales"/>
    <n v="2"/>
    <n v="2"/>
    <s v="Life Sciences"/>
    <n v="1"/>
    <n v="388"/>
    <n v="2"/>
    <x v="1"/>
    <n v="44"/>
    <n v="3"/>
    <x v="0"/>
    <x v="0"/>
    <x v="0"/>
    <s v="Single"/>
    <n v="4554"/>
    <n v="20260"/>
    <n v="1"/>
    <s v="Y"/>
    <s v="No"/>
    <n v="18"/>
    <n v="3"/>
    <n v="1"/>
    <n v="80"/>
    <n v="0"/>
    <n v="10"/>
    <n v="3"/>
    <n v="2"/>
    <x v="1"/>
    <n v="7"/>
    <n v="0"/>
    <n v="9"/>
    <x v="0"/>
    <n v="0"/>
    <n v="0"/>
    <x v="0"/>
    <n v="1"/>
    <m/>
    <m/>
  </r>
  <r>
    <n v="55"/>
    <x v="1"/>
    <s v="Travel_Rarely"/>
    <n v="147"/>
    <s v="Research &amp; Development"/>
    <n v="20"/>
    <n v="2"/>
    <s v="Technical Degree"/>
    <n v="1"/>
    <n v="389"/>
    <n v="2"/>
    <x v="1"/>
    <n v="37"/>
    <n v="3"/>
    <x v="0"/>
    <x v="2"/>
    <x v="0"/>
    <s v="Married"/>
    <n v="5415"/>
    <n v="15972"/>
    <n v="3"/>
    <s v="Y"/>
    <s v="Yes"/>
    <n v="19"/>
    <n v="3"/>
    <n v="4"/>
    <n v="80"/>
    <n v="1"/>
    <n v="12"/>
    <n v="4"/>
    <n v="3"/>
    <x v="1"/>
    <n v="7"/>
    <n v="0"/>
    <n v="8"/>
    <x v="1"/>
    <n v="0"/>
    <n v="0"/>
    <x v="0"/>
    <n v="1"/>
    <m/>
    <m/>
  </r>
  <r>
    <n v="26"/>
    <x v="1"/>
    <s v="Travel_Frequently"/>
    <n v="496"/>
    <s v="Research &amp; Development"/>
    <n v="11"/>
    <n v="2"/>
    <s v="Medical"/>
    <n v="1"/>
    <n v="390"/>
    <n v="1"/>
    <x v="1"/>
    <n v="60"/>
    <n v="3"/>
    <x v="0"/>
    <x v="4"/>
    <x v="3"/>
    <s v="Married"/>
    <n v="4741"/>
    <n v="22722"/>
    <n v="1"/>
    <s v="Y"/>
    <s v="Yes"/>
    <n v="13"/>
    <n v="3"/>
    <n v="3"/>
    <n v="80"/>
    <n v="1"/>
    <n v="5"/>
    <n v="3"/>
    <n v="3"/>
    <x v="8"/>
    <n v="3"/>
    <n v="3"/>
    <n v="3"/>
    <x v="3"/>
    <n v="0"/>
    <n v="0"/>
    <x v="0"/>
    <n v="1"/>
    <m/>
    <m/>
  </r>
  <r>
    <n v="37"/>
    <x v="1"/>
    <s v="Travel_Rarely"/>
    <n v="1372"/>
    <s v="Research &amp; Development"/>
    <n v="1"/>
    <n v="3"/>
    <s v="Life Sciences"/>
    <n v="1"/>
    <n v="391"/>
    <n v="4"/>
    <x v="0"/>
    <n v="42"/>
    <n v="3"/>
    <x v="1"/>
    <x v="1"/>
    <x v="0"/>
    <s v="Single"/>
    <n v="2115"/>
    <n v="15881"/>
    <n v="1"/>
    <s v="Y"/>
    <s v="No"/>
    <n v="12"/>
    <n v="3"/>
    <n v="2"/>
    <n v="80"/>
    <n v="0"/>
    <n v="17"/>
    <n v="3"/>
    <n v="3"/>
    <x v="18"/>
    <n v="12"/>
    <n v="5"/>
    <n v="7"/>
    <x v="1"/>
    <n v="0"/>
    <n v="0"/>
    <x v="1"/>
    <n v="1"/>
    <m/>
    <m/>
  </r>
  <r>
    <n v="44"/>
    <x v="0"/>
    <s v="Travel_Frequently"/>
    <n v="920"/>
    <s v="Research &amp; Development"/>
    <n v="24"/>
    <n v="3"/>
    <s v="Life Sciences"/>
    <n v="1"/>
    <n v="392"/>
    <n v="4"/>
    <x v="1"/>
    <n v="43"/>
    <n v="3"/>
    <x v="1"/>
    <x v="2"/>
    <x v="2"/>
    <s v="Divorced"/>
    <n v="3161"/>
    <n v="19920"/>
    <n v="3"/>
    <s v="Y"/>
    <s v="Yes"/>
    <n v="22"/>
    <n v="4"/>
    <n v="4"/>
    <n v="80"/>
    <n v="1"/>
    <n v="19"/>
    <n v="0"/>
    <n v="1"/>
    <x v="6"/>
    <n v="0"/>
    <n v="0"/>
    <n v="0"/>
    <x v="1"/>
    <n v="1"/>
    <n v="56898"/>
    <x v="0"/>
    <n v="1"/>
    <m/>
    <m/>
  </r>
  <r>
    <n v="38"/>
    <x v="1"/>
    <s v="Travel_Rarely"/>
    <n v="688"/>
    <s v="Research &amp; Development"/>
    <n v="23"/>
    <n v="4"/>
    <s v="Life Sciences"/>
    <n v="1"/>
    <n v="393"/>
    <n v="4"/>
    <x v="1"/>
    <n v="82"/>
    <n v="3"/>
    <x v="0"/>
    <x v="4"/>
    <x v="0"/>
    <s v="Divorced"/>
    <n v="5745"/>
    <n v="18899"/>
    <n v="9"/>
    <s v="Y"/>
    <s v="No"/>
    <n v="14"/>
    <n v="3"/>
    <n v="2"/>
    <n v="80"/>
    <n v="1"/>
    <n v="10"/>
    <n v="2"/>
    <n v="3"/>
    <x v="4"/>
    <n v="2"/>
    <n v="1"/>
    <n v="2"/>
    <x v="3"/>
    <n v="0"/>
    <n v="0"/>
    <x v="0"/>
    <n v="1"/>
    <m/>
    <m/>
  </r>
  <r>
    <n v="26"/>
    <x v="0"/>
    <s v="Travel_Rarely"/>
    <n v="1449"/>
    <s v="Research &amp; Development"/>
    <n v="16"/>
    <n v="4"/>
    <s v="Medical"/>
    <n v="1"/>
    <n v="394"/>
    <n v="1"/>
    <x v="1"/>
    <n v="45"/>
    <n v="3"/>
    <x v="1"/>
    <x v="2"/>
    <x v="1"/>
    <s v="Divorced"/>
    <n v="2373"/>
    <n v="14180"/>
    <n v="2"/>
    <s v="Y"/>
    <s v="Yes"/>
    <n v="13"/>
    <n v="3"/>
    <n v="4"/>
    <n v="80"/>
    <n v="1"/>
    <n v="5"/>
    <n v="2"/>
    <n v="3"/>
    <x v="11"/>
    <n v="2"/>
    <n v="0"/>
    <n v="2"/>
    <x v="1"/>
    <n v="1"/>
    <n v="42714"/>
    <x v="1"/>
    <n v="1"/>
    <m/>
    <m/>
  </r>
  <r>
    <n v="28"/>
    <x v="1"/>
    <s v="Travel_Rarely"/>
    <n v="1117"/>
    <s v="Research &amp; Development"/>
    <n v="8"/>
    <n v="2"/>
    <s v="Life Sciences"/>
    <n v="1"/>
    <n v="395"/>
    <n v="4"/>
    <x v="0"/>
    <n v="66"/>
    <n v="3"/>
    <x v="1"/>
    <x v="1"/>
    <x v="0"/>
    <s v="Single"/>
    <n v="3310"/>
    <n v="4488"/>
    <n v="1"/>
    <s v="Y"/>
    <s v="No"/>
    <n v="21"/>
    <n v="4"/>
    <n v="4"/>
    <n v="80"/>
    <n v="0"/>
    <n v="5"/>
    <n v="3"/>
    <n v="3"/>
    <x v="8"/>
    <n v="3"/>
    <n v="0"/>
    <n v="2"/>
    <x v="1"/>
    <n v="0"/>
    <n v="0"/>
    <x v="0"/>
    <n v="1"/>
    <m/>
    <m/>
  </r>
  <r>
    <n v="49"/>
    <x v="1"/>
    <s v="Travel_Frequently"/>
    <n v="636"/>
    <s v="Research &amp; Development"/>
    <n v="10"/>
    <n v="4"/>
    <s v="Life Sciences"/>
    <n v="1"/>
    <n v="396"/>
    <n v="3"/>
    <x v="0"/>
    <n v="35"/>
    <n v="3"/>
    <x v="4"/>
    <x v="7"/>
    <x v="3"/>
    <s v="Single"/>
    <n v="18665"/>
    <n v="25594"/>
    <n v="9"/>
    <s v="Y"/>
    <s v="Yes"/>
    <n v="11"/>
    <n v="3"/>
    <n v="4"/>
    <n v="80"/>
    <n v="0"/>
    <n v="22"/>
    <n v="4"/>
    <n v="3"/>
    <x v="11"/>
    <n v="2"/>
    <n v="1"/>
    <n v="2"/>
    <x v="1"/>
    <n v="0"/>
    <n v="0"/>
    <x v="3"/>
    <n v="1"/>
    <m/>
    <m/>
  </r>
  <r>
    <n v="36"/>
    <x v="1"/>
    <s v="Travel_Rarely"/>
    <n v="506"/>
    <s v="Research &amp; Development"/>
    <n v="3"/>
    <n v="3"/>
    <s v="Technical Degree"/>
    <n v="1"/>
    <n v="397"/>
    <n v="3"/>
    <x v="1"/>
    <n v="30"/>
    <n v="3"/>
    <x v="0"/>
    <x v="1"/>
    <x v="1"/>
    <s v="Single"/>
    <n v="4485"/>
    <n v="26285"/>
    <n v="4"/>
    <s v="Y"/>
    <s v="No"/>
    <n v="12"/>
    <n v="3"/>
    <n v="4"/>
    <n v="80"/>
    <n v="0"/>
    <n v="10"/>
    <n v="2"/>
    <n v="3"/>
    <x v="3"/>
    <n v="0"/>
    <n v="7"/>
    <n v="7"/>
    <x v="1"/>
    <n v="0"/>
    <n v="0"/>
    <x v="0"/>
    <n v="1"/>
    <m/>
    <m/>
  </r>
  <r>
    <n v="31"/>
    <x v="1"/>
    <s v="Travel_Frequently"/>
    <n v="444"/>
    <s v="Sales"/>
    <n v="5"/>
    <n v="3"/>
    <s v="Marketing"/>
    <n v="1"/>
    <n v="399"/>
    <n v="4"/>
    <x v="0"/>
    <n v="84"/>
    <n v="3"/>
    <x v="1"/>
    <x v="6"/>
    <x v="1"/>
    <s v="Divorced"/>
    <n v="2789"/>
    <n v="3909"/>
    <n v="1"/>
    <s v="Y"/>
    <s v="No"/>
    <n v="11"/>
    <n v="3"/>
    <n v="3"/>
    <n v="80"/>
    <n v="1"/>
    <n v="2"/>
    <n v="5"/>
    <n v="2"/>
    <x v="4"/>
    <n v="2"/>
    <n v="2"/>
    <n v="2"/>
    <x v="0"/>
    <n v="0"/>
    <n v="0"/>
    <x v="1"/>
    <n v="1"/>
    <m/>
    <m/>
  </r>
  <r>
    <n v="26"/>
    <x v="0"/>
    <s v="Travel_Rarely"/>
    <n v="950"/>
    <s v="Sales"/>
    <n v="4"/>
    <n v="4"/>
    <s v="Marketing"/>
    <n v="1"/>
    <n v="401"/>
    <n v="4"/>
    <x v="1"/>
    <n v="48"/>
    <n v="2"/>
    <x v="0"/>
    <x v="0"/>
    <x v="0"/>
    <s v="Single"/>
    <n v="5828"/>
    <n v="8450"/>
    <n v="1"/>
    <s v="Y"/>
    <s v="Yes"/>
    <n v="12"/>
    <n v="3"/>
    <n v="2"/>
    <n v="80"/>
    <n v="0"/>
    <n v="8"/>
    <n v="0"/>
    <n v="3"/>
    <x v="3"/>
    <n v="7"/>
    <n v="7"/>
    <n v="4"/>
    <x v="0"/>
    <n v="1"/>
    <n v="104904"/>
    <x v="0"/>
    <n v="1"/>
    <m/>
    <m/>
  </r>
  <r>
    <n v="37"/>
    <x v="1"/>
    <s v="Travel_Frequently"/>
    <n v="889"/>
    <s v="Research &amp; Development"/>
    <n v="9"/>
    <n v="3"/>
    <s v="Medical"/>
    <n v="1"/>
    <n v="403"/>
    <n v="2"/>
    <x v="1"/>
    <n v="53"/>
    <n v="3"/>
    <x v="1"/>
    <x v="1"/>
    <x v="0"/>
    <s v="Married"/>
    <n v="2326"/>
    <n v="11411"/>
    <n v="1"/>
    <s v="Y"/>
    <s v="Yes"/>
    <n v="12"/>
    <n v="3"/>
    <n v="3"/>
    <n v="80"/>
    <n v="3"/>
    <n v="4"/>
    <n v="3"/>
    <n v="2"/>
    <x v="9"/>
    <n v="2"/>
    <n v="1"/>
    <n v="2"/>
    <x v="1"/>
    <n v="0"/>
    <n v="0"/>
    <x v="1"/>
    <n v="1"/>
    <m/>
    <m/>
  </r>
  <r>
    <n v="42"/>
    <x v="1"/>
    <s v="Travel_Frequently"/>
    <n v="555"/>
    <s v="Sales"/>
    <n v="26"/>
    <n v="3"/>
    <s v="Marketing"/>
    <n v="1"/>
    <n v="404"/>
    <n v="3"/>
    <x v="0"/>
    <n v="77"/>
    <n v="3"/>
    <x v="3"/>
    <x v="0"/>
    <x v="1"/>
    <s v="Married"/>
    <n v="13525"/>
    <n v="14864"/>
    <n v="5"/>
    <s v="Y"/>
    <s v="No"/>
    <n v="14"/>
    <n v="3"/>
    <n v="4"/>
    <n v="80"/>
    <n v="1"/>
    <n v="23"/>
    <n v="2"/>
    <n v="4"/>
    <x v="23"/>
    <n v="4"/>
    <n v="4"/>
    <n v="8"/>
    <x v="0"/>
    <n v="0"/>
    <n v="0"/>
    <x v="3"/>
    <n v="1"/>
    <m/>
    <m/>
  </r>
  <r>
    <n v="18"/>
    <x v="0"/>
    <s v="Travel_Rarely"/>
    <n v="230"/>
    <s v="Research &amp; Development"/>
    <n v="3"/>
    <n v="3"/>
    <s v="Life Sciences"/>
    <n v="1"/>
    <n v="405"/>
    <n v="3"/>
    <x v="1"/>
    <n v="54"/>
    <n v="3"/>
    <x v="1"/>
    <x v="2"/>
    <x v="2"/>
    <s v="Single"/>
    <n v="1420"/>
    <n v="25233"/>
    <n v="1"/>
    <s v="Y"/>
    <s v="No"/>
    <n v="13"/>
    <n v="3"/>
    <n v="3"/>
    <n v="80"/>
    <n v="0"/>
    <n v="0"/>
    <n v="2"/>
    <n v="3"/>
    <x v="2"/>
    <n v="0"/>
    <n v="0"/>
    <n v="0"/>
    <x v="1"/>
    <n v="1"/>
    <n v="25560"/>
    <x v="1"/>
    <n v="1"/>
    <m/>
    <m/>
  </r>
  <r>
    <n v="35"/>
    <x v="1"/>
    <s v="Travel_Rarely"/>
    <n v="1232"/>
    <s v="Sales"/>
    <n v="16"/>
    <n v="3"/>
    <s v="Marketing"/>
    <n v="1"/>
    <n v="406"/>
    <n v="3"/>
    <x v="1"/>
    <n v="96"/>
    <n v="3"/>
    <x v="2"/>
    <x v="0"/>
    <x v="1"/>
    <s v="Married"/>
    <n v="8020"/>
    <n v="5100"/>
    <n v="0"/>
    <s v="Y"/>
    <s v="No"/>
    <n v="15"/>
    <n v="3"/>
    <n v="3"/>
    <n v="80"/>
    <n v="2"/>
    <n v="12"/>
    <n v="3"/>
    <n v="2"/>
    <x v="19"/>
    <n v="9"/>
    <n v="6"/>
    <n v="9"/>
    <x v="0"/>
    <n v="0"/>
    <n v="0"/>
    <x v="4"/>
    <n v="1"/>
    <m/>
    <m/>
  </r>
  <r>
    <n v="36"/>
    <x v="1"/>
    <s v="Travel_Frequently"/>
    <n v="566"/>
    <s v="Research &amp; Development"/>
    <n v="18"/>
    <n v="4"/>
    <s v="Life Sciences"/>
    <n v="1"/>
    <n v="407"/>
    <n v="3"/>
    <x v="1"/>
    <n v="81"/>
    <n v="4"/>
    <x v="1"/>
    <x v="2"/>
    <x v="0"/>
    <s v="Married"/>
    <n v="3688"/>
    <n v="7122"/>
    <n v="4"/>
    <s v="Y"/>
    <s v="No"/>
    <n v="18"/>
    <n v="3"/>
    <n v="4"/>
    <n v="80"/>
    <n v="2"/>
    <n v="4"/>
    <n v="2"/>
    <n v="3"/>
    <x v="6"/>
    <n v="0"/>
    <n v="0"/>
    <n v="0"/>
    <x v="1"/>
    <n v="0"/>
    <n v="0"/>
    <x v="0"/>
    <n v="1"/>
    <m/>
    <m/>
  </r>
  <r>
    <n v="51"/>
    <x v="1"/>
    <s v="Travel_Rarely"/>
    <n v="1302"/>
    <s v="Research &amp; Development"/>
    <n v="2"/>
    <n v="3"/>
    <s v="Medical"/>
    <n v="1"/>
    <n v="408"/>
    <n v="4"/>
    <x v="1"/>
    <n v="84"/>
    <n v="1"/>
    <x v="0"/>
    <x v="3"/>
    <x v="1"/>
    <s v="Divorced"/>
    <n v="5482"/>
    <n v="16321"/>
    <n v="5"/>
    <s v="Y"/>
    <s v="No"/>
    <n v="18"/>
    <n v="3"/>
    <n v="4"/>
    <n v="80"/>
    <n v="1"/>
    <n v="13"/>
    <n v="3"/>
    <n v="3"/>
    <x v="9"/>
    <n v="1"/>
    <n v="1"/>
    <n v="2"/>
    <x v="2"/>
    <n v="0"/>
    <n v="0"/>
    <x v="0"/>
    <n v="1"/>
    <m/>
    <m/>
  </r>
  <r>
    <n v="41"/>
    <x v="1"/>
    <s v="Travel_Rarely"/>
    <n v="334"/>
    <s v="Sales"/>
    <n v="2"/>
    <n v="4"/>
    <s v="Life Sciences"/>
    <n v="1"/>
    <n v="410"/>
    <n v="4"/>
    <x v="1"/>
    <n v="88"/>
    <n v="3"/>
    <x v="3"/>
    <x v="5"/>
    <x v="1"/>
    <s v="Single"/>
    <n v="16015"/>
    <n v="15896"/>
    <n v="1"/>
    <s v="Y"/>
    <s v="No"/>
    <n v="19"/>
    <n v="3"/>
    <n v="2"/>
    <n v="80"/>
    <n v="0"/>
    <n v="22"/>
    <n v="2"/>
    <n v="3"/>
    <x v="14"/>
    <n v="10"/>
    <n v="0"/>
    <n v="4"/>
    <x v="4"/>
    <n v="0"/>
    <n v="0"/>
    <x v="3"/>
    <n v="1"/>
    <m/>
    <m/>
  </r>
  <r>
    <n v="18"/>
    <x v="1"/>
    <s v="Travel_Rarely"/>
    <n v="812"/>
    <s v="Sales"/>
    <n v="10"/>
    <n v="3"/>
    <s v="Medical"/>
    <n v="1"/>
    <n v="411"/>
    <n v="4"/>
    <x v="0"/>
    <n v="69"/>
    <n v="2"/>
    <x v="1"/>
    <x v="6"/>
    <x v="2"/>
    <s v="Single"/>
    <n v="1200"/>
    <n v="9724"/>
    <n v="1"/>
    <s v="Y"/>
    <s v="No"/>
    <n v="12"/>
    <n v="3"/>
    <n v="1"/>
    <n v="80"/>
    <n v="0"/>
    <n v="0"/>
    <n v="2"/>
    <n v="3"/>
    <x v="2"/>
    <n v="0"/>
    <n v="0"/>
    <n v="0"/>
    <x v="0"/>
    <n v="0"/>
    <n v="0"/>
    <x v="1"/>
    <n v="1"/>
    <m/>
    <m/>
  </r>
  <r>
    <n v="28"/>
    <x v="1"/>
    <s v="Travel_Rarely"/>
    <n v="1476"/>
    <s v="Research &amp; Development"/>
    <n v="16"/>
    <n v="2"/>
    <s v="Medical"/>
    <n v="1"/>
    <n v="412"/>
    <n v="2"/>
    <x v="1"/>
    <n v="68"/>
    <n v="4"/>
    <x v="0"/>
    <x v="4"/>
    <x v="3"/>
    <s v="Single"/>
    <n v="5661"/>
    <n v="4824"/>
    <n v="0"/>
    <s v="Y"/>
    <s v="No"/>
    <n v="19"/>
    <n v="3"/>
    <n v="3"/>
    <n v="80"/>
    <n v="0"/>
    <n v="9"/>
    <n v="2"/>
    <n v="3"/>
    <x v="3"/>
    <n v="3"/>
    <n v="0"/>
    <n v="7"/>
    <x v="3"/>
    <n v="0"/>
    <n v="0"/>
    <x v="0"/>
    <n v="1"/>
    <m/>
    <m/>
  </r>
  <r>
    <n v="31"/>
    <x v="1"/>
    <s v="Travel_Rarely"/>
    <n v="218"/>
    <s v="Sales"/>
    <n v="7"/>
    <n v="3"/>
    <s v="Technical Degree"/>
    <n v="1"/>
    <n v="416"/>
    <n v="2"/>
    <x v="1"/>
    <n v="100"/>
    <n v="4"/>
    <x v="0"/>
    <x v="0"/>
    <x v="0"/>
    <s v="Married"/>
    <n v="6929"/>
    <n v="12241"/>
    <n v="4"/>
    <s v="Y"/>
    <s v="No"/>
    <n v="11"/>
    <n v="3"/>
    <n v="2"/>
    <n v="80"/>
    <n v="1"/>
    <n v="10"/>
    <n v="3"/>
    <n v="2"/>
    <x v="3"/>
    <n v="7"/>
    <n v="7"/>
    <n v="7"/>
    <x v="0"/>
    <n v="0"/>
    <n v="0"/>
    <x v="4"/>
    <n v="1"/>
    <m/>
    <m/>
  </r>
  <r>
    <n v="39"/>
    <x v="1"/>
    <s v="Travel_Rarely"/>
    <n v="1132"/>
    <s v="Research &amp; Development"/>
    <n v="1"/>
    <n v="3"/>
    <s v="Medical"/>
    <n v="1"/>
    <n v="417"/>
    <n v="3"/>
    <x v="1"/>
    <n v="48"/>
    <n v="4"/>
    <x v="2"/>
    <x v="4"/>
    <x v="0"/>
    <s v="Divorced"/>
    <n v="9613"/>
    <n v="10942"/>
    <n v="0"/>
    <s v="Y"/>
    <s v="No"/>
    <n v="17"/>
    <n v="3"/>
    <n v="1"/>
    <n v="80"/>
    <n v="3"/>
    <n v="19"/>
    <n v="5"/>
    <n v="2"/>
    <x v="29"/>
    <n v="10"/>
    <n v="3"/>
    <n v="7"/>
    <x v="3"/>
    <n v="0"/>
    <n v="0"/>
    <x v="2"/>
    <n v="1"/>
    <m/>
    <m/>
  </r>
  <r>
    <n v="36"/>
    <x v="1"/>
    <s v="Non-Travel"/>
    <n v="1105"/>
    <s v="Research &amp; Development"/>
    <n v="24"/>
    <n v="4"/>
    <s v="Life Sciences"/>
    <n v="1"/>
    <n v="419"/>
    <n v="2"/>
    <x v="0"/>
    <n v="47"/>
    <n v="3"/>
    <x v="0"/>
    <x v="2"/>
    <x v="1"/>
    <s v="Married"/>
    <n v="5674"/>
    <n v="6927"/>
    <n v="7"/>
    <s v="Y"/>
    <s v="No"/>
    <n v="15"/>
    <n v="3"/>
    <n v="3"/>
    <n v="80"/>
    <n v="1"/>
    <n v="11"/>
    <n v="3"/>
    <n v="3"/>
    <x v="7"/>
    <n v="8"/>
    <n v="0"/>
    <n v="8"/>
    <x v="1"/>
    <n v="0"/>
    <n v="0"/>
    <x v="0"/>
    <n v="1"/>
    <m/>
    <m/>
  </r>
  <r>
    <n v="32"/>
    <x v="1"/>
    <s v="Travel_Rarely"/>
    <n v="906"/>
    <s v="Sales"/>
    <n v="7"/>
    <n v="3"/>
    <s v="Life Sciences"/>
    <n v="1"/>
    <n v="420"/>
    <n v="4"/>
    <x v="1"/>
    <n v="91"/>
    <n v="2"/>
    <x v="0"/>
    <x v="0"/>
    <x v="2"/>
    <s v="Married"/>
    <n v="5484"/>
    <n v="16985"/>
    <n v="1"/>
    <s v="Y"/>
    <s v="No"/>
    <n v="14"/>
    <n v="3"/>
    <n v="3"/>
    <n v="80"/>
    <n v="1"/>
    <n v="13"/>
    <n v="3"/>
    <n v="2"/>
    <x v="20"/>
    <n v="8"/>
    <n v="4"/>
    <n v="8"/>
    <x v="0"/>
    <n v="0"/>
    <n v="0"/>
    <x v="0"/>
    <n v="1"/>
    <m/>
    <m/>
  </r>
  <r>
    <n v="38"/>
    <x v="1"/>
    <s v="Travel_Rarely"/>
    <n v="849"/>
    <s v="Research &amp; Development"/>
    <n v="25"/>
    <n v="2"/>
    <s v="Life Sciences"/>
    <n v="1"/>
    <n v="421"/>
    <n v="1"/>
    <x v="0"/>
    <n v="81"/>
    <n v="2"/>
    <x v="2"/>
    <x v="7"/>
    <x v="1"/>
    <s v="Married"/>
    <n v="12061"/>
    <n v="26707"/>
    <n v="3"/>
    <s v="Y"/>
    <s v="No"/>
    <n v="17"/>
    <n v="3"/>
    <n v="3"/>
    <n v="80"/>
    <n v="1"/>
    <n v="19"/>
    <n v="2"/>
    <n v="3"/>
    <x v="1"/>
    <n v="8"/>
    <n v="0"/>
    <n v="1"/>
    <x v="1"/>
    <n v="0"/>
    <n v="0"/>
    <x v="3"/>
    <n v="1"/>
    <m/>
    <m/>
  </r>
  <r>
    <n v="58"/>
    <x v="1"/>
    <s v="Non-Travel"/>
    <n v="390"/>
    <s v="Research &amp; Development"/>
    <n v="1"/>
    <n v="4"/>
    <s v="Life Sciences"/>
    <n v="1"/>
    <n v="422"/>
    <n v="4"/>
    <x v="1"/>
    <n v="32"/>
    <n v="1"/>
    <x v="0"/>
    <x v="4"/>
    <x v="2"/>
    <s v="Divorced"/>
    <n v="5660"/>
    <n v="17056"/>
    <n v="2"/>
    <s v="Y"/>
    <s v="Yes"/>
    <n v="13"/>
    <n v="3"/>
    <n v="4"/>
    <n v="80"/>
    <n v="1"/>
    <n v="12"/>
    <n v="2"/>
    <n v="3"/>
    <x v="8"/>
    <n v="3"/>
    <n v="1"/>
    <n v="2"/>
    <x v="3"/>
    <n v="0"/>
    <n v="0"/>
    <x v="0"/>
    <n v="1"/>
    <m/>
    <m/>
  </r>
  <r>
    <n v="31"/>
    <x v="1"/>
    <s v="Travel_Rarely"/>
    <n v="691"/>
    <s v="Research &amp; Development"/>
    <n v="5"/>
    <n v="4"/>
    <s v="Technical Degree"/>
    <n v="1"/>
    <n v="423"/>
    <n v="3"/>
    <x v="1"/>
    <n v="86"/>
    <n v="3"/>
    <x v="1"/>
    <x v="1"/>
    <x v="0"/>
    <s v="Married"/>
    <n v="4821"/>
    <n v="10077"/>
    <n v="0"/>
    <s v="Y"/>
    <s v="Yes"/>
    <n v="12"/>
    <n v="3"/>
    <n v="3"/>
    <n v="80"/>
    <n v="1"/>
    <n v="6"/>
    <n v="4"/>
    <n v="3"/>
    <x v="8"/>
    <n v="2"/>
    <n v="0"/>
    <n v="3"/>
    <x v="1"/>
    <n v="0"/>
    <n v="0"/>
    <x v="0"/>
    <n v="1"/>
    <m/>
    <m/>
  </r>
  <r>
    <n v="31"/>
    <x v="1"/>
    <s v="Travel_Rarely"/>
    <n v="106"/>
    <s v="Human Resources"/>
    <n v="2"/>
    <n v="3"/>
    <s v="Human Resources"/>
    <n v="1"/>
    <n v="424"/>
    <n v="1"/>
    <x v="1"/>
    <n v="62"/>
    <n v="2"/>
    <x v="0"/>
    <x v="8"/>
    <x v="3"/>
    <s v="Married"/>
    <n v="6410"/>
    <n v="17822"/>
    <n v="3"/>
    <s v="Y"/>
    <s v="No"/>
    <n v="12"/>
    <n v="3"/>
    <n v="4"/>
    <n v="80"/>
    <n v="0"/>
    <n v="9"/>
    <n v="1"/>
    <n v="3"/>
    <x v="4"/>
    <n v="2"/>
    <n v="1"/>
    <n v="0"/>
    <x v="5"/>
    <n v="0"/>
    <n v="0"/>
    <x v="4"/>
    <n v="1"/>
    <m/>
    <m/>
  </r>
  <r>
    <n v="45"/>
    <x v="1"/>
    <s v="Travel_Frequently"/>
    <n v="1249"/>
    <s v="Research &amp; Development"/>
    <n v="7"/>
    <n v="3"/>
    <s v="Life Sciences"/>
    <n v="1"/>
    <n v="425"/>
    <n v="1"/>
    <x v="1"/>
    <n v="97"/>
    <n v="3"/>
    <x v="2"/>
    <x v="2"/>
    <x v="3"/>
    <s v="Divorced"/>
    <n v="5210"/>
    <n v="20308"/>
    <n v="1"/>
    <s v="Y"/>
    <s v="No"/>
    <n v="18"/>
    <n v="3"/>
    <n v="1"/>
    <n v="80"/>
    <n v="1"/>
    <n v="24"/>
    <n v="2"/>
    <n v="3"/>
    <x v="25"/>
    <n v="9"/>
    <n v="9"/>
    <n v="11"/>
    <x v="1"/>
    <n v="0"/>
    <n v="0"/>
    <x v="0"/>
    <n v="1"/>
    <m/>
    <m/>
  </r>
  <r>
    <n v="31"/>
    <x v="1"/>
    <s v="Travel_Rarely"/>
    <n v="192"/>
    <s v="Research &amp; Development"/>
    <n v="2"/>
    <n v="4"/>
    <s v="Life Sciences"/>
    <n v="1"/>
    <n v="426"/>
    <n v="3"/>
    <x v="1"/>
    <n v="32"/>
    <n v="3"/>
    <x v="1"/>
    <x v="1"/>
    <x v="0"/>
    <s v="Divorced"/>
    <n v="2695"/>
    <n v="7747"/>
    <n v="0"/>
    <s v="Y"/>
    <s v="Yes"/>
    <n v="18"/>
    <n v="3"/>
    <n v="2"/>
    <n v="80"/>
    <n v="1"/>
    <n v="3"/>
    <n v="2"/>
    <n v="1"/>
    <x v="4"/>
    <n v="2"/>
    <n v="2"/>
    <n v="2"/>
    <x v="1"/>
    <n v="0"/>
    <n v="0"/>
    <x v="1"/>
    <n v="1"/>
    <m/>
    <m/>
  </r>
  <r>
    <n v="33"/>
    <x v="1"/>
    <s v="Travel_Frequently"/>
    <n v="553"/>
    <s v="Research &amp; Development"/>
    <n v="5"/>
    <n v="4"/>
    <s v="Life Sciences"/>
    <n v="1"/>
    <n v="428"/>
    <n v="4"/>
    <x v="0"/>
    <n v="74"/>
    <n v="3"/>
    <x v="2"/>
    <x v="5"/>
    <x v="1"/>
    <s v="Married"/>
    <n v="11878"/>
    <n v="23364"/>
    <n v="6"/>
    <s v="Y"/>
    <s v="No"/>
    <n v="11"/>
    <n v="3"/>
    <n v="2"/>
    <n v="80"/>
    <n v="2"/>
    <n v="12"/>
    <n v="2"/>
    <n v="3"/>
    <x v="1"/>
    <n v="6"/>
    <n v="8"/>
    <n v="8"/>
    <x v="4"/>
    <n v="0"/>
    <n v="0"/>
    <x v="2"/>
    <n v="1"/>
    <m/>
    <m/>
  </r>
  <r>
    <n v="39"/>
    <x v="1"/>
    <s v="Travel_Rarely"/>
    <n v="117"/>
    <s v="Research &amp; Development"/>
    <n v="10"/>
    <n v="1"/>
    <s v="Medical"/>
    <n v="1"/>
    <n v="429"/>
    <n v="3"/>
    <x v="1"/>
    <n v="99"/>
    <n v="3"/>
    <x v="3"/>
    <x v="5"/>
    <x v="3"/>
    <s v="Married"/>
    <n v="17068"/>
    <n v="5355"/>
    <n v="1"/>
    <s v="Y"/>
    <s v="Yes"/>
    <n v="14"/>
    <n v="3"/>
    <n v="4"/>
    <n v="80"/>
    <n v="0"/>
    <n v="21"/>
    <n v="3"/>
    <n v="3"/>
    <x v="17"/>
    <n v="9"/>
    <n v="11"/>
    <n v="10"/>
    <x v="4"/>
    <n v="0"/>
    <n v="0"/>
    <x v="3"/>
    <n v="1"/>
    <m/>
    <m/>
  </r>
  <r>
    <n v="43"/>
    <x v="1"/>
    <s v="Travel_Frequently"/>
    <n v="185"/>
    <s v="Research &amp; Development"/>
    <n v="10"/>
    <n v="4"/>
    <s v="Life Sciences"/>
    <n v="1"/>
    <n v="430"/>
    <n v="3"/>
    <x v="0"/>
    <n v="33"/>
    <n v="3"/>
    <x v="1"/>
    <x v="2"/>
    <x v="0"/>
    <s v="Single"/>
    <n v="2455"/>
    <n v="10675"/>
    <n v="0"/>
    <s v="Y"/>
    <s v="No"/>
    <n v="19"/>
    <n v="3"/>
    <n v="1"/>
    <n v="80"/>
    <n v="0"/>
    <n v="9"/>
    <n v="5"/>
    <n v="3"/>
    <x v="3"/>
    <n v="7"/>
    <n v="1"/>
    <n v="7"/>
    <x v="1"/>
    <n v="0"/>
    <n v="0"/>
    <x v="1"/>
    <n v="1"/>
    <m/>
    <m/>
  </r>
  <r>
    <n v="49"/>
    <x v="1"/>
    <s v="Travel_Rarely"/>
    <n v="1091"/>
    <s v="Research &amp; Development"/>
    <n v="1"/>
    <n v="2"/>
    <s v="Technical Degree"/>
    <n v="1"/>
    <n v="431"/>
    <n v="3"/>
    <x v="0"/>
    <n v="90"/>
    <n v="2"/>
    <x v="3"/>
    <x v="4"/>
    <x v="2"/>
    <s v="Single"/>
    <n v="13964"/>
    <n v="17810"/>
    <n v="7"/>
    <s v="Y"/>
    <s v="Yes"/>
    <n v="12"/>
    <n v="3"/>
    <n v="4"/>
    <n v="80"/>
    <n v="0"/>
    <n v="25"/>
    <n v="2"/>
    <n v="3"/>
    <x v="5"/>
    <n v="1"/>
    <n v="0"/>
    <n v="7"/>
    <x v="3"/>
    <n v="0"/>
    <n v="0"/>
    <x v="3"/>
    <n v="1"/>
    <m/>
    <m/>
  </r>
  <r>
    <n v="52"/>
    <x v="0"/>
    <s v="Travel_Rarely"/>
    <n v="723"/>
    <s v="Research &amp; Development"/>
    <n v="8"/>
    <n v="4"/>
    <s v="Medical"/>
    <n v="1"/>
    <n v="433"/>
    <n v="3"/>
    <x v="1"/>
    <n v="85"/>
    <n v="2"/>
    <x v="0"/>
    <x v="1"/>
    <x v="1"/>
    <s v="Married"/>
    <n v="4941"/>
    <n v="17747"/>
    <n v="2"/>
    <s v="Y"/>
    <s v="No"/>
    <n v="15"/>
    <n v="3"/>
    <n v="1"/>
    <n v="80"/>
    <n v="0"/>
    <n v="11"/>
    <n v="3"/>
    <n v="2"/>
    <x v="3"/>
    <n v="2"/>
    <n v="7"/>
    <n v="7"/>
    <x v="1"/>
    <n v="1"/>
    <n v="88938"/>
    <x v="0"/>
    <n v="1"/>
    <m/>
    <m/>
  </r>
  <r>
    <n v="27"/>
    <x v="1"/>
    <s v="Travel_Rarely"/>
    <n v="1220"/>
    <s v="Research &amp; Development"/>
    <n v="5"/>
    <n v="3"/>
    <s v="Life Sciences"/>
    <n v="1"/>
    <n v="434"/>
    <n v="3"/>
    <x v="0"/>
    <n v="85"/>
    <n v="3"/>
    <x v="1"/>
    <x v="1"/>
    <x v="1"/>
    <s v="Single"/>
    <n v="2478"/>
    <n v="20938"/>
    <n v="1"/>
    <s v="Y"/>
    <s v="Yes"/>
    <n v="12"/>
    <n v="3"/>
    <n v="2"/>
    <n v="80"/>
    <n v="0"/>
    <n v="4"/>
    <n v="2"/>
    <n v="2"/>
    <x v="9"/>
    <n v="3"/>
    <n v="1"/>
    <n v="2"/>
    <x v="1"/>
    <n v="0"/>
    <n v="0"/>
    <x v="1"/>
    <n v="1"/>
    <m/>
    <m/>
  </r>
  <r>
    <n v="32"/>
    <x v="1"/>
    <s v="Travel_Rarely"/>
    <n v="588"/>
    <s v="Sales"/>
    <n v="8"/>
    <n v="2"/>
    <s v="Technical Degree"/>
    <n v="1"/>
    <n v="436"/>
    <n v="3"/>
    <x v="0"/>
    <n v="65"/>
    <n v="2"/>
    <x v="0"/>
    <x v="0"/>
    <x v="1"/>
    <s v="Married"/>
    <n v="5228"/>
    <n v="24624"/>
    <n v="1"/>
    <s v="Y"/>
    <s v="Yes"/>
    <n v="11"/>
    <n v="3"/>
    <n v="4"/>
    <n v="80"/>
    <n v="0"/>
    <n v="13"/>
    <n v="2"/>
    <n v="3"/>
    <x v="20"/>
    <n v="12"/>
    <n v="11"/>
    <n v="9"/>
    <x v="0"/>
    <n v="0"/>
    <n v="0"/>
    <x v="0"/>
    <n v="1"/>
    <m/>
    <m/>
  </r>
  <r>
    <n v="27"/>
    <x v="1"/>
    <s v="Travel_Rarely"/>
    <n v="1377"/>
    <s v="Sales"/>
    <n v="2"/>
    <n v="3"/>
    <s v="Life Sciences"/>
    <n v="1"/>
    <n v="437"/>
    <n v="4"/>
    <x v="1"/>
    <n v="74"/>
    <n v="3"/>
    <x v="0"/>
    <x v="0"/>
    <x v="2"/>
    <s v="Single"/>
    <n v="4478"/>
    <n v="5242"/>
    <n v="1"/>
    <s v="Y"/>
    <s v="Yes"/>
    <n v="11"/>
    <n v="3"/>
    <n v="1"/>
    <n v="80"/>
    <n v="0"/>
    <n v="5"/>
    <n v="3"/>
    <n v="3"/>
    <x v="8"/>
    <n v="4"/>
    <n v="0"/>
    <n v="4"/>
    <x v="0"/>
    <n v="0"/>
    <n v="0"/>
    <x v="0"/>
    <n v="1"/>
    <m/>
    <m/>
  </r>
  <r>
    <n v="31"/>
    <x v="1"/>
    <s v="Travel_Rarely"/>
    <n v="691"/>
    <s v="Sales"/>
    <n v="7"/>
    <n v="3"/>
    <s v="Marketing"/>
    <n v="1"/>
    <n v="438"/>
    <n v="4"/>
    <x v="1"/>
    <n v="73"/>
    <n v="3"/>
    <x v="0"/>
    <x v="0"/>
    <x v="0"/>
    <s v="Divorced"/>
    <n v="7547"/>
    <n v="7143"/>
    <n v="4"/>
    <s v="Y"/>
    <s v="No"/>
    <n v="12"/>
    <n v="3"/>
    <n v="4"/>
    <n v="80"/>
    <n v="3"/>
    <n v="13"/>
    <n v="3"/>
    <n v="3"/>
    <x v="5"/>
    <n v="7"/>
    <n v="1"/>
    <n v="7"/>
    <x v="0"/>
    <n v="0"/>
    <n v="0"/>
    <x v="4"/>
    <n v="1"/>
    <m/>
    <m/>
  </r>
  <r>
    <n v="32"/>
    <x v="1"/>
    <s v="Travel_Rarely"/>
    <n v="1018"/>
    <s v="Research &amp; Development"/>
    <n v="2"/>
    <n v="4"/>
    <s v="Medical"/>
    <n v="1"/>
    <n v="439"/>
    <n v="1"/>
    <x v="0"/>
    <n v="74"/>
    <n v="4"/>
    <x v="0"/>
    <x v="1"/>
    <x v="0"/>
    <s v="Single"/>
    <n v="5055"/>
    <n v="10557"/>
    <n v="7"/>
    <s v="Y"/>
    <s v="No"/>
    <n v="16"/>
    <n v="3"/>
    <n v="3"/>
    <n v="80"/>
    <n v="0"/>
    <n v="10"/>
    <n v="0"/>
    <n v="2"/>
    <x v="5"/>
    <n v="7"/>
    <n v="0"/>
    <n v="7"/>
    <x v="1"/>
    <n v="0"/>
    <n v="0"/>
    <x v="0"/>
    <n v="1"/>
    <m/>
    <m/>
  </r>
  <r>
    <n v="28"/>
    <x v="0"/>
    <s v="Travel_Rarely"/>
    <n v="1157"/>
    <s v="Research &amp; Development"/>
    <n v="2"/>
    <n v="4"/>
    <s v="Medical"/>
    <n v="1"/>
    <n v="440"/>
    <n v="1"/>
    <x v="1"/>
    <n v="84"/>
    <n v="1"/>
    <x v="1"/>
    <x v="1"/>
    <x v="0"/>
    <s v="Married"/>
    <n v="3464"/>
    <n v="24737"/>
    <n v="5"/>
    <s v="Y"/>
    <s v="Yes"/>
    <n v="13"/>
    <n v="3"/>
    <n v="4"/>
    <n v="80"/>
    <n v="0"/>
    <n v="5"/>
    <n v="4"/>
    <n v="2"/>
    <x v="11"/>
    <n v="2"/>
    <n v="2"/>
    <n v="2"/>
    <x v="1"/>
    <n v="1"/>
    <n v="62352"/>
    <x v="0"/>
    <n v="1"/>
    <m/>
    <m/>
  </r>
  <r>
    <n v="30"/>
    <x v="1"/>
    <s v="Travel_Rarely"/>
    <n v="1275"/>
    <s v="Research &amp; Development"/>
    <n v="28"/>
    <n v="2"/>
    <s v="Medical"/>
    <n v="1"/>
    <n v="441"/>
    <n v="4"/>
    <x v="0"/>
    <n v="64"/>
    <n v="3"/>
    <x v="0"/>
    <x v="1"/>
    <x v="0"/>
    <s v="Married"/>
    <n v="5775"/>
    <n v="11934"/>
    <n v="1"/>
    <s v="Y"/>
    <s v="No"/>
    <n v="13"/>
    <n v="3"/>
    <n v="4"/>
    <n v="80"/>
    <n v="2"/>
    <n v="11"/>
    <n v="2"/>
    <n v="3"/>
    <x v="1"/>
    <n v="8"/>
    <n v="1"/>
    <n v="9"/>
    <x v="1"/>
    <n v="0"/>
    <n v="0"/>
    <x v="0"/>
    <n v="1"/>
    <m/>
    <m/>
  </r>
  <r>
    <n v="31"/>
    <x v="1"/>
    <s v="Travel_Frequently"/>
    <n v="798"/>
    <s v="Research &amp; Development"/>
    <n v="7"/>
    <n v="2"/>
    <s v="Life Sciences"/>
    <n v="1"/>
    <n v="442"/>
    <n v="3"/>
    <x v="0"/>
    <n v="48"/>
    <n v="2"/>
    <x v="2"/>
    <x v="3"/>
    <x v="2"/>
    <s v="Married"/>
    <n v="8943"/>
    <n v="14034"/>
    <n v="1"/>
    <s v="Y"/>
    <s v="No"/>
    <n v="24"/>
    <n v="4"/>
    <n v="1"/>
    <n v="80"/>
    <n v="1"/>
    <n v="10"/>
    <n v="2"/>
    <n v="3"/>
    <x v="1"/>
    <n v="9"/>
    <n v="8"/>
    <n v="9"/>
    <x v="2"/>
    <n v="0"/>
    <n v="0"/>
    <x v="4"/>
    <n v="1"/>
    <m/>
    <m/>
  </r>
  <r>
    <n v="39"/>
    <x v="1"/>
    <s v="Travel_Frequently"/>
    <n v="672"/>
    <s v="Research &amp; Development"/>
    <n v="7"/>
    <n v="2"/>
    <s v="Medical"/>
    <n v="1"/>
    <n v="444"/>
    <n v="3"/>
    <x v="1"/>
    <n v="54"/>
    <n v="2"/>
    <x v="4"/>
    <x v="5"/>
    <x v="0"/>
    <s v="Married"/>
    <n v="19272"/>
    <n v="21141"/>
    <n v="1"/>
    <s v="Y"/>
    <s v="No"/>
    <n v="15"/>
    <n v="3"/>
    <n v="1"/>
    <n v="80"/>
    <n v="1"/>
    <n v="21"/>
    <n v="2"/>
    <n v="3"/>
    <x v="17"/>
    <n v="9"/>
    <n v="13"/>
    <n v="3"/>
    <x v="4"/>
    <n v="0"/>
    <n v="0"/>
    <x v="3"/>
    <n v="1"/>
    <m/>
    <m/>
  </r>
  <r>
    <n v="39"/>
    <x v="0"/>
    <s v="Travel_Rarely"/>
    <n v="1162"/>
    <s v="Sales"/>
    <n v="3"/>
    <n v="2"/>
    <s v="Medical"/>
    <n v="1"/>
    <n v="445"/>
    <n v="4"/>
    <x v="0"/>
    <n v="41"/>
    <n v="3"/>
    <x v="0"/>
    <x v="0"/>
    <x v="2"/>
    <s v="Married"/>
    <n v="5238"/>
    <n v="17778"/>
    <n v="4"/>
    <s v="Y"/>
    <s v="Yes"/>
    <n v="18"/>
    <n v="3"/>
    <n v="1"/>
    <n v="80"/>
    <n v="0"/>
    <n v="12"/>
    <n v="3"/>
    <n v="2"/>
    <x v="6"/>
    <n v="0"/>
    <n v="0"/>
    <n v="0"/>
    <x v="0"/>
    <n v="1"/>
    <n v="94284"/>
    <x v="0"/>
    <n v="1"/>
    <m/>
    <m/>
  </r>
  <r>
    <n v="33"/>
    <x v="1"/>
    <s v="Travel_Frequently"/>
    <n v="508"/>
    <s v="Sales"/>
    <n v="10"/>
    <n v="3"/>
    <s v="Marketing"/>
    <n v="1"/>
    <n v="446"/>
    <n v="2"/>
    <x v="1"/>
    <n v="46"/>
    <n v="2"/>
    <x v="0"/>
    <x v="0"/>
    <x v="0"/>
    <s v="Single"/>
    <n v="4682"/>
    <n v="4317"/>
    <n v="3"/>
    <s v="Y"/>
    <s v="No"/>
    <n v="14"/>
    <n v="3"/>
    <n v="3"/>
    <n v="80"/>
    <n v="0"/>
    <n v="9"/>
    <n v="6"/>
    <n v="2"/>
    <x v="5"/>
    <n v="7"/>
    <n v="0"/>
    <n v="1"/>
    <x v="0"/>
    <n v="0"/>
    <n v="0"/>
    <x v="0"/>
    <n v="1"/>
    <m/>
    <m/>
  </r>
  <r>
    <n v="47"/>
    <x v="1"/>
    <s v="Travel_Rarely"/>
    <n v="1482"/>
    <s v="Research &amp; Development"/>
    <n v="5"/>
    <n v="5"/>
    <s v="Life Sciences"/>
    <n v="1"/>
    <n v="447"/>
    <n v="4"/>
    <x v="1"/>
    <n v="42"/>
    <n v="3"/>
    <x v="4"/>
    <x v="7"/>
    <x v="2"/>
    <s v="Married"/>
    <n v="18300"/>
    <n v="16375"/>
    <n v="4"/>
    <s v="Y"/>
    <s v="No"/>
    <n v="11"/>
    <n v="3"/>
    <n v="2"/>
    <n v="80"/>
    <n v="1"/>
    <n v="21"/>
    <n v="2"/>
    <n v="3"/>
    <x v="11"/>
    <n v="2"/>
    <n v="1"/>
    <n v="1"/>
    <x v="1"/>
    <n v="0"/>
    <n v="0"/>
    <x v="3"/>
    <n v="1"/>
    <m/>
    <m/>
  </r>
  <r>
    <n v="43"/>
    <x v="1"/>
    <s v="Travel_Frequently"/>
    <n v="559"/>
    <s v="Research &amp; Development"/>
    <n v="10"/>
    <n v="4"/>
    <s v="Life Sciences"/>
    <n v="1"/>
    <n v="448"/>
    <n v="3"/>
    <x v="0"/>
    <n v="82"/>
    <n v="2"/>
    <x v="0"/>
    <x v="2"/>
    <x v="2"/>
    <s v="Divorced"/>
    <n v="5257"/>
    <n v="6227"/>
    <n v="1"/>
    <s v="Y"/>
    <s v="No"/>
    <n v="11"/>
    <n v="3"/>
    <n v="2"/>
    <n v="80"/>
    <n v="1"/>
    <n v="9"/>
    <n v="3"/>
    <n v="4"/>
    <x v="7"/>
    <n v="7"/>
    <n v="0"/>
    <n v="0"/>
    <x v="1"/>
    <n v="0"/>
    <n v="0"/>
    <x v="0"/>
    <n v="1"/>
    <m/>
    <m/>
  </r>
  <r>
    <n v="27"/>
    <x v="1"/>
    <s v="Non-Travel"/>
    <n v="210"/>
    <s v="Sales"/>
    <n v="1"/>
    <n v="1"/>
    <s v="Marketing"/>
    <n v="1"/>
    <n v="449"/>
    <n v="3"/>
    <x v="1"/>
    <n v="73"/>
    <n v="3"/>
    <x v="0"/>
    <x v="0"/>
    <x v="1"/>
    <s v="Married"/>
    <n v="6349"/>
    <n v="22107"/>
    <n v="0"/>
    <s v="Y"/>
    <s v="Yes"/>
    <n v="13"/>
    <n v="3"/>
    <n v="4"/>
    <n v="80"/>
    <n v="1"/>
    <n v="6"/>
    <n v="0"/>
    <n v="3"/>
    <x v="8"/>
    <n v="4"/>
    <n v="1"/>
    <n v="4"/>
    <x v="0"/>
    <n v="0"/>
    <n v="0"/>
    <x v="4"/>
    <n v="1"/>
    <m/>
    <m/>
  </r>
  <r>
    <n v="54"/>
    <x v="1"/>
    <s v="Travel_Frequently"/>
    <n v="928"/>
    <s v="Research &amp; Development"/>
    <n v="20"/>
    <n v="4"/>
    <s v="Life Sciences"/>
    <n v="1"/>
    <n v="450"/>
    <n v="4"/>
    <x v="0"/>
    <n v="31"/>
    <n v="3"/>
    <x v="0"/>
    <x v="1"/>
    <x v="2"/>
    <s v="Single"/>
    <n v="4869"/>
    <n v="16885"/>
    <n v="3"/>
    <s v="Y"/>
    <s v="No"/>
    <n v="12"/>
    <n v="3"/>
    <n v="4"/>
    <n v="80"/>
    <n v="0"/>
    <n v="20"/>
    <n v="4"/>
    <n v="2"/>
    <x v="9"/>
    <n v="3"/>
    <n v="0"/>
    <n v="3"/>
    <x v="1"/>
    <n v="0"/>
    <n v="0"/>
    <x v="0"/>
    <n v="1"/>
    <m/>
    <m/>
  </r>
  <r>
    <n v="43"/>
    <x v="1"/>
    <s v="Travel_Rarely"/>
    <n v="1001"/>
    <s v="Research &amp; Development"/>
    <n v="7"/>
    <n v="3"/>
    <s v="Life Sciences"/>
    <n v="1"/>
    <n v="451"/>
    <n v="3"/>
    <x v="0"/>
    <n v="43"/>
    <n v="3"/>
    <x v="2"/>
    <x v="4"/>
    <x v="3"/>
    <s v="Married"/>
    <n v="9985"/>
    <n v="9262"/>
    <n v="8"/>
    <s v="Y"/>
    <s v="No"/>
    <n v="16"/>
    <n v="3"/>
    <n v="1"/>
    <n v="80"/>
    <n v="1"/>
    <n v="10"/>
    <n v="1"/>
    <n v="2"/>
    <x v="6"/>
    <n v="0"/>
    <n v="0"/>
    <n v="0"/>
    <x v="3"/>
    <n v="0"/>
    <n v="0"/>
    <x v="2"/>
    <n v="1"/>
    <m/>
    <m/>
  </r>
  <r>
    <n v="45"/>
    <x v="1"/>
    <s v="Travel_Rarely"/>
    <n v="549"/>
    <s v="Research &amp; Development"/>
    <n v="8"/>
    <n v="4"/>
    <s v="Other"/>
    <n v="1"/>
    <n v="452"/>
    <n v="4"/>
    <x v="1"/>
    <n v="75"/>
    <n v="3"/>
    <x v="0"/>
    <x v="1"/>
    <x v="0"/>
    <s v="Married"/>
    <n v="3697"/>
    <n v="9278"/>
    <n v="9"/>
    <s v="Y"/>
    <s v="No"/>
    <n v="14"/>
    <n v="3"/>
    <n v="1"/>
    <n v="80"/>
    <n v="2"/>
    <n v="12"/>
    <n v="3"/>
    <n v="3"/>
    <x v="1"/>
    <n v="9"/>
    <n v="9"/>
    <n v="8"/>
    <x v="1"/>
    <n v="0"/>
    <n v="0"/>
    <x v="0"/>
    <n v="1"/>
    <m/>
    <m/>
  </r>
  <r>
    <n v="40"/>
    <x v="1"/>
    <s v="Travel_Rarely"/>
    <n v="1124"/>
    <s v="Sales"/>
    <n v="1"/>
    <n v="2"/>
    <s v="Medical"/>
    <n v="1"/>
    <n v="453"/>
    <n v="2"/>
    <x v="1"/>
    <n v="57"/>
    <n v="1"/>
    <x v="0"/>
    <x v="0"/>
    <x v="0"/>
    <s v="Married"/>
    <n v="7457"/>
    <n v="13273"/>
    <n v="2"/>
    <s v="Y"/>
    <s v="Yes"/>
    <n v="22"/>
    <n v="4"/>
    <n v="3"/>
    <n v="80"/>
    <n v="3"/>
    <n v="6"/>
    <n v="2"/>
    <n v="2"/>
    <x v="9"/>
    <n v="3"/>
    <n v="0"/>
    <n v="2"/>
    <x v="0"/>
    <n v="0"/>
    <n v="0"/>
    <x v="4"/>
    <n v="1"/>
    <m/>
    <m/>
  </r>
  <r>
    <n v="29"/>
    <x v="0"/>
    <s v="Travel_Rarely"/>
    <n v="318"/>
    <s v="Research &amp; Development"/>
    <n v="8"/>
    <n v="4"/>
    <s v="Other"/>
    <n v="1"/>
    <n v="454"/>
    <n v="2"/>
    <x v="1"/>
    <n v="77"/>
    <n v="1"/>
    <x v="1"/>
    <x v="2"/>
    <x v="3"/>
    <s v="Married"/>
    <n v="2119"/>
    <n v="4759"/>
    <n v="1"/>
    <s v="Y"/>
    <s v="Yes"/>
    <n v="11"/>
    <n v="3"/>
    <n v="4"/>
    <n v="80"/>
    <n v="0"/>
    <n v="7"/>
    <n v="4"/>
    <n v="2"/>
    <x v="5"/>
    <n v="7"/>
    <n v="0"/>
    <n v="7"/>
    <x v="1"/>
    <n v="1"/>
    <n v="38142"/>
    <x v="1"/>
    <n v="1"/>
    <m/>
    <m/>
  </r>
  <r>
    <n v="29"/>
    <x v="1"/>
    <s v="Travel_Rarely"/>
    <n v="738"/>
    <s v="Research &amp; Development"/>
    <n v="9"/>
    <n v="5"/>
    <s v="Other"/>
    <n v="1"/>
    <n v="455"/>
    <n v="2"/>
    <x v="1"/>
    <n v="30"/>
    <n v="2"/>
    <x v="1"/>
    <x v="2"/>
    <x v="0"/>
    <s v="Single"/>
    <n v="3983"/>
    <n v="7621"/>
    <n v="0"/>
    <s v="Y"/>
    <s v="No"/>
    <n v="17"/>
    <n v="3"/>
    <n v="3"/>
    <n v="80"/>
    <n v="0"/>
    <n v="4"/>
    <n v="2"/>
    <n v="3"/>
    <x v="11"/>
    <n v="2"/>
    <n v="2"/>
    <n v="2"/>
    <x v="1"/>
    <n v="0"/>
    <n v="0"/>
    <x v="0"/>
    <n v="1"/>
    <m/>
    <m/>
  </r>
  <r>
    <n v="30"/>
    <x v="1"/>
    <s v="Travel_Rarely"/>
    <n v="570"/>
    <s v="Sales"/>
    <n v="5"/>
    <n v="3"/>
    <s v="Marketing"/>
    <n v="1"/>
    <n v="456"/>
    <n v="4"/>
    <x v="0"/>
    <n v="30"/>
    <n v="2"/>
    <x v="0"/>
    <x v="0"/>
    <x v="2"/>
    <s v="Divorced"/>
    <n v="6118"/>
    <n v="5431"/>
    <n v="1"/>
    <s v="Y"/>
    <s v="No"/>
    <n v="13"/>
    <n v="3"/>
    <n v="3"/>
    <n v="80"/>
    <n v="3"/>
    <n v="10"/>
    <n v="2"/>
    <n v="3"/>
    <x v="1"/>
    <n v="9"/>
    <n v="1"/>
    <n v="2"/>
    <x v="0"/>
    <n v="0"/>
    <n v="0"/>
    <x v="4"/>
    <n v="1"/>
    <m/>
    <m/>
  </r>
  <r>
    <n v="27"/>
    <x v="1"/>
    <s v="Travel_Rarely"/>
    <n v="1130"/>
    <s v="Sales"/>
    <n v="8"/>
    <n v="4"/>
    <s v="Marketing"/>
    <n v="1"/>
    <n v="458"/>
    <n v="2"/>
    <x v="0"/>
    <n v="56"/>
    <n v="3"/>
    <x v="0"/>
    <x v="0"/>
    <x v="1"/>
    <s v="Married"/>
    <n v="6214"/>
    <n v="3415"/>
    <n v="1"/>
    <s v="Y"/>
    <s v="No"/>
    <n v="18"/>
    <n v="3"/>
    <n v="1"/>
    <n v="80"/>
    <n v="1"/>
    <n v="8"/>
    <n v="3"/>
    <n v="3"/>
    <x v="3"/>
    <n v="7"/>
    <n v="0"/>
    <n v="7"/>
    <x v="0"/>
    <n v="0"/>
    <n v="0"/>
    <x v="4"/>
    <n v="1"/>
    <m/>
    <m/>
  </r>
  <r>
    <n v="37"/>
    <x v="1"/>
    <s v="Travel_Rarely"/>
    <n v="1192"/>
    <s v="Research &amp; Development"/>
    <n v="5"/>
    <n v="2"/>
    <s v="Medical"/>
    <n v="1"/>
    <n v="460"/>
    <n v="4"/>
    <x v="1"/>
    <n v="61"/>
    <n v="3"/>
    <x v="0"/>
    <x v="3"/>
    <x v="0"/>
    <s v="Divorced"/>
    <n v="6347"/>
    <n v="23177"/>
    <n v="7"/>
    <s v="Y"/>
    <s v="No"/>
    <n v="16"/>
    <n v="3"/>
    <n v="3"/>
    <n v="80"/>
    <n v="2"/>
    <n v="8"/>
    <n v="2"/>
    <n v="2"/>
    <x v="0"/>
    <n v="2"/>
    <n v="0"/>
    <n v="4"/>
    <x v="2"/>
    <n v="0"/>
    <n v="0"/>
    <x v="4"/>
    <n v="1"/>
    <m/>
    <m/>
  </r>
  <r>
    <n v="38"/>
    <x v="1"/>
    <s v="Travel_Rarely"/>
    <n v="343"/>
    <s v="Research &amp; Development"/>
    <n v="15"/>
    <n v="2"/>
    <s v="Life Sciences"/>
    <n v="1"/>
    <n v="461"/>
    <n v="3"/>
    <x v="1"/>
    <n v="92"/>
    <n v="2"/>
    <x v="2"/>
    <x v="7"/>
    <x v="0"/>
    <s v="Divorced"/>
    <n v="11510"/>
    <n v="15682"/>
    <n v="0"/>
    <s v="Y"/>
    <s v="Yes"/>
    <n v="14"/>
    <n v="3"/>
    <n v="2"/>
    <n v="80"/>
    <n v="1"/>
    <n v="12"/>
    <n v="3"/>
    <n v="3"/>
    <x v="19"/>
    <n v="10"/>
    <n v="2"/>
    <n v="9"/>
    <x v="1"/>
    <n v="0"/>
    <n v="0"/>
    <x v="2"/>
    <n v="1"/>
    <m/>
    <m/>
  </r>
  <r>
    <n v="31"/>
    <x v="1"/>
    <s v="Travel_Rarely"/>
    <n v="1232"/>
    <s v="Research &amp; Development"/>
    <n v="7"/>
    <n v="4"/>
    <s v="Medical"/>
    <n v="1"/>
    <n v="462"/>
    <n v="3"/>
    <x v="0"/>
    <n v="39"/>
    <n v="3"/>
    <x v="2"/>
    <x v="3"/>
    <x v="0"/>
    <s v="Single"/>
    <n v="7143"/>
    <n v="25713"/>
    <n v="1"/>
    <s v="Y"/>
    <s v="Yes"/>
    <n v="14"/>
    <n v="3"/>
    <n v="3"/>
    <n v="80"/>
    <n v="0"/>
    <n v="11"/>
    <n v="2"/>
    <n v="2"/>
    <x v="19"/>
    <n v="9"/>
    <n v="4"/>
    <n v="10"/>
    <x v="2"/>
    <n v="0"/>
    <n v="0"/>
    <x v="4"/>
    <n v="1"/>
    <m/>
    <m/>
  </r>
  <r>
    <n v="29"/>
    <x v="1"/>
    <s v="Travel_Rarely"/>
    <n v="144"/>
    <s v="Sales"/>
    <n v="10"/>
    <n v="1"/>
    <s v="Marketing"/>
    <n v="1"/>
    <n v="463"/>
    <n v="4"/>
    <x v="0"/>
    <n v="39"/>
    <n v="2"/>
    <x v="0"/>
    <x v="0"/>
    <x v="1"/>
    <s v="Divorced"/>
    <n v="8268"/>
    <n v="11866"/>
    <n v="1"/>
    <s v="Y"/>
    <s v="Yes"/>
    <n v="14"/>
    <n v="3"/>
    <n v="1"/>
    <n v="80"/>
    <n v="2"/>
    <n v="7"/>
    <n v="2"/>
    <n v="3"/>
    <x v="5"/>
    <n v="7"/>
    <n v="1"/>
    <n v="7"/>
    <x v="0"/>
    <n v="0"/>
    <n v="0"/>
    <x v="4"/>
    <n v="1"/>
    <m/>
    <m/>
  </r>
  <r>
    <n v="35"/>
    <x v="1"/>
    <s v="Travel_Rarely"/>
    <n v="1296"/>
    <s v="Research &amp; Development"/>
    <n v="5"/>
    <n v="4"/>
    <s v="Technical Degree"/>
    <n v="1"/>
    <n v="464"/>
    <n v="3"/>
    <x v="1"/>
    <n v="62"/>
    <n v="3"/>
    <x v="2"/>
    <x v="3"/>
    <x v="1"/>
    <s v="Single"/>
    <n v="8095"/>
    <n v="18264"/>
    <n v="0"/>
    <s v="Y"/>
    <s v="No"/>
    <n v="13"/>
    <n v="3"/>
    <n v="4"/>
    <n v="80"/>
    <n v="0"/>
    <n v="17"/>
    <n v="5"/>
    <n v="3"/>
    <x v="22"/>
    <n v="6"/>
    <n v="0"/>
    <n v="13"/>
    <x v="2"/>
    <n v="0"/>
    <n v="0"/>
    <x v="4"/>
    <n v="1"/>
    <m/>
    <m/>
  </r>
  <r>
    <n v="23"/>
    <x v="1"/>
    <s v="Travel_Rarely"/>
    <n v="1309"/>
    <s v="Research &amp; Development"/>
    <n v="26"/>
    <n v="1"/>
    <s v="Life Sciences"/>
    <n v="1"/>
    <n v="465"/>
    <n v="3"/>
    <x v="1"/>
    <n v="83"/>
    <n v="3"/>
    <x v="1"/>
    <x v="1"/>
    <x v="0"/>
    <s v="Divorced"/>
    <n v="2904"/>
    <n v="16092"/>
    <n v="1"/>
    <s v="Y"/>
    <s v="No"/>
    <n v="12"/>
    <n v="3"/>
    <n v="3"/>
    <n v="80"/>
    <n v="2"/>
    <n v="4"/>
    <n v="2"/>
    <n v="2"/>
    <x v="9"/>
    <n v="2"/>
    <n v="0"/>
    <n v="2"/>
    <x v="1"/>
    <n v="0"/>
    <n v="0"/>
    <x v="1"/>
    <n v="1"/>
    <m/>
    <m/>
  </r>
  <r>
    <n v="41"/>
    <x v="1"/>
    <s v="Travel_Rarely"/>
    <n v="483"/>
    <s v="Research &amp; Development"/>
    <n v="6"/>
    <n v="3"/>
    <s v="Medical"/>
    <n v="1"/>
    <n v="466"/>
    <n v="4"/>
    <x v="1"/>
    <n v="95"/>
    <n v="2"/>
    <x v="0"/>
    <x v="3"/>
    <x v="1"/>
    <s v="Single"/>
    <n v="6032"/>
    <n v="10110"/>
    <n v="6"/>
    <s v="Y"/>
    <s v="Yes"/>
    <n v="15"/>
    <n v="3"/>
    <n v="4"/>
    <n v="80"/>
    <n v="0"/>
    <n v="8"/>
    <n v="3"/>
    <n v="3"/>
    <x v="8"/>
    <n v="4"/>
    <n v="1"/>
    <n v="2"/>
    <x v="2"/>
    <n v="0"/>
    <n v="0"/>
    <x v="4"/>
    <n v="1"/>
    <m/>
    <m/>
  </r>
  <r>
    <n v="47"/>
    <x v="1"/>
    <s v="Travel_Frequently"/>
    <n v="1309"/>
    <s v="Sales"/>
    <n v="4"/>
    <n v="1"/>
    <s v="Medical"/>
    <n v="1"/>
    <n v="467"/>
    <n v="2"/>
    <x v="1"/>
    <n v="99"/>
    <n v="3"/>
    <x v="0"/>
    <x v="6"/>
    <x v="2"/>
    <s v="Single"/>
    <n v="2976"/>
    <n v="25751"/>
    <n v="3"/>
    <s v="Y"/>
    <s v="No"/>
    <n v="19"/>
    <n v="3"/>
    <n v="1"/>
    <n v="80"/>
    <n v="0"/>
    <n v="5"/>
    <n v="3"/>
    <n v="3"/>
    <x v="2"/>
    <n v="0"/>
    <n v="0"/>
    <n v="0"/>
    <x v="0"/>
    <n v="0"/>
    <n v="0"/>
    <x v="1"/>
    <n v="1"/>
    <m/>
    <m/>
  </r>
  <r>
    <n v="42"/>
    <x v="1"/>
    <s v="Travel_Rarely"/>
    <n v="810"/>
    <s v="Research &amp; Development"/>
    <n v="23"/>
    <n v="5"/>
    <s v="Life Sciences"/>
    <n v="1"/>
    <n v="468"/>
    <n v="1"/>
    <x v="0"/>
    <n v="44"/>
    <n v="3"/>
    <x v="3"/>
    <x v="7"/>
    <x v="0"/>
    <s v="Single"/>
    <n v="15992"/>
    <n v="15901"/>
    <n v="2"/>
    <s v="Y"/>
    <s v="No"/>
    <n v="14"/>
    <n v="3"/>
    <n v="2"/>
    <n v="80"/>
    <n v="0"/>
    <n v="16"/>
    <n v="2"/>
    <n v="3"/>
    <x v="6"/>
    <n v="0"/>
    <n v="0"/>
    <n v="0"/>
    <x v="1"/>
    <n v="0"/>
    <n v="0"/>
    <x v="3"/>
    <n v="1"/>
    <m/>
    <m/>
  </r>
  <r>
    <n v="29"/>
    <x v="1"/>
    <s v="Non-Travel"/>
    <n v="746"/>
    <s v="Sales"/>
    <n v="2"/>
    <n v="3"/>
    <s v="Life Sciences"/>
    <n v="1"/>
    <n v="469"/>
    <n v="4"/>
    <x v="1"/>
    <n v="61"/>
    <n v="3"/>
    <x v="0"/>
    <x v="0"/>
    <x v="2"/>
    <s v="Married"/>
    <n v="4649"/>
    <n v="16928"/>
    <n v="1"/>
    <s v="Y"/>
    <s v="No"/>
    <n v="14"/>
    <n v="3"/>
    <n v="1"/>
    <n v="80"/>
    <n v="1"/>
    <n v="4"/>
    <n v="3"/>
    <n v="2"/>
    <x v="9"/>
    <n v="3"/>
    <n v="0"/>
    <n v="2"/>
    <x v="0"/>
    <n v="0"/>
    <n v="0"/>
    <x v="0"/>
    <n v="1"/>
    <m/>
    <m/>
  </r>
  <r>
    <n v="42"/>
    <x v="1"/>
    <s v="Travel_Rarely"/>
    <n v="544"/>
    <s v="Human Resources"/>
    <n v="2"/>
    <n v="1"/>
    <s v="Technical Degree"/>
    <n v="1"/>
    <n v="470"/>
    <n v="3"/>
    <x v="1"/>
    <n v="52"/>
    <n v="3"/>
    <x v="1"/>
    <x v="8"/>
    <x v="2"/>
    <s v="Divorced"/>
    <n v="2696"/>
    <n v="24017"/>
    <n v="0"/>
    <s v="Y"/>
    <s v="Yes"/>
    <n v="11"/>
    <n v="3"/>
    <n v="3"/>
    <n v="80"/>
    <n v="1"/>
    <n v="4"/>
    <n v="5"/>
    <n v="3"/>
    <x v="11"/>
    <n v="2"/>
    <n v="1"/>
    <n v="0"/>
    <x v="5"/>
    <n v="0"/>
    <n v="0"/>
    <x v="1"/>
    <n v="1"/>
    <m/>
    <m/>
  </r>
  <r>
    <n v="32"/>
    <x v="1"/>
    <s v="Travel_Rarely"/>
    <n v="1062"/>
    <s v="Research &amp; Development"/>
    <n v="2"/>
    <n v="3"/>
    <s v="Medical"/>
    <n v="1"/>
    <n v="471"/>
    <n v="3"/>
    <x v="0"/>
    <n v="75"/>
    <n v="3"/>
    <x v="1"/>
    <x v="2"/>
    <x v="1"/>
    <s v="Married"/>
    <n v="2370"/>
    <n v="3956"/>
    <n v="1"/>
    <s v="Y"/>
    <s v="No"/>
    <n v="13"/>
    <n v="3"/>
    <n v="3"/>
    <n v="80"/>
    <n v="1"/>
    <n v="8"/>
    <n v="4"/>
    <n v="3"/>
    <x v="3"/>
    <n v="0"/>
    <n v="0"/>
    <n v="7"/>
    <x v="1"/>
    <n v="0"/>
    <n v="0"/>
    <x v="1"/>
    <n v="1"/>
    <m/>
    <m/>
  </r>
  <r>
    <n v="48"/>
    <x v="1"/>
    <s v="Travel_Rarely"/>
    <n v="530"/>
    <s v="Sales"/>
    <n v="29"/>
    <n v="1"/>
    <s v="Medical"/>
    <n v="1"/>
    <n v="473"/>
    <n v="1"/>
    <x v="0"/>
    <n v="91"/>
    <n v="3"/>
    <x v="2"/>
    <x v="5"/>
    <x v="2"/>
    <s v="Married"/>
    <n v="12504"/>
    <n v="23978"/>
    <n v="3"/>
    <s v="Y"/>
    <s v="No"/>
    <n v="21"/>
    <n v="4"/>
    <n v="2"/>
    <n v="80"/>
    <n v="1"/>
    <n v="15"/>
    <n v="3"/>
    <n v="1"/>
    <x v="2"/>
    <n v="0"/>
    <n v="0"/>
    <n v="0"/>
    <x v="4"/>
    <n v="0"/>
    <n v="0"/>
    <x v="3"/>
    <n v="1"/>
    <m/>
    <m/>
  </r>
  <r>
    <n v="37"/>
    <x v="1"/>
    <s v="Travel_Rarely"/>
    <n v="1319"/>
    <s v="Research &amp; Development"/>
    <n v="6"/>
    <n v="3"/>
    <s v="Medical"/>
    <n v="1"/>
    <n v="474"/>
    <n v="3"/>
    <x v="1"/>
    <n v="51"/>
    <n v="4"/>
    <x v="0"/>
    <x v="1"/>
    <x v="3"/>
    <s v="Divorced"/>
    <n v="5974"/>
    <n v="17001"/>
    <n v="4"/>
    <s v="Y"/>
    <s v="Yes"/>
    <n v="13"/>
    <n v="3"/>
    <n v="1"/>
    <n v="80"/>
    <n v="2"/>
    <n v="13"/>
    <n v="2"/>
    <n v="3"/>
    <x v="5"/>
    <n v="7"/>
    <n v="6"/>
    <n v="7"/>
    <x v="1"/>
    <n v="0"/>
    <n v="0"/>
    <x v="0"/>
    <n v="1"/>
    <m/>
    <m/>
  </r>
  <r>
    <n v="30"/>
    <x v="1"/>
    <s v="Non-Travel"/>
    <n v="641"/>
    <s v="Sales"/>
    <n v="25"/>
    <n v="2"/>
    <s v="Technical Degree"/>
    <n v="1"/>
    <n v="475"/>
    <n v="4"/>
    <x v="0"/>
    <n v="85"/>
    <n v="3"/>
    <x v="0"/>
    <x v="0"/>
    <x v="2"/>
    <s v="Married"/>
    <n v="4736"/>
    <n v="6069"/>
    <n v="7"/>
    <s v="Y"/>
    <s v="Yes"/>
    <n v="12"/>
    <n v="3"/>
    <n v="2"/>
    <n v="80"/>
    <n v="1"/>
    <n v="4"/>
    <n v="2"/>
    <n v="4"/>
    <x v="4"/>
    <n v="2"/>
    <n v="2"/>
    <n v="2"/>
    <x v="0"/>
    <n v="0"/>
    <n v="0"/>
    <x v="0"/>
    <n v="1"/>
    <m/>
    <m/>
  </r>
  <r>
    <n v="26"/>
    <x v="1"/>
    <s v="Travel_Rarely"/>
    <n v="933"/>
    <s v="Sales"/>
    <n v="1"/>
    <n v="3"/>
    <s v="Life Sciences"/>
    <n v="1"/>
    <n v="476"/>
    <n v="3"/>
    <x v="1"/>
    <n v="57"/>
    <n v="3"/>
    <x v="0"/>
    <x v="0"/>
    <x v="2"/>
    <s v="Married"/>
    <n v="5296"/>
    <n v="20156"/>
    <n v="1"/>
    <s v="Y"/>
    <s v="No"/>
    <n v="17"/>
    <n v="3"/>
    <n v="2"/>
    <n v="80"/>
    <n v="1"/>
    <n v="8"/>
    <n v="3"/>
    <n v="3"/>
    <x v="3"/>
    <n v="7"/>
    <n v="7"/>
    <n v="7"/>
    <x v="0"/>
    <n v="0"/>
    <n v="0"/>
    <x v="0"/>
    <n v="1"/>
    <m/>
    <m/>
  </r>
  <r>
    <n v="42"/>
    <x v="1"/>
    <s v="Travel_Rarely"/>
    <n v="1332"/>
    <s v="Research &amp; Development"/>
    <n v="2"/>
    <n v="4"/>
    <s v="Other"/>
    <n v="1"/>
    <n v="477"/>
    <n v="1"/>
    <x v="1"/>
    <n v="98"/>
    <n v="2"/>
    <x v="0"/>
    <x v="4"/>
    <x v="0"/>
    <s v="Single"/>
    <n v="6781"/>
    <n v="17078"/>
    <n v="3"/>
    <s v="Y"/>
    <s v="No"/>
    <n v="23"/>
    <n v="4"/>
    <n v="2"/>
    <n v="80"/>
    <n v="0"/>
    <n v="14"/>
    <n v="6"/>
    <n v="3"/>
    <x v="6"/>
    <n v="0"/>
    <n v="0"/>
    <n v="0"/>
    <x v="3"/>
    <n v="0"/>
    <n v="0"/>
    <x v="4"/>
    <n v="1"/>
    <m/>
    <m/>
  </r>
  <r>
    <n v="21"/>
    <x v="0"/>
    <s v="Travel_Frequently"/>
    <n v="756"/>
    <s v="Sales"/>
    <n v="1"/>
    <n v="1"/>
    <s v="Technical Degree"/>
    <n v="1"/>
    <n v="478"/>
    <n v="1"/>
    <x v="0"/>
    <n v="99"/>
    <n v="2"/>
    <x v="1"/>
    <x v="6"/>
    <x v="1"/>
    <s v="Single"/>
    <n v="2174"/>
    <n v="9150"/>
    <n v="1"/>
    <s v="Y"/>
    <s v="Yes"/>
    <n v="11"/>
    <n v="3"/>
    <n v="3"/>
    <n v="80"/>
    <n v="0"/>
    <n v="3"/>
    <n v="3"/>
    <n v="3"/>
    <x v="11"/>
    <n v="2"/>
    <n v="1"/>
    <n v="2"/>
    <x v="0"/>
    <n v="1"/>
    <n v="39132"/>
    <x v="1"/>
    <n v="1"/>
    <m/>
    <m/>
  </r>
  <r>
    <n v="36"/>
    <x v="1"/>
    <s v="Non-Travel"/>
    <n v="845"/>
    <s v="Sales"/>
    <n v="1"/>
    <n v="5"/>
    <s v="Medical"/>
    <n v="1"/>
    <n v="479"/>
    <n v="4"/>
    <x v="0"/>
    <n v="45"/>
    <n v="3"/>
    <x v="0"/>
    <x v="0"/>
    <x v="0"/>
    <s v="Single"/>
    <n v="6653"/>
    <n v="15276"/>
    <n v="4"/>
    <s v="Y"/>
    <s v="No"/>
    <n v="15"/>
    <n v="3"/>
    <n v="2"/>
    <n v="80"/>
    <n v="0"/>
    <n v="7"/>
    <n v="6"/>
    <n v="3"/>
    <x v="6"/>
    <n v="0"/>
    <n v="0"/>
    <n v="0"/>
    <x v="0"/>
    <n v="0"/>
    <n v="0"/>
    <x v="4"/>
    <n v="1"/>
    <m/>
    <m/>
  </r>
  <r>
    <n v="36"/>
    <x v="1"/>
    <s v="Travel_Frequently"/>
    <n v="541"/>
    <s v="Sales"/>
    <n v="3"/>
    <n v="4"/>
    <s v="Medical"/>
    <n v="1"/>
    <n v="481"/>
    <n v="1"/>
    <x v="1"/>
    <n v="48"/>
    <n v="2"/>
    <x v="2"/>
    <x v="0"/>
    <x v="0"/>
    <s v="Married"/>
    <n v="9699"/>
    <n v="7246"/>
    <n v="4"/>
    <s v="Y"/>
    <s v="No"/>
    <n v="11"/>
    <n v="3"/>
    <n v="1"/>
    <n v="80"/>
    <n v="1"/>
    <n v="16"/>
    <n v="2"/>
    <n v="3"/>
    <x v="20"/>
    <n v="9"/>
    <n v="1"/>
    <n v="12"/>
    <x v="0"/>
    <n v="0"/>
    <n v="0"/>
    <x v="2"/>
    <n v="1"/>
    <m/>
    <m/>
  </r>
  <r>
    <n v="57"/>
    <x v="1"/>
    <s v="Travel_Rarely"/>
    <n v="593"/>
    <s v="Research &amp; Development"/>
    <n v="1"/>
    <n v="4"/>
    <s v="Medical"/>
    <n v="1"/>
    <n v="482"/>
    <n v="4"/>
    <x v="1"/>
    <n v="88"/>
    <n v="3"/>
    <x v="0"/>
    <x v="4"/>
    <x v="2"/>
    <s v="Married"/>
    <n v="6755"/>
    <n v="2967"/>
    <n v="2"/>
    <s v="Y"/>
    <s v="No"/>
    <n v="11"/>
    <n v="3"/>
    <n v="3"/>
    <n v="80"/>
    <n v="0"/>
    <n v="15"/>
    <n v="2"/>
    <n v="3"/>
    <x v="11"/>
    <n v="2"/>
    <n v="1"/>
    <n v="2"/>
    <x v="3"/>
    <n v="0"/>
    <n v="0"/>
    <x v="4"/>
    <n v="1"/>
    <m/>
    <m/>
  </r>
  <r>
    <n v="40"/>
    <x v="1"/>
    <s v="Travel_Rarely"/>
    <n v="1171"/>
    <s v="Research &amp; Development"/>
    <n v="10"/>
    <n v="4"/>
    <s v="Life Sciences"/>
    <n v="1"/>
    <n v="483"/>
    <n v="4"/>
    <x v="0"/>
    <n v="46"/>
    <n v="4"/>
    <x v="1"/>
    <x v="2"/>
    <x v="2"/>
    <s v="Married"/>
    <n v="2213"/>
    <n v="22495"/>
    <n v="3"/>
    <s v="Y"/>
    <s v="Yes"/>
    <n v="13"/>
    <n v="3"/>
    <n v="3"/>
    <n v="80"/>
    <n v="1"/>
    <n v="10"/>
    <n v="3"/>
    <n v="3"/>
    <x v="5"/>
    <n v="7"/>
    <n v="1"/>
    <n v="7"/>
    <x v="1"/>
    <n v="0"/>
    <n v="0"/>
    <x v="1"/>
    <n v="1"/>
    <m/>
    <m/>
  </r>
  <r>
    <n v="21"/>
    <x v="1"/>
    <s v="Non-Travel"/>
    <n v="895"/>
    <s v="Sales"/>
    <n v="9"/>
    <n v="2"/>
    <s v="Medical"/>
    <n v="1"/>
    <n v="484"/>
    <n v="1"/>
    <x v="1"/>
    <n v="39"/>
    <n v="3"/>
    <x v="1"/>
    <x v="6"/>
    <x v="0"/>
    <s v="Single"/>
    <n v="2610"/>
    <n v="2851"/>
    <n v="1"/>
    <s v="Y"/>
    <s v="No"/>
    <n v="24"/>
    <n v="4"/>
    <n v="3"/>
    <n v="80"/>
    <n v="0"/>
    <n v="3"/>
    <n v="3"/>
    <n v="2"/>
    <x v="11"/>
    <n v="2"/>
    <n v="2"/>
    <n v="2"/>
    <x v="0"/>
    <n v="0"/>
    <n v="0"/>
    <x v="1"/>
    <n v="1"/>
    <m/>
    <m/>
  </r>
  <r>
    <n v="33"/>
    <x v="0"/>
    <s v="Travel_Rarely"/>
    <n v="350"/>
    <s v="Sales"/>
    <n v="5"/>
    <n v="3"/>
    <s v="Marketing"/>
    <n v="1"/>
    <n v="485"/>
    <n v="4"/>
    <x v="0"/>
    <n v="34"/>
    <n v="3"/>
    <x v="1"/>
    <x v="6"/>
    <x v="2"/>
    <s v="Single"/>
    <n v="2851"/>
    <n v="9150"/>
    <n v="1"/>
    <s v="Y"/>
    <s v="Yes"/>
    <n v="13"/>
    <n v="3"/>
    <n v="2"/>
    <n v="80"/>
    <n v="0"/>
    <n v="1"/>
    <n v="2"/>
    <n v="3"/>
    <x v="6"/>
    <n v="0"/>
    <n v="0"/>
    <n v="0"/>
    <x v="0"/>
    <n v="1"/>
    <n v="51318"/>
    <x v="1"/>
    <n v="1"/>
    <m/>
    <m/>
  </r>
  <r>
    <n v="37"/>
    <x v="1"/>
    <s v="Travel_Rarely"/>
    <n v="921"/>
    <s v="Research &amp; Development"/>
    <n v="10"/>
    <n v="3"/>
    <s v="Medical"/>
    <n v="1"/>
    <n v="486"/>
    <n v="3"/>
    <x v="0"/>
    <n v="98"/>
    <n v="3"/>
    <x v="1"/>
    <x v="2"/>
    <x v="3"/>
    <s v="Married"/>
    <n v="3452"/>
    <n v="17663"/>
    <n v="6"/>
    <s v="Y"/>
    <s v="No"/>
    <n v="20"/>
    <n v="4"/>
    <n v="2"/>
    <n v="80"/>
    <n v="1"/>
    <n v="17"/>
    <n v="3"/>
    <n v="3"/>
    <x v="8"/>
    <n v="4"/>
    <n v="0"/>
    <n v="3"/>
    <x v="1"/>
    <n v="0"/>
    <n v="0"/>
    <x v="0"/>
    <n v="1"/>
    <m/>
    <m/>
  </r>
  <r>
    <n v="46"/>
    <x v="1"/>
    <s v="Non-Travel"/>
    <n v="1144"/>
    <s v="Research &amp; Development"/>
    <n v="7"/>
    <n v="4"/>
    <s v="Medical"/>
    <n v="1"/>
    <n v="487"/>
    <n v="3"/>
    <x v="0"/>
    <n v="30"/>
    <n v="3"/>
    <x v="0"/>
    <x v="3"/>
    <x v="2"/>
    <s v="Married"/>
    <n v="5258"/>
    <n v="16044"/>
    <n v="2"/>
    <s v="Y"/>
    <s v="No"/>
    <n v="14"/>
    <n v="3"/>
    <n v="3"/>
    <n v="80"/>
    <n v="0"/>
    <n v="7"/>
    <n v="2"/>
    <n v="4"/>
    <x v="6"/>
    <n v="0"/>
    <n v="0"/>
    <n v="0"/>
    <x v="2"/>
    <n v="0"/>
    <n v="0"/>
    <x v="0"/>
    <n v="1"/>
    <m/>
    <m/>
  </r>
  <r>
    <n v="41"/>
    <x v="0"/>
    <s v="Travel_Frequently"/>
    <n v="143"/>
    <s v="Sales"/>
    <n v="4"/>
    <n v="3"/>
    <s v="Marketing"/>
    <n v="1"/>
    <n v="488"/>
    <n v="1"/>
    <x v="1"/>
    <n v="56"/>
    <n v="3"/>
    <x v="0"/>
    <x v="0"/>
    <x v="1"/>
    <s v="Single"/>
    <n v="9355"/>
    <n v="9558"/>
    <n v="1"/>
    <s v="Y"/>
    <s v="No"/>
    <n v="18"/>
    <n v="3"/>
    <n v="3"/>
    <n v="80"/>
    <n v="0"/>
    <n v="8"/>
    <n v="5"/>
    <n v="3"/>
    <x v="3"/>
    <n v="7"/>
    <n v="7"/>
    <n v="7"/>
    <x v="0"/>
    <n v="1"/>
    <n v="168390"/>
    <x v="2"/>
    <n v="1"/>
    <m/>
    <m/>
  </r>
  <r>
    <n v="50"/>
    <x v="1"/>
    <s v="Travel_Rarely"/>
    <n v="1046"/>
    <s v="Research &amp; Development"/>
    <n v="10"/>
    <n v="3"/>
    <s v="Technical Degree"/>
    <n v="1"/>
    <n v="491"/>
    <n v="4"/>
    <x v="1"/>
    <n v="100"/>
    <n v="2"/>
    <x v="2"/>
    <x v="4"/>
    <x v="0"/>
    <s v="Single"/>
    <n v="10496"/>
    <n v="2755"/>
    <n v="6"/>
    <s v="Y"/>
    <s v="No"/>
    <n v="15"/>
    <n v="3"/>
    <n v="4"/>
    <n v="80"/>
    <n v="0"/>
    <n v="20"/>
    <n v="2"/>
    <n v="3"/>
    <x v="9"/>
    <n v="3"/>
    <n v="1"/>
    <n v="3"/>
    <x v="3"/>
    <n v="0"/>
    <n v="0"/>
    <x v="2"/>
    <n v="1"/>
    <m/>
    <m/>
  </r>
  <r>
    <n v="40"/>
    <x v="0"/>
    <s v="Travel_Rarely"/>
    <n v="575"/>
    <s v="Sales"/>
    <n v="22"/>
    <n v="2"/>
    <s v="Marketing"/>
    <n v="1"/>
    <n v="492"/>
    <n v="3"/>
    <x v="1"/>
    <n v="68"/>
    <n v="2"/>
    <x v="0"/>
    <x v="0"/>
    <x v="2"/>
    <s v="Married"/>
    <n v="6380"/>
    <n v="6110"/>
    <n v="2"/>
    <s v="Y"/>
    <s v="Yes"/>
    <n v="12"/>
    <n v="3"/>
    <n v="1"/>
    <n v="80"/>
    <n v="2"/>
    <n v="8"/>
    <n v="6"/>
    <n v="3"/>
    <x v="0"/>
    <n v="4"/>
    <n v="1"/>
    <n v="0"/>
    <x v="0"/>
    <n v="1"/>
    <n v="114840"/>
    <x v="4"/>
    <n v="1"/>
    <m/>
    <m/>
  </r>
  <r>
    <n v="31"/>
    <x v="1"/>
    <s v="Travel_Rarely"/>
    <n v="408"/>
    <s v="Research &amp; Development"/>
    <n v="9"/>
    <n v="4"/>
    <s v="Life Sciences"/>
    <n v="1"/>
    <n v="493"/>
    <n v="3"/>
    <x v="1"/>
    <n v="42"/>
    <n v="2"/>
    <x v="1"/>
    <x v="1"/>
    <x v="1"/>
    <s v="Single"/>
    <n v="2657"/>
    <n v="7551"/>
    <n v="0"/>
    <s v="Y"/>
    <s v="Yes"/>
    <n v="16"/>
    <n v="3"/>
    <n v="4"/>
    <n v="80"/>
    <n v="0"/>
    <n v="3"/>
    <n v="5"/>
    <n v="3"/>
    <x v="4"/>
    <n v="2"/>
    <n v="2"/>
    <n v="2"/>
    <x v="1"/>
    <n v="0"/>
    <n v="0"/>
    <x v="1"/>
    <n v="1"/>
    <m/>
    <m/>
  </r>
  <r>
    <n v="21"/>
    <x v="0"/>
    <s v="Travel_Rarely"/>
    <n v="156"/>
    <s v="Sales"/>
    <n v="12"/>
    <n v="3"/>
    <s v="Life Sciences"/>
    <n v="1"/>
    <n v="494"/>
    <n v="3"/>
    <x v="0"/>
    <n v="90"/>
    <n v="4"/>
    <x v="1"/>
    <x v="6"/>
    <x v="1"/>
    <s v="Single"/>
    <n v="2716"/>
    <n v="25422"/>
    <n v="1"/>
    <s v="Y"/>
    <s v="No"/>
    <n v="15"/>
    <n v="3"/>
    <n v="4"/>
    <n v="80"/>
    <n v="0"/>
    <n v="1"/>
    <n v="0"/>
    <n v="3"/>
    <x v="6"/>
    <n v="0"/>
    <n v="0"/>
    <n v="0"/>
    <x v="0"/>
    <n v="1"/>
    <n v="48888"/>
    <x v="1"/>
    <n v="1"/>
    <m/>
    <m/>
  </r>
  <r>
    <n v="29"/>
    <x v="1"/>
    <s v="Travel_Rarely"/>
    <n v="1283"/>
    <s v="Research &amp; Development"/>
    <n v="23"/>
    <n v="3"/>
    <s v="Life Sciences"/>
    <n v="1"/>
    <n v="495"/>
    <n v="4"/>
    <x v="1"/>
    <n v="54"/>
    <n v="3"/>
    <x v="1"/>
    <x v="1"/>
    <x v="0"/>
    <s v="Single"/>
    <n v="2201"/>
    <n v="18168"/>
    <n v="9"/>
    <s v="Y"/>
    <s v="No"/>
    <n v="16"/>
    <n v="3"/>
    <n v="4"/>
    <n v="80"/>
    <n v="0"/>
    <n v="6"/>
    <n v="4"/>
    <n v="3"/>
    <x v="11"/>
    <n v="2"/>
    <n v="1"/>
    <n v="2"/>
    <x v="1"/>
    <n v="0"/>
    <n v="0"/>
    <x v="1"/>
    <n v="1"/>
    <m/>
    <m/>
  </r>
  <r>
    <n v="35"/>
    <x v="1"/>
    <s v="Travel_Rarely"/>
    <n v="755"/>
    <s v="Research &amp; Development"/>
    <n v="9"/>
    <n v="4"/>
    <s v="Life Sciences"/>
    <n v="1"/>
    <n v="496"/>
    <n v="3"/>
    <x v="1"/>
    <n v="97"/>
    <n v="2"/>
    <x v="0"/>
    <x v="4"/>
    <x v="1"/>
    <s v="Single"/>
    <n v="6540"/>
    <n v="19394"/>
    <n v="9"/>
    <s v="Y"/>
    <s v="No"/>
    <n v="19"/>
    <n v="3"/>
    <n v="3"/>
    <n v="80"/>
    <n v="0"/>
    <n v="10"/>
    <n v="5"/>
    <n v="3"/>
    <x v="6"/>
    <n v="1"/>
    <n v="0"/>
    <n v="0"/>
    <x v="3"/>
    <n v="0"/>
    <n v="0"/>
    <x v="4"/>
    <n v="1"/>
    <m/>
    <m/>
  </r>
  <r>
    <n v="27"/>
    <x v="1"/>
    <s v="Travel_Rarely"/>
    <n v="1469"/>
    <s v="Research &amp; Development"/>
    <n v="1"/>
    <n v="2"/>
    <s v="Medical"/>
    <n v="1"/>
    <n v="497"/>
    <n v="4"/>
    <x v="1"/>
    <n v="82"/>
    <n v="3"/>
    <x v="1"/>
    <x v="2"/>
    <x v="1"/>
    <s v="Divorced"/>
    <n v="3816"/>
    <n v="17881"/>
    <n v="1"/>
    <s v="Y"/>
    <s v="No"/>
    <n v="11"/>
    <n v="3"/>
    <n v="2"/>
    <n v="80"/>
    <n v="1"/>
    <n v="5"/>
    <n v="2"/>
    <n v="3"/>
    <x v="8"/>
    <n v="2"/>
    <n v="0"/>
    <n v="4"/>
    <x v="1"/>
    <n v="0"/>
    <n v="0"/>
    <x v="0"/>
    <n v="1"/>
    <m/>
    <m/>
  </r>
  <r>
    <n v="28"/>
    <x v="1"/>
    <s v="Travel_Rarely"/>
    <n v="304"/>
    <s v="Sales"/>
    <n v="9"/>
    <n v="4"/>
    <s v="Life Sciences"/>
    <n v="1"/>
    <n v="498"/>
    <n v="2"/>
    <x v="1"/>
    <n v="92"/>
    <n v="3"/>
    <x v="0"/>
    <x v="0"/>
    <x v="0"/>
    <s v="Single"/>
    <n v="5253"/>
    <n v="20750"/>
    <n v="1"/>
    <s v="Y"/>
    <s v="No"/>
    <n v="16"/>
    <n v="3"/>
    <n v="4"/>
    <n v="80"/>
    <n v="0"/>
    <n v="7"/>
    <n v="1"/>
    <n v="3"/>
    <x v="5"/>
    <n v="5"/>
    <n v="0"/>
    <n v="7"/>
    <x v="0"/>
    <n v="0"/>
    <n v="0"/>
    <x v="0"/>
    <n v="1"/>
    <m/>
    <m/>
  </r>
  <r>
    <n v="49"/>
    <x v="1"/>
    <s v="Travel_Rarely"/>
    <n v="1261"/>
    <s v="Research &amp; Development"/>
    <n v="7"/>
    <n v="3"/>
    <s v="Other"/>
    <n v="1"/>
    <n v="499"/>
    <n v="2"/>
    <x v="1"/>
    <n v="31"/>
    <n v="2"/>
    <x v="2"/>
    <x v="4"/>
    <x v="2"/>
    <s v="Single"/>
    <n v="10965"/>
    <n v="12066"/>
    <n v="8"/>
    <s v="Y"/>
    <s v="No"/>
    <n v="24"/>
    <n v="4"/>
    <n v="3"/>
    <n v="80"/>
    <n v="0"/>
    <n v="26"/>
    <n v="2"/>
    <n v="3"/>
    <x v="8"/>
    <n v="2"/>
    <n v="0"/>
    <n v="0"/>
    <x v="3"/>
    <n v="0"/>
    <n v="0"/>
    <x v="2"/>
    <n v="1"/>
    <m/>
    <m/>
  </r>
  <r>
    <n v="51"/>
    <x v="1"/>
    <s v="Travel_Rarely"/>
    <n v="1178"/>
    <s v="Sales"/>
    <n v="14"/>
    <n v="2"/>
    <s v="Life Sciences"/>
    <n v="1"/>
    <n v="500"/>
    <n v="3"/>
    <x v="0"/>
    <n v="87"/>
    <n v="3"/>
    <x v="0"/>
    <x v="0"/>
    <x v="0"/>
    <s v="Married"/>
    <n v="4936"/>
    <n v="14862"/>
    <n v="4"/>
    <s v="Y"/>
    <s v="No"/>
    <n v="11"/>
    <n v="3"/>
    <n v="3"/>
    <n v="80"/>
    <n v="1"/>
    <n v="18"/>
    <n v="2"/>
    <n v="2"/>
    <x v="5"/>
    <n v="7"/>
    <n v="0"/>
    <n v="7"/>
    <x v="0"/>
    <n v="0"/>
    <n v="0"/>
    <x v="0"/>
    <n v="1"/>
    <m/>
    <m/>
  </r>
  <r>
    <n v="36"/>
    <x v="1"/>
    <s v="Travel_Rarely"/>
    <n v="329"/>
    <s v="Research &amp; Development"/>
    <n v="2"/>
    <n v="3"/>
    <s v="Life Sciences"/>
    <n v="1"/>
    <n v="501"/>
    <n v="4"/>
    <x v="0"/>
    <n v="96"/>
    <n v="3"/>
    <x v="1"/>
    <x v="1"/>
    <x v="2"/>
    <s v="Married"/>
    <n v="2543"/>
    <n v="11868"/>
    <n v="4"/>
    <s v="Y"/>
    <s v="No"/>
    <n v="13"/>
    <n v="3"/>
    <n v="2"/>
    <n v="80"/>
    <n v="1"/>
    <n v="6"/>
    <n v="3"/>
    <n v="3"/>
    <x v="4"/>
    <n v="2"/>
    <n v="2"/>
    <n v="2"/>
    <x v="1"/>
    <n v="0"/>
    <n v="0"/>
    <x v="1"/>
    <n v="1"/>
    <m/>
    <m/>
  </r>
  <r>
    <n v="34"/>
    <x v="0"/>
    <s v="Non-Travel"/>
    <n v="1362"/>
    <s v="Sales"/>
    <n v="19"/>
    <n v="3"/>
    <s v="Marketing"/>
    <n v="1"/>
    <n v="502"/>
    <n v="1"/>
    <x v="1"/>
    <n v="67"/>
    <n v="4"/>
    <x v="0"/>
    <x v="0"/>
    <x v="0"/>
    <s v="Single"/>
    <n v="5304"/>
    <n v="4652"/>
    <n v="8"/>
    <s v="Y"/>
    <s v="Yes"/>
    <n v="13"/>
    <n v="3"/>
    <n v="2"/>
    <n v="80"/>
    <n v="0"/>
    <n v="9"/>
    <n v="3"/>
    <n v="2"/>
    <x v="8"/>
    <n v="2"/>
    <n v="0"/>
    <n v="4"/>
    <x v="0"/>
    <n v="1"/>
    <n v="95472"/>
    <x v="0"/>
    <n v="1"/>
    <m/>
    <m/>
  </r>
  <r>
    <n v="55"/>
    <x v="1"/>
    <s v="Travel_Rarely"/>
    <n v="1311"/>
    <s v="Research &amp; Development"/>
    <n v="2"/>
    <n v="3"/>
    <s v="Life Sciences"/>
    <n v="1"/>
    <n v="505"/>
    <n v="3"/>
    <x v="0"/>
    <n v="97"/>
    <n v="3"/>
    <x v="3"/>
    <x v="5"/>
    <x v="0"/>
    <s v="Single"/>
    <n v="16659"/>
    <n v="23258"/>
    <n v="2"/>
    <s v="Y"/>
    <s v="Yes"/>
    <n v="13"/>
    <n v="3"/>
    <n v="3"/>
    <n v="80"/>
    <n v="0"/>
    <n v="30"/>
    <n v="2"/>
    <n v="3"/>
    <x v="8"/>
    <n v="4"/>
    <n v="1"/>
    <n v="2"/>
    <x v="4"/>
    <n v="0"/>
    <n v="0"/>
    <x v="3"/>
    <n v="1"/>
    <m/>
    <m/>
  </r>
  <r>
    <n v="24"/>
    <x v="1"/>
    <s v="Travel_Rarely"/>
    <n v="1371"/>
    <s v="Sales"/>
    <n v="10"/>
    <n v="4"/>
    <s v="Marketing"/>
    <n v="1"/>
    <n v="507"/>
    <n v="4"/>
    <x v="0"/>
    <n v="77"/>
    <n v="3"/>
    <x v="0"/>
    <x v="0"/>
    <x v="2"/>
    <s v="Divorced"/>
    <n v="4260"/>
    <n v="5915"/>
    <n v="1"/>
    <s v="Y"/>
    <s v="Yes"/>
    <n v="12"/>
    <n v="3"/>
    <n v="4"/>
    <n v="80"/>
    <n v="1"/>
    <n v="5"/>
    <n v="2"/>
    <n v="4"/>
    <x v="8"/>
    <n v="2"/>
    <n v="0"/>
    <n v="3"/>
    <x v="0"/>
    <n v="0"/>
    <n v="0"/>
    <x v="0"/>
    <n v="1"/>
    <m/>
    <m/>
  </r>
  <r>
    <n v="30"/>
    <x v="1"/>
    <s v="Travel_Rarely"/>
    <n v="202"/>
    <s v="Sales"/>
    <n v="2"/>
    <n v="1"/>
    <s v="Technical Degree"/>
    <n v="1"/>
    <n v="508"/>
    <n v="3"/>
    <x v="1"/>
    <n v="72"/>
    <n v="3"/>
    <x v="1"/>
    <x v="6"/>
    <x v="1"/>
    <s v="Married"/>
    <n v="2476"/>
    <n v="17434"/>
    <n v="1"/>
    <s v="Y"/>
    <s v="No"/>
    <n v="18"/>
    <n v="3"/>
    <n v="1"/>
    <n v="80"/>
    <n v="1"/>
    <n v="1"/>
    <n v="3"/>
    <n v="3"/>
    <x v="6"/>
    <n v="0"/>
    <n v="0"/>
    <n v="0"/>
    <x v="0"/>
    <n v="0"/>
    <n v="0"/>
    <x v="1"/>
    <n v="1"/>
    <m/>
    <m/>
  </r>
  <r>
    <n v="26"/>
    <x v="0"/>
    <s v="Travel_Frequently"/>
    <n v="575"/>
    <s v="Research &amp; Development"/>
    <n v="3"/>
    <n v="1"/>
    <s v="Technical Degree"/>
    <n v="1"/>
    <n v="510"/>
    <n v="3"/>
    <x v="1"/>
    <n v="73"/>
    <n v="3"/>
    <x v="1"/>
    <x v="1"/>
    <x v="3"/>
    <s v="Single"/>
    <n v="3102"/>
    <n v="6582"/>
    <n v="0"/>
    <s v="Y"/>
    <s v="No"/>
    <n v="22"/>
    <n v="4"/>
    <n v="3"/>
    <n v="80"/>
    <n v="0"/>
    <n v="7"/>
    <n v="2"/>
    <n v="3"/>
    <x v="0"/>
    <n v="4"/>
    <n v="0"/>
    <n v="4"/>
    <x v="1"/>
    <n v="1"/>
    <n v="55836"/>
    <x v="0"/>
    <n v="1"/>
    <m/>
    <m/>
  </r>
  <r>
    <n v="22"/>
    <x v="1"/>
    <s v="Travel_Rarely"/>
    <n v="253"/>
    <s v="Research &amp; Development"/>
    <n v="11"/>
    <n v="3"/>
    <s v="Medical"/>
    <n v="1"/>
    <n v="511"/>
    <n v="1"/>
    <x v="0"/>
    <n v="43"/>
    <n v="3"/>
    <x v="1"/>
    <x v="1"/>
    <x v="1"/>
    <s v="Married"/>
    <n v="2244"/>
    <n v="24440"/>
    <n v="1"/>
    <s v="Y"/>
    <s v="No"/>
    <n v="13"/>
    <n v="3"/>
    <n v="4"/>
    <n v="80"/>
    <n v="1"/>
    <n v="2"/>
    <n v="1"/>
    <n v="3"/>
    <x v="4"/>
    <n v="1"/>
    <n v="1"/>
    <n v="2"/>
    <x v="1"/>
    <n v="0"/>
    <n v="0"/>
    <x v="1"/>
    <n v="1"/>
    <m/>
    <m/>
  </r>
  <r>
    <n v="36"/>
    <x v="1"/>
    <s v="Travel_Rarely"/>
    <n v="164"/>
    <s v="Sales"/>
    <n v="2"/>
    <n v="2"/>
    <s v="Medical"/>
    <n v="1"/>
    <n v="513"/>
    <n v="2"/>
    <x v="1"/>
    <n v="61"/>
    <n v="2"/>
    <x v="2"/>
    <x v="0"/>
    <x v="2"/>
    <s v="Married"/>
    <n v="7596"/>
    <n v="3809"/>
    <n v="1"/>
    <s v="Y"/>
    <s v="No"/>
    <n v="13"/>
    <n v="3"/>
    <n v="2"/>
    <n v="80"/>
    <n v="2"/>
    <n v="10"/>
    <n v="2"/>
    <n v="3"/>
    <x v="1"/>
    <n v="9"/>
    <n v="9"/>
    <n v="0"/>
    <x v="0"/>
    <n v="0"/>
    <n v="0"/>
    <x v="4"/>
    <n v="1"/>
    <m/>
    <m/>
  </r>
  <r>
    <n v="30"/>
    <x v="0"/>
    <s v="Travel_Frequently"/>
    <n v="464"/>
    <s v="Research &amp; Development"/>
    <n v="4"/>
    <n v="3"/>
    <s v="Technical Degree"/>
    <n v="1"/>
    <n v="514"/>
    <n v="3"/>
    <x v="1"/>
    <n v="40"/>
    <n v="3"/>
    <x v="1"/>
    <x v="1"/>
    <x v="0"/>
    <s v="Single"/>
    <n v="2285"/>
    <n v="3427"/>
    <n v="9"/>
    <s v="Y"/>
    <s v="Yes"/>
    <n v="23"/>
    <n v="4"/>
    <n v="3"/>
    <n v="80"/>
    <n v="0"/>
    <n v="3"/>
    <n v="4"/>
    <n v="3"/>
    <x v="6"/>
    <n v="0"/>
    <n v="0"/>
    <n v="0"/>
    <x v="1"/>
    <n v="1"/>
    <n v="41130"/>
    <x v="1"/>
    <n v="1"/>
    <m/>
    <m/>
  </r>
  <r>
    <n v="37"/>
    <x v="1"/>
    <s v="Travel_Rarely"/>
    <n v="1107"/>
    <s v="Research &amp; Development"/>
    <n v="14"/>
    <n v="3"/>
    <s v="Life Sciences"/>
    <n v="1"/>
    <n v="515"/>
    <n v="4"/>
    <x v="0"/>
    <n v="95"/>
    <n v="3"/>
    <x v="1"/>
    <x v="2"/>
    <x v="3"/>
    <s v="Divorced"/>
    <n v="3034"/>
    <n v="26914"/>
    <n v="1"/>
    <s v="Y"/>
    <s v="No"/>
    <n v="12"/>
    <n v="3"/>
    <n v="3"/>
    <n v="80"/>
    <n v="1"/>
    <n v="18"/>
    <n v="2"/>
    <n v="2"/>
    <x v="29"/>
    <n v="7"/>
    <n v="12"/>
    <n v="17"/>
    <x v="1"/>
    <n v="0"/>
    <n v="0"/>
    <x v="0"/>
    <n v="1"/>
    <m/>
    <m/>
  </r>
  <r>
    <n v="40"/>
    <x v="1"/>
    <s v="Travel_Rarely"/>
    <n v="759"/>
    <s v="Sales"/>
    <n v="2"/>
    <n v="2"/>
    <s v="Marketing"/>
    <n v="1"/>
    <n v="516"/>
    <n v="4"/>
    <x v="0"/>
    <n v="46"/>
    <n v="3"/>
    <x v="0"/>
    <x v="0"/>
    <x v="1"/>
    <s v="Divorced"/>
    <n v="5715"/>
    <n v="22553"/>
    <n v="7"/>
    <s v="Y"/>
    <s v="No"/>
    <n v="12"/>
    <n v="3"/>
    <n v="3"/>
    <n v="80"/>
    <n v="2"/>
    <n v="8"/>
    <n v="5"/>
    <n v="3"/>
    <x v="8"/>
    <n v="4"/>
    <n v="1"/>
    <n v="3"/>
    <x v="0"/>
    <n v="0"/>
    <n v="0"/>
    <x v="0"/>
    <n v="1"/>
    <m/>
    <m/>
  </r>
  <r>
    <n v="42"/>
    <x v="1"/>
    <s v="Travel_Rarely"/>
    <n v="201"/>
    <s v="Research &amp; Development"/>
    <n v="1"/>
    <n v="4"/>
    <s v="Life Sciences"/>
    <n v="1"/>
    <n v="517"/>
    <n v="2"/>
    <x v="0"/>
    <n v="95"/>
    <n v="3"/>
    <x v="1"/>
    <x v="2"/>
    <x v="3"/>
    <s v="Divorced"/>
    <n v="2576"/>
    <n v="20490"/>
    <n v="3"/>
    <s v="Y"/>
    <s v="No"/>
    <n v="16"/>
    <n v="3"/>
    <n v="2"/>
    <n v="80"/>
    <n v="1"/>
    <n v="8"/>
    <n v="5"/>
    <n v="3"/>
    <x v="8"/>
    <n v="2"/>
    <n v="1"/>
    <n v="2"/>
    <x v="1"/>
    <n v="0"/>
    <n v="0"/>
    <x v="1"/>
    <n v="1"/>
    <m/>
    <m/>
  </r>
  <r>
    <n v="37"/>
    <x v="1"/>
    <s v="Travel_Rarely"/>
    <n v="1305"/>
    <s v="Research &amp; Development"/>
    <n v="10"/>
    <n v="4"/>
    <s v="Life Sciences"/>
    <n v="1"/>
    <n v="518"/>
    <n v="3"/>
    <x v="1"/>
    <n v="49"/>
    <n v="3"/>
    <x v="0"/>
    <x v="3"/>
    <x v="1"/>
    <s v="Single"/>
    <n v="4197"/>
    <n v="21123"/>
    <n v="2"/>
    <s v="Y"/>
    <s v="Yes"/>
    <n v="12"/>
    <n v="3"/>
    <n v="4"/>
    <n v="80"/>
    <n v="0"/>
    <n v="18"/>
    <n v="2"/>
    <n v="2"/>
    <x v="6"/>
    <n v="0"/>
    <n v="0"/>
    <n v="1"/>
    <x v="2"/>
    <n v="0"/>
    <n v="0"/>
    <x v="0"/>
    <n v="1"/>
    <m/>
    <m/>
  </r>
  <r>
    <n v="43"/>
    <x v="1"/>
    <s v="Travel_Rarely"/>
    <n v="982"/>
    <s v="Research &amp; Development"/>
    <n v="12"/>
    <n v="3"/>
    <s v="Life Sciences"/>
    <n v="1"/>
    <n v="520"/>
    <n v="1"/>
    <x v="1"/>
    <n v="59"/>
    <n v="2"/>
    <x v="3"/>
    <x v="7"/>
    <x v="1"/>
    <s v="Divorced"/>
    <n v="14336"/>
    <n v="4345"/>
    <n v="1"/>
    <s v="Y"/>
    <s v="No"/>
    <n v="11"/>
    <n v="3"/>
    <n v="3"/>
    <n v="80"/>
    <n v="1"/>
    <n v="25"/>
    <n v="3"/>
    <n v="3"/>
    <x v="10"/>
    <n v="10"/>
    <n v="3"/>
    <n v="9"/>
    <x v="1"/>
    <n v="0"/>
    <n v="0"/>
    <x v="3"/>
    <n v="1"/>
    <m/>
    <m/>
  </r>
  <r>
    <n v="40"/>
    <x v="1"/>
    <s v="Travel_Rarely"/>
    <n v="555"/>
    <s v="Research &amp; Development"/>
    <n v="2"/>
    <n v="3"/>
    <s v="Medical"/>
    <n v="1"/>
    <n v="521"/>
    <n v="2"/>
    <x v="0"/>
    <n v="78"/>
    <n v="2"/>
    <x v="0"/>
    <x v="2"/>
    <x v="2"/>
    <s v="Married"/>
    <n v="3448"/>
    <n v="13436"/>
    <n v="6"/>
    <s v="Y"/>
    <s v="No"/>
    <n v="22"/>
    <n v="4"/>
    <n v="2"/>
    <n v="80"/>
    <n v="1"/>
    <n v="20"/>
    <n v="3"/>
    <n v="3"/>
    <x v="6"/>
    <n v="0"/>
    <n v="0"/>
    <n v="0"/>
    <x v="1"/>
    <n v="0"/>
    <n v="0"/>
    <x v="0"/>
    <n v="1"/>
    <m/>
    <m/>
  </r>
  <r>
    <n v="54"/>
    <x v="1"/>
    <s v="Travel_Rarely"/>
    <n v="821"/>
    <s v="Research &amp; Development"/>
    <n v="5"/>
    <n v="2"/>
    <s v="Medical"/>
    <n v="1"/>
    <n v="522"/>
    <n v="1"/>
    <x v="1"/>
    <n v="86"/>
    <n v="3"/>
    <x v="4"/>
    <x v="7"/>
    <x v="3"/>
    <s v="Married"/>
    <n v="19406"/>
    <n v="8509"/>
    <n v="4"/>
    <s v="Y"/>
    <s v="No"/>
    <n v="11"/>
    <n v="3"/>
    <n v="3"/>
    <n v="80"/>
    <n v="1"/>
    <n v="24"/>
    <n v="4"/>
    <n v="2"/>
    <x v="9"/>
    <n v="2"/>
    <n v="1"/>
    <n v="2"/>
    <x v="1"/>
    <n v="0"/>
    <n v="0"/>
    <x v="3"/>
    <n v="1"/>
    <m/>
    <m/>
  </r>
  <r>
    <n v="34"/>
    <x v="1"/>
    <s v="Non-Travel"/>
    <n v="1381"/>
    <s v="Sales"/>
    <n v="4"/>
    <n v="4"/>
    <s v="Marketing"/>
    <n v="1"/>
    <n v="523"/>
    <n v="3"/>
    <x v="0"/>
    <n v="72"/>
    <n v="3"/>
    <x v="0"/>
    <x v="0"/>
    <x v="2"/>
    <s v="Married"/>
    <n v="6538"/>
    <n v="12740"/>
    <n v="9"/>
    <s v="Y"/>
    <s v="No"/>
    <n v="15"/>
    <n v="3"/>
    <n v="1"/>
    <n v="80"/>
    <n v="1"/>
    <n v="6"/>
    <n v="3"/>
    <n v="3"/>
    <x v="11"/>
    <n v="2"/>
    <n v="1"/>
    <n v="2"/>
    <x v="0"/>
    <n v="0"/>
    <n v="0"/>
    <x v="4"/>
    <n v="1"/>
    <m/>
    <m/>
  </r>
  <r>
    <n v="31"/>
    <x v="1"/>
    <s v="Travel_Rarely"/>
    <n v="480"/>
    <s v="Research &amp; Development"/>
    <n v="7"/>
    <n v="2"/>
    <s v="Medical"/>
    <n v="1"/>
    <n v="524"/>
    <n v="2"/>
    <x v="0"/>
    <n v="31"/>
    <n v="3"/>
    <x v="0"/>
    <x v="3"/>
    <x v="3"/>
    <s v="Married"/>
    <n v="4306"/>
    <n v="4156"/>
    <n v="1"/>
    <s v="Y"/>
    <s v="No"/>
    <n v="12"/>
    <n v="3"/>
    <n v="2"/>
    <n v="80"/>
    <n v="1"/>
    <n v="13"/>
    <n v="5"/>
    <n v="1"/>
    <x v="20"/>
    <n v="10"/>
    <n v="3"/>
    <n v="12"/>
    <x v="2"/>
    <n v="0"/>
    <n v="0"/>
    <x v="0"/>
    <n v="1"/>
    <m/>
    <m/>
  </r>
  <r>
    <n v="43"/>
    <x v="1"/>
    <s v="Travel_Frequently"/>
    <n v="313"/>
    <s v="Research &amp; Development"/>
    <n v="21"/>
    <n v="3"/>
    <s v="Medical"/>
    <n v="1"/>
    <n v="525"/>
    <n v="4"/>
    <x v="1"/>
    <n v="61"/>
    <n v="3"/>
    <x v="1"/>
    <x v="2"/>
    <x v="0"/>
    <s v="Married"/>
    <n v="2258"/>
    <n v="15238"/>
    <n v="7"/>
    <s v="Y"/>
    <s v="No"/>
    <n v="20"/>
    <n v="4"/>
    <n v="1"/>
    <n v="80"/>
    <n v="1"/>
    <n v="8"/>
    <n v="1"/>
    <n v="3"/>
    <x v="11"/>
    <n v="2"/>
    <n v="1"/>
    <n v="2"/>
    <x v="1"/>
    <n v="0"/>
    <n v="0"/>
    <x v="1"/>
    <n v="1"/>
    <m/>
    <m/>
  </r>
  <r>
    <n v="43"/>
    <x v="1"/>
    <s v="Travel_Rarely"/>
    <n v="1473"/>
    <s v="Research &amp; Development"/>
    <n v="8"/>
    <n v="4"/>
    <s v="Other"/>
    <n v="1"/>
    <n v="526"/>
    <n v="3"/>
    <x v="0"/>
    <n v="74"/>
    <n v="3"/>
    <x v="0"/>
    <x v="4"/>
    <x v="2"/>
    <s v="Divorced"/>
    <n v="4522"/>
    <n v="2227"/>
    <n v="4"/>
    <s v="Y"/>
    <s v="Yes"/>
    <n v="14"/>
    <n v="3"/>
    <n v="4"/>
    <n v="80"/>
    <n v="0"/>
    <n v="8"/>
    <n v="3"/>
    <n v="3"/>
    <x v="8"/>
    <n v="2"/>
    <n v="0"/>
    <n v="2"/>
    <x v="3"/>
    <n v="0"/>
    <n v="0"/>
    <x v="0"/>
    <n v="1"/>
    <m/>
    <m/>
  </r>
  <r>
    <n v="25"/>
    <x v="1"/>
    <s v="Travel_Rarely"/>
    <n v="891"/>
    <s v="Sales"/>
    <n v="4"/>
    <n v="2"/>
    <s v="Life Sciences"/>
    <n v="1"/>
    <n v="527"/>
    <n v="2"/>
    <x v="0"/>
    <n v="99"/>
    <n v="2"/>
    <x v="0"/>
    <x v="0"/>
    <x v="0"/>
    <s v="Single"/>
    <n v="4487"/>
    <n v="12090"/>
    <n v="1"/>
    <s v="Y"/>
    <s v="Yes"/>
    <n v="11"/>
    <n v="3"/>
    <n v="2"/>
    <n v="80"/>
    <n v="0"/>
    <n v="5"/>
    <n v="3"/>
    <n v="3"/>
    <x v="8"/>
    <n v="4"/>
    <n v="1"/>
    <n v="3"/>
    <x v="0"/>
    <n v="0"/>
    <n v="0"/>
    <x v="0"/>
    <n v="1"/>
    <m/>
    <m/>
  </r>
  <r>
    <n v="37"/>
    <x v="1"/>
    <s v="Non-Travel"/>
    <n v="1063"/>
    <s v="Research &amp; Development"/>
    <n v="25"/>
    <n v="5"/>
    <s v="Medical"/>
    <n v="1"/>
    <n v="529"/>
    <n v="2"/>
    <x v="0"/>
    <n v="72"/>
    <n v="3"/>
    <x v="0"/>
    <x v="1"/>
    <x v="2"/>
    <s v="Married"/>
    <n v="4449"/>
    <n v="23866"/>
    <n v="3"/>
    <s v="Y"/>
    <s v="Yes"/>
    <n v="15"/>
    <n v="3"/>
    <n v="1"/>
    <n v="80"/>
    <n v="2"/>
    <n v="15"/>
    <n v="2"/>
    <n v="3"/>
    <x v="20"/>
    <n v="11"/>
    <n v="10"/>
    <n v="7"/>
    <x v="1"/>
    <n v="0"/>
    <n v="0"/>
    <x v="0"/>
    <n v="1"/>
    <m/>
    <m/>
  </r>
  <r>
    <n v="31"/>
    <x v="1"/>
    <s v="Travel_Rarely"/>
    <n v="329"/>
    <s v="Research &amp; Development"/>
    <n v="1"/>
    <n v="2"/>
    <s v="Life Sciences"/>
    <n v="1"/>
    <n v="530"/>
    <n v="4"/>
    <x v="1"/>
    <n v="98"/>
    <n v="2"/>
    <x v="1"/>
    <x v="2"/>
    <x v="3"/>
    <s v="Married"/>
    <n v="2218"/>
    <n v="16193"/>
    <n v="1"/>
    <s v="Y"/>
    <s v="No"/>
    <n v="12"/>
    <n v="3"/>
    <n v="3"/>
    <n v="80"/>
    <n v="1"/>
    <n v="4"/>
    <n v="3"/>
    <n v="3"/>
    <x v="9"/>
    <n v="2"/>
    <n v="3"/>
    <n v="2"/>
    <x v="1"/>
    <n v="0"/>
    <n v="0"/>
    <x v="1"/>
    <n v="1"/>
    <m/>
    <m/>
  </r>
  <r>
    <n v="39"/>
    <x v="1"/>
    <s v="Travel_Frequently"/>
    <n v="1218"/>
    <s v="Research &amp; Development"/>
    <n v="1"/>
    <n v="1"/>
    <s v="Life Sciences"/>
    <n v="1"/>
    <n v="531"/>
    <n v="2"/>
    <x v="1"/>
    <n v="52"/>
    <n v="3"/>
    <x v="4"/>
    <x v="5"/>
    <x v="2"/>
    <s v="Divorced"/>
    <n v="19197"/>
    <n v="8213"/>
    <n v="1"/>
    <s v="Y"/>
    <s v="Yes"/>
    <n v="14"/>
    <n v="3"/>
    <n v="3"/>
    <n v="80"/>
    <n v="1"/>
    <n v="21"/>
    <n v="3"/>
    <n v="3"/>
    <x v="17"/>
    <n v="8"/>
    <n v="1"/>
    <n v="6"/>
    <x v="4"/>
    <n v="0"/>
    <n v="0"/>
    <x v="3"/>
    <n v="1"/>
    <m/>
    <m/>
  </r>
  <r>
    <n v="56"/>
    <x v="1"/>
    <s v="Travel_Frequently"/>
    <n v="906"/>
    <s v="Sales"/>
    <n v="6"/>
    <n v="3"/>
    <s v="Life Sciences"/>
    <n v="1"/>
    <n v="532"/>
    <n v="3"/>
    <x v="0"/>
    <n v="86"/>
    <n v="4"/>
    <x v="3"/>
    <x v="0"/>
    <x v="3"/>
    <s v="Married"/>
    <n v="13212"/>
    <n v="18256"/>
    <n v="9"/>
    <s v="Y"/>
    <s v="No"/>
    <n v="11"/>
    <n v="3"/>
    <n v="4"/>
    <n v="80"/>
    <n v="3"/>
    <n v="36"/>
    <n v="0"/>
    <n v="2"/>
    <x v="5"/>
    <n v="7"/>
    <n v="7"/>
    <n v="7"/>
    <x v="0"/>
    <n v="0"/>
    <n v="0"/>
    <x v="3"/>
    <n v="1"/>
    <m/>
    <m/>
  </r>
  <r>
    <n v="30"/>
    <x v="1"/>
    <s v="Travel_Rarely"/>
    <n v="1082"/>
    <s v="Sales"/>
    <n v="12"/>
    <n v="3"/>
    <s v="Technical Degree"/>
    <n v="1"/>
    <n v="533"/>
    <n v="2"/>
    <x v="0"/>
    <n v="83"/>
    <n v="3"/>
    <x v="0"/>
    <x v="0"/>
    <x v="2"/>
    <s v="Single"/>
    <n v="6577"/>
    <n v="19558"/>
    <n v="0"/>
    <s v="Y"/>
    <s v="No"/>
    <n v="11"/>
    <n v="3"/>
    <n v="2"/>
    <n v="80"/>
    <n v="0"/>
    <n v="6"/>
    <n v="6"/>
    <n v="3"/>
    <x v="8"/>
    <n v="4"/>
    <n v="4"/>
    <n v="4"/>
    <x v="0"/>
    <n v="0"/>
    <n v="0"/>
    <x v="4"/>
    <n v="1"/>
    <m/>
    <m/>
  </r>
  <r>
    <n v="41"/>
    <x v="1"/>
    <s v="Travel_Rarely"/>
    <n v="645"/>
    <s v="Sales"/>
    <n v="1"/>
    <n v="3"/>
    <s v="Marketing"/>
    <n v="1"/>
    <n v="534"/>
    <n v="2"/>
    <x v="1"/>
    <n v="49"/>
    <n v="4"/>
    <x v="2"/>
    <x v="0"/>
    <x v="3"/>
    <s v="Married"/>
    <n v="8392"/>
    <n v="19566"/>
    <n v="1"/>
    <s v="Y"/>
    <s v="No"/>
    <n v="16"/>
    <n v="3"/>
    <n v="3"/>
    <n v="80"/>
    <n v="1"/>
    <n v="10"/>
    <n v="2"/>
    <n v="3"/>
    <x v="1"/>
    <n v="7"/>
    <n v="0"/>
    <n v="7"/>
    <x v="0"/>
    <n v="0"/>
    <n v="0"/>
    <x v="4"/>
    <n v="1"/>
    <m/>
    <m/>
  </r>
  <r>
    <n v="28"/>
    <x v="1"/>
    <s v="Travel_Rarely"/>
    <n v="1300"/>
    <s v="Research &amp; Development"/>
    <n v="17"/>
    <n v="2"/>
    <s v="Medical"/>
    <n v="1"/>
    <n v="536"/>
    <n v="3"/>
    <x v="1"/>
    <n v="79"/>
    <n v="3"/>
    <x v="0"/>
    <x v="2"/>
    <x v="3"/>
    <s v="Divorced"/>
    <n v="4558"/>
    <n v="13535"/>
    <n v="1"/>
    <s v="Y"/>
    <s v="No"/>
    <n v="12"/>
    <n v="3"/>
    <n v="4"/>
    <n v="80"/>
    <n v="1"/>
    <n v="10"/>
    <n v="2"/>
    <n v="3"/>
    <x v="1"/>
    <n v="0"/>
    <n v="1"/>
    <n v="8"/>
    <x v="1"/>
    <n v="0"/>
    <n v="0"/>
    <x v="0"/>
    <n v="1"/>
    <m/>
    <m/>
  </r>
  <r>
    <n v="25"/>
    <x v="0"/>
    <s v="Travel_Rarely"/>
    <n v="688"/>
    <s v="Research &amp; Development"/>
    <n v="3"/>
    <n v="3"/>
    <s v="Medical"/>
    <n v="1"/>
    <n v="538"/>
    <n v="1"/>
    <x v="1"/>
    <n v="91"/>
    <n v="3"/>
    <x v="1"/>
    <x v="2"/>
    <x v="3"/>
    <s v="Married"/>
    <n v="4031"/>
    <n v="9396"/>
    <n v="5"/>
    <s v="Y"/>
    <s v="No"/>
    <n v="13"/>
    <n v="3"/>
    <n v="3"/>
    <n v="80"/>
    <n v="1"/>
    <n v="6"/>
    <n v="5"/>
    <n v="3"/>
    <x v="4"/>
    <n v="2"/>
    <n v="0"/>
    <n v="2"/>
    <x v="1"/>
    <n v="1"/>
    <n v="72558"/>
    <x v="0"/>
    <n v="1"/>
    <m/>
    <m/>
  </r>
  <r>
    <n v="52"/>
    <x v="1"/>
    <s v="Travel_Rarely"/>
    <n v="319"/>
    <s v="Research &amp; Development"/>
    <n v="3"/>
    <n v="3"/>
    <s v="Medical"/>
    <n v="1"/>
    <n v="543"/>
    <n v="4"/>
    <x v="1"/>
    <n v="39"/>
    <n v="2"/>
    <x v="2"/>
    <x v="3"/>
    <x v="2"/>
    <s v="Married"/>
    <n v="7969"/>
    <n v="19609"/>
    <n v="2"/>
    <s v="Y"/>
    <s v="Yes"/>
    <n v="14"/>
    <n v="3"/>
    <n v="3"/>
    <n v="80"/>
    <n v="0"/>
    <n v="28"/>
    <n v="4"/>
    <n v="3"/>
    <x v="8"/>
    <n v="4"/>
    <n v="0"/>
    <n v="4"/>
    <x v="2"/>
    <n v="0"/>
    <n v="0"/>
    <x v="4"/>
    <n v="1"/>
    <m/>
    <m/>
  </r>
  <r>
    <n v="45"/>
    <x v="1"/>
    <s v="Travel_Rarely"/>
    <n v="192"/>
    <s v="Research &amp; Development"/>
    <n v="10"/>
    <n v="2"/>
    <s v="Life Sciences"/>
    <n v="1"/>
    <n v="544"/>
    <n v="1"/>
    <x v="1"/>
    <n v="69"/>
    <n v="3"/>
    <x v="1"/>
    <x v="1"/>
    <x v="0"/>
    <s v="Married"/>
    <n v="2654"/>
    <n v="9655"/>
    <n v="3"/>
    <s v="Y"/>
    <s v="No"/>
    <n v="21"/>
    <n v="4"/>
    <n v="4"/>
    <n v="80"/>
    <n v="2"/>
    <n v="8"/>
    <n v="3"/>
    <n v="2"/>
    <x v="4"/>
    <n v="2"/>
    <n v="0"/>
    <n v="2"/>
    <x v="1"/>
    <n v="0"/>
    <n v="0"/>
    <x v="1"/>
    <n v="1"/>
    <m/>
    <m/>
  </r>
  <r>
    <n v="52"/>
    <x v="1"/>
    <s v="Travel_Rarely"/>
    <n v="1490"/>
    <s v="Research &amp; Development"/>
    <n v="4"/>
    <n v="2"/>
    <s v="Life Sciences"/>
    <n v="1"/>
    <n v="546"/>
    <n v="4"/>
    <x v="0"/>
    <n v="30"/>
    <n v="3"/>
    <x v="3"/>
    <x v="5"/>
    <x v="0"/>
    <s v="Married"/>
    <n v="16555"/>
    <n v="10310"/>
    <n v="2"/>
    <s v="Y"/>
    <s v="No"/>
    <n v="13"/>
    <n v="3"/>
    <n v="4"/>
    <n v="80"/>
    <n v="0"/>
    <n v="31"/>
    <n v="2"/>
    <n v="1"/>
    <x v="8"/>
    <n v="2"/>
    <n v="1"/>
    <n v="4"/>
    <x v="4"/>
    <n v="0"/>
    <n v="0"/>
    <x v="3"/>
    <n v="1"/>
    <m/>
    <m/>
  </r>
  <r>
    <n v="42"/>
    <x v="1"/>
    <s v="Travel_Frequently"/>
    <n v="532"/>
    <s v="Research &amp; Development"/>
    <n v="29"/>
    <n v="2"/>
    <s v="Life Sciences"/>
    <n v="1"/>
    <n v="547"/>
    <n v="1"/>
    <x v="0"/>
    <n v="92"/>
    <n v="3"/>
    <x v="0"/>
    <x v="1"/>
    <x v="2"/>
    <s v="Divorced"/>
    <n v="4556"/>
    <n v="12932"/>
    <n v="2"/>
    <s v="Y"/>
    <s v="No"/>
    <n v="11"/>
    <n v="3"/>
    <n v="2"/>
    <n v="80"/>
    <n v="1"/>
    <n v="19"/>
    <n v="3"/>
    <n v="3"/>
    <x v="8"/>
    <n v="4"/>
    <n v="0"/>
    <n v="2"/>
    <x v="1"/>
    <n v="0"/>
    <n v="0"/>
    <x v="0"/>
    <n v="1"/>
    <m/>
    <m/>
  </r>
  <r>
    <n v="30"/>
    <x v="1"/>
    <s v="Travel_Rarely"/>
    <n v="317"/>
    <s v="Research &amp; Development"/>
    <n v="2"/>
    <n v="3"/>
    <s v="Life Sciences"/>
    <n v="1"/>
    <n v="548"/>
    <n v="3"/>
    <x v="0"/>
    <n v="43"/>
    <n v="1"/>
    <x v="0"/>
    <x v="3"/>
    <x v="0"/>
    <s v="Single"/>
    <n v="6091"/>
    <n v="24793"/>
    <n v="2"/>
    <s v="Y"/>
    <s v="No"/>
    <n v="20"/>
    <n v="4"/>
    <n v="3"/>
    <n v="80"/>
    <n v="0"/>
    <n v="11"/>
    <n v="2"/>
    <n v="3"/>
    <x v="8"/>
    <n v="4"/>
    <n v="0"/>
    <n v="2"/>
    <x v="2"/>
    <n v="0"/>
    <n v="0"/>
    <x v="4"/>
    <n v="1"/>
    <m/>
    <m/>
  </r>
  <r>
    <n v="60"/>
    <x v="1"/>
    <s v="Travel_Rarely"/>
    <n v="422"/>
    <s v="Research &amp; Development"/>
    <n v="7"/>
    <n v="3"/>
    <s v="Life Sciences"/>
    <n v="1"/>
    <n v="549"/>
    <n v="1"/>
    <x v="0"/>
    <n v="41"/>
    <n v="3"/>
    <x v="4"/>
    <x v="5"/>
    <x v="3"/>
    <s v="Married"/>
    <n v="19566"/>
    <n v="3854"/>
    <n v="5"/>
    <s v="Y"/>
    <s v="No"/>
    <n v="11"/>
    <n v="3"/>
    <n v="4"/>
    <n v="80"/>
    <n v="0"/>
    <n v="33"/>
    <n v="5"/>
    <n v="1"/>
    <x v="30"/>
    <n v="8"/>
    <n v="11"/>
    <n v="10"/>
    <x v="4"/>
    <n v="0"/>
    <n v="0"/>
    <x v="3"/>
    <n v="1"/>
    <m/>
    <m/>
  </r>
  <r>
    <n v="46"/>
    <x v="1"/>
    <s v="Travel_Rarely"/>
    <n v="1485"/>
    <s v="Research &amp; Development"/>
    <n v="18"/>
    <n v="3"/>
    <s v="Medical"/>
    <n v="1"/>
    <n v="550"/>
    <n v="3"/>
    <x v="0"/>
    <n v="87"/>
    <n v="3"/>
    <x v="0"/>
    <x v="3"/>
    <x v="2"/>
    <s v="Divorced"/>
    <n v="4810"/>
    <n v="26314"/>
    <n v="2"/>
    <s v="Y"/>
    <s v="No"/>
    <n v="14"/>
    <n v="3"/>
    <n v="3"/>
    <n v="80"/>
    <n v="1"/>
    <n v="19"/>
    <n v="5"/>
    <n v="2"/>
    <x v="1"/>
    <n v="7"/>
    <n v="0"/>
    <n v="8"/>
    <x v="2"/>
    <n v="0"/>
    <n v="0"/>
    <x v="0"/>
    <n v="1"/>
    <m/>
    <m/>
  </r>
  <r>
    <n v="42"/>
    <x v="1"/>
    <s v="Travel_Frequently"/>
    <n v="1368"/>
    <s v="Research &amp; Development"/>
    <n v="28"/>
    <n v="4"/>
    <s v="Technical Degree"/>
    <n v="1"/>
    <n v="551"/>
    <n v="4"/>
    <x v="0"/>
    <n v="88"/>
    <n v="2"/>
    <x v="0"/>
    <x v="4"/>
    <x v="0"/>
    <s v="Married"/>
    <n v="4523"/>
    <n v="4386"/>
    <n v="0"/>
    <s v="Y"/>
    <s v="No"/>
    <n v="11"/>
    <n v="3"/>
    <n v="4"/>
    <n v="80"/>
    <n v="3"/>
    <n v="7"/>
    <n v="4"/>
    <n v="4"/>
    <x v="0"/>
    <n v="5"/>
    <n v="0"/>
    <n v="4"/>
    <x v="3"/>
    <n v="0"/>
    <n v="0"/>
    <x v="0"/>
    <n v="1"/>
    <m/>
    <m/>
  </r>
  <r>
    <n v="24"/>
    <x v="0"/>
    <s v="Travel_Rarely"/>
    <n v="1448"/>
    <s v="Sales"/>
    <n v="1"/>
    <n v="1"/>
    <s v="Technical Degree"/>
    <n v="1"/>
    <n v="554"/>
    <n v="1"/>
    <x v="0"/>
    <n v="62"/>
    <n v="3"/>
    <x v="1"/>
    <x v="6"/>
    <x v="1"/>
    <s v="Single"/>
    <n v="3202"/>
    <n v="21972"/>
    <n v="1"/>
    <s v="Y"/>
    <s v="Yes"/>
    <n v="16"/>
    <n v="3"/>
    <n v="2"/>
    <n v="80"/>
    <n v="0"/>
    <n v="6"/>
    <n v="4"/>
    <n v="3"/>
    <x v="8"/>
    <n v="3"/>
    <n v="1"/>
    <n v="4"/>
    <x v="0"/>
    <n v="1"/>
    <n v="57636"/>
    <x v="0"/>
    <n v="1"/>
    <m/>
    <m/>
  </r>
  <r>
    <n v="34"/>
    <x v="0"/>
    <s v="Travel_Frequently"/>
    <n v="296"/>
    <s v="Sales"/>
    <n v="6"/>
    <n v="2"/>
    <s v="Marketing"/>
    <n v="1"/>
    <n v="555"/>
    <n v="4"/>
    <x v="0"/>
    <n v="33"/>
    <n v="1"/>
    <x v="1"/>
    <x v="6"/>
    <x v="2"/>
    <s v="Divorced"/>
    <n v="2351"/>
    <n v="12253"/>
    <n v="0"/>
    <s v="Y"/>
    <s v="No"/>
    <n v="16"/>
    <n v="3"/>
    <n v="4"/>
    <n v="80"/>
    <n v="1"/>
    <n v="3"/>
    <n v="3"/>
    <n v="2"/>
    <x v="4"/>
    <n v="2"/>
    <n v="1"/>
    <n v="0"/>
    <x v="0"/>
    <n v="1"/>
    <n v="42318"/>
    <x v="1"/>
    <n v="1"/>
    <m/>
    <m/>
  </r>
  <r>
    <n v="38"/>
    <x v="1"/>
    <s v="Travel_Frequently"/>
    <n v="1490"/>
    <s v="Research &amp; Development"/>
    <n v="2"/>
    <n v="2"/>
    <s v="Life Sciences"/>
    <n v="1"/>
    <n v="556"/>
    <n v="4"/>
    <x v="1"/>
    <n v="42"/>
    <n v="3"/>
    <x v="1"/>
    <x v="2"/>
    <x v="0"/>
    <s v="Married"/>
    <n v="1702"/>
    <n v="12106"/>
    <n v="1"/>
    <s v="Y"/>
    <s v="Yes"/>
    <n v="23"/>
    <n v="4"/>
    <n v="3"/>
    <n v="80"/>
    <n v="1"/>
    <n v="1"/>
    <n v="3"/>
    <n v="3"/>
    <x v="6"/>
    <n v="0"/>
    <n v="0"/>
    <n v="0"/>
    <x v="1"/>
    <n v="0"/>
    <n v="0"/>
    <x v="1"/>
    <n v="1"/>
    <m/>
    <m/>
  </r>
  <r>
    <n v="40"/>
    <x v="1"/>
    <s v="Travel_Rarely"/>
    <n v="1398"/>
    <s v="Sales"/>
    <n v="2"/>
    <n v="4"/>
    <s v="Life Sciences"/>
    <n v="1"/>
    <n v="558"/>
    <n v="3"/>
    <x v="0"/>
    <n v="79"/>
    <n v="3"/>
    <x v="4"/>
    <x v="5"/>
    <x v="2"/>
    <s v="Married"/>
    <n v="18041"/>
    <n v="13022"/>
    <n v="0"/>
    <s v="Y"/>
    <s v="No"/>
    <n v="14"/>
    <n v="3"/>
    <n v="4"/>
    <n v="80"/>
    <n v="0"/>
    <n v="21"/>
    <n v="2"/>
    <n v="3"/>
    <x v="23"/>
    <n v="15"/>
    <n v="1"/>
    <n v="12"/>
    <x v="4"/>
    <n v="0"/>
    <n v="0"/>
    <x v="3"/>
    <n v="1"/>
    <m/>
    <m/>
  </r>
  <r>
    <n v="26"/>
    <x v="1"/>
    <s v="Travel_Rarely"/>
    <n v="1349"/>
    <s v="Research &amp; Development"/>
    <n v="23"/>
    <n v="3"/>
    <s v="Life Sciences"/>
    <n v="1"/>
    <n v="560"/>
    <n v="1"/>
    <x v="0"/>
    <n v="90"/>
    <n v="3"/>
    <x v="1"/>
    <x v="1"/>
    <x v="0"/>
    <s v="Divorced"/>
    <n v="2886"/>
    <n v="3032"/>
    <n v="1"/>
    <s v="Y"/>
    <s v="No"/>
    <n v="22"/>
    <n v="4"/>
    <n v="2"/>
    <n v="80"/>
    <n v="2"/>
    <n v="3"/>
    <n v="3"/>
    <n v="1"/>
    <x v="11"/>
    <n v="2"/>
    <n v="0"/>
    <n v="2"/>
    <x v="1"/>
    <n v="0"/>
    <n v="0"/>
    <x v="1"/>
    <n v="1"/>
    <m/>
    <m/>
  </r>
  <r>
    <n v="30"/>
    <x v="1"/>
    <s v="Non-Travel"/>
    <n v="1400"/>
    <s v="Research &amp; Development"/>
    <n v="3"/>
    <n v="3"/>
    <s v="Life Sciences"/>
    <n v="1"/>
    <n v="562"/>
    <n v="3"/>
    <x v="1"/>
    <n v="53"/>
    <n v="3"/>
    <x v="1"/>
    <x v="2"/>
    <x v="0"/>
    <s v="Married"/>
    <n v="2097"/>
    <n v="16734"/>
    <n v="4"/>
    <s v="Y"/>
    <s v="No"/>
    <n v="15"/>
    <n v="3"/>
    <n v="3"/>
    <n v="80"/>
    <n v="1"/>
    <n v="9"/>
    <n v="3"/>
    <n v="1"/>
    <x v="8"/>
    <n v="3"/>
    <n v="1"/>
    <n v="4"/>
    <x v="1"/>
    <n v="0"/>
    <n v="0"/>
    <x v="1"/>
    <n v="1"/>
    <m/>
    <m/>
  </r>
  <r>
    <n v="29"/>
    <x v="1"/>
    <s v="Travel_Rarely"/>
    <n v="986"/>
    <s v="Research &amp; Development"/>
    <n v="3"/>
    <n v="4"/>
    <s v="Medical"/>
    <n v="1"/>
    <n v="564"/>
    <n v="2"/>
    <x v="1"/>
    <n v="93"/>
    <n v="2"/>
    <x v="2"/>
    <x v="7"/>
    <x v="2"/>
    <s v="Married"/>
    <n v="11935"/>
    <n v="21526"/>
    <n v="1"/>
    <s v="Y"/>
    <s v="No"/>
    <n v="18"/>
    <n v="3"/>
    <n v="3"/>
    <n v="80"/>
    <n v="0"/>
    <n v="10"/>
    <n v="2"/>
    <n v="3"/>
    <x v="1"/>
    <n v="2"/>
    <n v="0"/>
    <n v="7"/>
    <x v="1"/>
    <n v="0"/>
    <n v="0"/>
    <x v="2"/>
    <n v="1"/>
    <m/>
    <m/>
  </r>
  <r>
    <n v="29"/>
    <x v="0"/>
    <s v="Travel_Rarely"/>
    <n v="408"/>
    <s v="Research &amp; Development"/>
    <n v="25"/>
    <n v="5"/>
    <s v="Technical Degree"/>
    <n v="1"/>
    <n v="565"/>
    <n v="3"/>
    <x v="0"/>
    <n v="71"/>
    <n v="2"/>
    <x v="1"/>
    <x v="1"/>
    <x v="1"/>
    <s v="Married"/>
    <n v="2546"/>
    <n v="18300"/>
    <n v="5"/>
    <s v="Y"/>
    <s v="No"/>
    <n v="16"/>
    <n v="3"/>
    <n v="2"/>
    <n v="80"/>
    <n v="0"/>
    <n v="6"/>
    <n v="2"/>
    <n v="4"/>
    <x v="4"/>
    <n v="2"/>
    <n v="1"/>
    <n v="1"/>
    <x v="1"/>
    <n v="1"/>
    <n v="45828"/>
    <x v="1"/>
    <n v="1"/>
    <m/>
    <m/>
  </r>
  <r>
    <n v="19"/>
    <x v="0"/>
    <s v="Travel_Rarely"/>
    <n v="489"/>
    <s v="Human Resources"/>
    <n v="2"/>
    <n v="2"/>
    <s v="Technical Degree"/>
    <n v="1"/>
    <n v="566"/>
    <n v="1"/>
    <x v="1"/>
    <n v="52"/>
    <n v="2"/>
    <x v="1"/>
    <x v="8"/>
    <x v="0"/>
    <s v="Single"/>
    <n v="2564"/>
    <n v="18437"/>
    <n v="1"/>
    <s v="Y"/>
    <s v="No"/>
    <n v="12"/>
    <n v="3"/>
    <n v="3"/>
    <n v="80"/>
    <n v="0"/>
    <n v="1"/>
    <n v="3"/>
    <n v="4"/>
    <x v="6"/>
    <n v="0"/>
    <n v="0"/>
    <n v="0"/>
    <x v="5"/>
    <n v="1"/>
    <n v="46152"/>
    <x v="1"/>
    <n v="1"/>
    <m/>
    <m/>
  </r>
  <r>
    <n v="30"/>
    <x v="1"/>
    <s v="Non-Travel"/>
    <n v="1398"/>
    <s v="Sales"/>
    <n v="22"/>
    <n v="4"/>
    <s v="Other"/>
    <n v="1"/>
    <n v="567"/>
    <n v="3"/>
    <x v="0"/>
    <n v="69"/>
    <n v="3"/>
    <x v="2"/>
    <x v="0"/>
    <x v="3"/>
    <s v="Married"/>
    <n v="8412"/>
    <n v="2890"/>
    <n v="0"/>
    <s v="Y"/>
    <s v="No"/>
    <n v="11"/>
    <n v="3"/>
    <n v="3"/>
    <n v="80"/>
    <n v="0"/>
    <n v="10"/>
    <n v="3"/>
    <n v="3"/>
    <x v="7"/>
    <n v="8"/>
    <n v="7"/>
    <n v="8"/>
    <x v="0"/>
    <n v="0"/>
    <n v="0"/>
    <x v="4"/>
    <n v="1"/>
    <m/>
    <m/>
  </r>
  <r>
    <n v="57"/>
    <x v="1"/>
    <s v="Travel_Rarely"/>
    <n v="210"/>
    <s v="Sales"/>
    <n v="29"/>
    <n v="3"/>
    <s v="Marketing"/>
    <n v="1"/>
    <n v="568"/>
    <n v="1"/>
    <x v="1"/>
    <n v="56"/>
    <n v="2"/>
    <x v="3"/>
    <x v="5"/>
    <x v="0"/>
    <s v="Divorced"/>
    <n v="14118"/>
    <n v="22102"/>
    <n v="3"/>
    <s v="Y"/>
    <s v="No"/>
    <n v="12"/>
    <n v="3"/>
    <n v="3"/>
    <n v="80"/>
    <n v="1"/>
    <n v="32"/>
    <n v="3"/>
    <n v="2"/>
    <x v="6"/>
    <n v="0"/>
    <n v="0"/>
    <n v="0"/>
    <x v="4"/>
    <n v="0"/>
    <n v="0"/>
    <x v="3"/>
    <n v="1"/>
    <m/>
    <m/>
  </r>
  <r>
    <n v="50"/>
    <x v="1"/>
    <s v="Travel_Rarely"/>
    <n v="1099"/>
    <s v="Research &amp; Development"/>
    <n v="29"/>
    <n v="4"/>
    <s v="Life Sciences"/>
    <n v="1"/>
    <n v="569"/>
    <n v="2"/>
    <x v="1"/>
    <n v="88"/>
    <n v="2"/>
    <x v="3"/>
    <x v="5"/>
    <x v="2"/>
    <s v="Married"/>
    <n v="17046"/>
    <n v="9314"/>
    <n v="0"/>
    <s v="Y"/>
    <s v="No"/>
    <n v="15"/>
    <n v="3"/>
    <n v="2"/>
    <n v="80"/>
    <n v="1"/>
    <n v="28"/>
    <n v="2"/>
    <n v="3"/>
    <x v="16"/>
    <n v="10"/>
    <n v="15"/>
    <n v="7"/>
    <x v="4"/>
    <n v="0"/>
    <n v="0"/>
    <x v="3"/>
    <n v="1"/>
    <m/>
    <m/>
  </r>
  <r>
    <n v="30"/>
    <x v="1"/>
    <s v="Non-Travel"/>
    <n v="1116"/>
    <s v="Research &amp; Development"/>
    <n v="2"/>
    <n v="3"/>
    <s v="Medical"/>
    <n v="1"/>
    <n v="571"/>
    <n v="3"/>
    <x v="0"/>
    <n v="49"/>
    <n v="3"/>
    <x v="1"/>
    <x v="2"/>
    <x v="0"/>
    <s v="Single"/>
    <n v="2564"/>
    <n v="7181"/>
    <n v="0"/>
    <s v="Y"/>
    <s v="No"/>
    <n v="14"/>
    <n v="3"/>
    <n v="3"/>
    <n v="80"/>
    <n v="0"/>
    <n v="12"/>
    <n v="2"/>
    <n v="2"/>
    <x v="19"/>
    <n v="7"/>
    <n v="6"/>
    <n v="7"/>
    <x v="1"/>
    <n v="0"/>
    <n v="0"/>
    <x v="1"/>
    <n v="1"/>
    <m/>
    <m/>
  </r>
  <r>
    <n v="60"/>
    <x v="1"/>
    <s v="Travel_Frequently"/>
    <n v="1499"/>
    <s v="Sales"/>
    <n v="28"/>
    <n v="3"/>
    <s v="Marketing"/>
    <n v="1"/>
    <n v="573"/>
    <n v="3"/>
    <x v="0"/>
    <n v="80"/>
    <n v="2"/>
    <x v="2"/>
    <x v="0"/>
    <x v="3"/>
    <s v="Married"/>
    <n v="10266"/>
    <n v="2845"/>
    <n v="4"/>
    <s v="Y"/>
    <s v="No"/>
    <n v="19"/>
    <n v="3"/>
    <n v="4"/>
    <n v="80"/>
    <n v="0"/>
    <n v="22"/>
    <n v="5"/>
    <n v="4"/>
    <x v="29"/>
    <n v="13"/>
    <n v="13"/>
    <n v="11"/>
    <x v="0"/>
    <n v="0"/>
    <n v="0"/>
    <x v="2"/>
    <n v="1"/>
    <m/>
    <m/>
  </r>
  <r>
    <n v="47"/>
    <x v="1"/>
    <s v="Travel_Rarely"/>
    <n v="983"/>
    <s v="Research &amp; Development"/>
    <n v="2"/>
    <n v="2"/>
    <s v="Medical"/>
    <n v="1"/>
    <n v="574"/>
    <n v="1"/>
    <x v="0"/>
    <n v="65"/>
    <n v="3"/>
    <x v="0"/>
    <x v="3"/>
    <x v="0"/>
    <s v="Divorced"/>
    <n v="5070"/>
    <n v="7389"/>
    <n v="5"/>
    <s v="Y"/>
    <s v="No"/>
    <n v="13"/>
    <n v="3"/>
    <n v="3"/>
    <n v="80"/>
    <n v="3"/>
    <n v="20"/>
    <n v="2"/>
    <n v="3"/>
    <x v="8"/>
    <n v="0"/>
    <n v="0"/>
    <n v="4"/>
    <x v="2"/>
    <n v="0"/>
    <n v="0"/>
    <x v="0"/>
    <n v="1"/>
    <m/>
    <m/>
  </r>
  <r>
    <n v="46"/>
    <x v="1"/>
    <s v="Travel_Rarely"/>
    <n v="1009"/>
    <s v="Research &amp; Development"/>
    <n v="2"/>
    <n v="3"/>
    <s v="Life Sciences"/>
    <n v="1"/>
    <n v="575"/>
    <n v="1"/>
    <x v="1"/>
    <n v="51"/>
    <n v="3"/>
    <x v="3"/>
    <x v="7"/>
    <x v="2"/>
    <s v="Married"/>
    <n v="17861"/>
    <n v="2288"/>
    <n v="6"/>
    <s v="Y"/>
    <s v="No"/>
    <n v="13"/>
    <n v="3"/>
    <n v="3"/>
    <n v="80"/>
    <n v="0"/>
    <n v="26"/>
    <n v="2"/>
    <n v="1"/>
    <x v="11"/>
    <n v="2"/>
    <n v="0"/>
    <n v="1"/>
    <x v="1"/>
    <n v="0"/>
    <n v="0"/>
    <x v="3"/>
    <n v="1"/>
    <m/>
    <m/>
  </r>
  <r>
    <n v="35"/>
    <x v="1"/>
    <s v="Travel_Rarely"/>
    <n v="144"/>
    <s v="Research &amp; Development"/>
    <n v="22"/>
    <n v="3"/>
    <s v="Life Sciences"/>
    <n v="1"/>
    <n v="577"/>
    <n v="4"/>
    <x v="1"/>
    <n v="46"/>
    <n v="1"/>
    <x v="1"/>
    <x v="2"/>
    <x v="2"/>
    <s v="Single"/>
    <n v="4230"/>
    <n v="19225"/>
    <n v="0"/>
    <s v="Y"/>
    <s v="No"/>
    <n v="15"/>
    <n v="3"/>
    <n v="3"/>
    <n v="80"/>
    <n v="0"/>
    <n v="6"/>
    <n v="2"/>
    <n v="3"/>
    <x v="8"/>
    <n v="4"/>
    <n v="4"/>
    <n v="3"/>
    <x v="1"/>
    <n v="0"/>
    <n v="0"/>
    <x v="0"/>
    <n v="1"/>
    <m/>
    <m/>
  </r>
  <r>
    <n v="54"/>
    <x v="1"/>
    <s v="Travel_Rarely"/>
    <n v="548"/>
    <s v="Research &amp; Development"/>
    <n v="8"/>
    <n v="4"/>
    <s v="Life Sciences"/>
    <n v="1"/>
    <n v="578"/>
    <n v="3"/>
    <x v="0"/>
    <n v="42"/>
    <n v="3"/>
    <x v="0"/>
    <x v="2"/>
    <x v="2"/>
    <s v="Single"/>
    <n v="3780"/>
    <n v="23428"/>
    <n v="7"/>
    <s v="Y"/>
    <s v="No"/>
    <n v="11"/>
    <n v="3"/>
    <n v="3"/>
    <n v="80"/>
    <n v="0"/>
    <n v="19"/>
    <n v="3"/>
    <n v="3"/>
    <x v="6"/>
    <n v="0"/>
    <n v="0"/>
    <n v="0"/>
    <x v="1"/>
    <n v="0"/>
    <n v="0"/>
    <x v="0"/>
    <n v="1"/>
    <m/>
    <m/>
  </r>
  <r>
    <n v="34"/>
    <x v="1"/>
    <s v="Travel_Rarely"/>
    <n v="1303"/>
    <s v="Research &amp; Development"/>
    <n v="2"/>
    <n v="4"/>
    <s v="Life Sciences"/>
    <n v="1"/>
    <n v="579"/>
    <n v="4"/>
    <x v="1"/>
    <n v="62"/>
    <n v="2"/>
    <x v="1"/>
    <x v="1"/>
    <x v="2"/>
    <s v="Divorced"/>
    <n v="2768"/>
    <n v="8416"/>
    <n v="3"/>
    <s v="Y"/>
    <s v="No"/>
    <n v="12"/>
    <n v="3"/>
    <n v="3"/>
    <n v="80"/>
    <n v="1"/>
    <n v="14"/>
    <n v="3"/>
    <n v="3"/>
    <x v="5"/>
    <n v="3"/>
    <n v="5"/>
    <n v="7"/>
    <x v="1"/>
    <n v="0"/>
    <n v="0"/>
    <x v="1"/>
    <n v="1"/>
    <m/>
    <m/>
  </r>
  <r>
    <n v="46"/>
    <x v="1"/>
    <s v="Travel_Rarely"/>
    <n v="1125"/>
    <s v="Sales"/>
    <n v="10"/>
    <n v="3"/>
    <s v="Marketing"/>
    <n v="1"/>
    <n v="580"/>
    <n v="3"/>
    <x v="0"/>
    <n v="94"/>
    <n v="2"/>
    <x v="2"/>
    <x v="0"/>
    <x v="0"/>
    <s v="Married"/>
    <n v="9071"/>
    <n v="11563"/>
    <n v="2"/>
    <s v="Y"/>
    <s v="Yes"/>
    <n v="19"/>
    <n v="3"/>
    <n v="3"/>
    <n v="80"/>
    <n v="1"/>
    <n v="15"/>
    <n v="3"/>
    <n v="3"/>
    <x v="11"/>
    <n v="2"/>
    <n v="1"/>
    <n v="2"/>
    <x v="0"/>
    <n v="0"/>
    <n v="0"/>
    <x v="2"/>
    <n v="1"/>
    <m/>
    <m/>
  </r>
  <r>
    <n v="31"/>
    <x v="1"/>
    <s v="Travel_Rarely"/>
    <n v="1274"/>
    <s v="Research &amp; Development"/>
    <n v="9"/>
    <n v="1"/>
    <s v="Life Sciences"/>
    <n v="1"/>
    <n v="581"/>
    <n v="3"/>
    <x v="1"/>
    <n v="33"/>
    <n v="3"/>
    <x v="2"/>
    <x v="3"/>
    <x v="1"/>
    <s v="Divorced"/>
    <n v="10648"/>
    <n v="14394"/>
    <n v="1"/>
    <s v="Y"/>
    <s v="No"/>
    <n v="25"/>
    <n v="4"/>
    <n v="4"/>
    <n v="80"/>
    <n v="1"/>
    <n v="13"/>
    <n v="6"/>
    <n v="4"/>
    <x v="20"/>
    <n v="8"/>
    <n v="0"/>
    <n v="8"/>
    <x v="2"/>
    <n v="0"/>
    <n v="0"/>
    <x v="2"/>
    <n v="1"/>
    <m/>
    <m/>
  </r>
  <r>
    <n v="33"/>
    <x v="0"/>
    <s v="Travel_Rarely"/>
    <n v="1277"/>
    <s v="Research &amp; Development"/>
    <n v="15"/>
    <n v="1"/>
    <s v="Medical"/>
    <n v="1"/>
    <n v="582"/>
    <n v="2"/>
    <x v="1"/>
    <n v="56"/>
    <n v="3"/>
    <x v="2"/>
    <x v="5"/>
    <x v="2"/>
    <s v="Married"/>
    <n v="13610"/>
    <n v="24619"/>
    <n v="7"/>
    <s v="Y"/>
    <s v="Yes"/>
    <n v="12"/>
    <n v="3"/>
    <n v="4"/>
    <n v="80"/>
    <n v="0"/>
    <n v="15"/>
    <n v="2"/>
    <n v="4"/>
    <x v="5"/>
    <n v="6"/>
    <n v="7"/>
    <n v="7"/>
    <x v="4"/>
    <n v="1"/>
    <n v="244980"/>
    <x v="3"/>
    <n v="1"/>
    <m/>
    <m/>
  </r>
  <r>
    <n v="33"/>
    <x v="0"/>
    <s v="Travel_Rarely"/>
    <n v="587"/>
    <s v="Research &amp; Development"/>
    <n v="10"/>
    <n v="1"/>
    <s v="Medical"/>
    <n v="1"/>
    <n v="584"/>
    <n v="1"/>
    <x v="1"/>
    <n v="38"/>
    <n v="1"/>
    <x v="1"/>
    <x v="2"/>
    <x v="0"/>
    <s v="Divorced"/>
    <n v="3408"/>
    <n v="6705"/>
    <n v="7"/>
    <s v="Y"/>
    <s v="No"/>
    <n v="13"/>
    <n v="3"/>
    <n v="1"/>
    <n v="80"/>
    <n v="3"/>
    <n v="8"/>
    <n v="2"/>
    <n v="3"/>
    <x v="9"/>
    <n v="3"/>
    <n v="1"/>
    <n v="3"/>
    <x v="1"/>
    <n v="1"/>
    <n v="61344"/>
    <x v="0"/>
    <n v="1"/>
    <m/>
    <m/>
  </r>
  <r>
    <n v="30"/>
    <x v="1"/>
    <s v="Travel_Rarely"/>
    <n v="413"/>
    <s v="Sales"/>
    <n v="7"/>
    <n v="1"/>
    <s v="Marketing"/>
    <n v="1"/>
    <n v="585"/>
    <n v="4"/>
    <x v="1"/>
    <n v="57"/>
    <n v="3"/>
    <x v="1"/>
    <x v="6"/>
    <x v="1"/>
    <s v="Single"/>
    <n v="2983"/>
    <n v="18398"/>
    <n v="0"/>
    <s v="Y"/>
    <s v="No"/>
    <n v="14"/>
    <n v="3"/>
    <n v="1"/>
    <n v="80"/>
    <n v="0"/>
    <n v="4"/>
    <n v="3"/>
    <n v="3"/>
    <x v="11"/>
    <n v="2"/>
    <n v="1"/>
    <n v="2"/>
    <x v="0"/>
    <n v="0"/>
    <n v="0"/>
    <x v="1"/>
    <n v="1"/>
    <m/>
    <m/>
  </r>
  <r>
    <n v="35"/>
    <x v="1"/>
    <s v="Travel_Rarely"/>
    <n v="1276"/>
    <s v="Research &amp; Development"/>
    <n v="16"/>
    <n v="3"/>
    <s v="Life Sciences"/>
    <n v="1"/>
    <n v="586"/>
    <n v="4"/>
    <x v="1"/>
    <n v="72"/>
    <n v="3"/>
    <x v="2"/>
    <x v="4"/>
    <x v="2"/>
    <s v="Married"/>
    <n v="7632"/>
    <n v="14295"/>
    <n v="4"/>
    <s v="Y"/>
    <s v="Yes"/>
    <n v="12"/>
    <n v="3"/>
    <n v="3"/>
    <n v="80"/>
    <n v="0"/>
    <n v="10"/>
    <n v="2"/>
    <n v="3"/>
    <x v="3"/>
    <n v="7"/>
    <n v="0"/>
    <n v="0"/>
    <x v="3"/>
    <n v="0"/>
    <n v="0"/>
    <x v="4"/>
    <n v="1"/>
    <m/>
    <m/>
  </r>
  <r>
    <n v="31"/>
    <x v="0"/>
    <s v="Travel_Frequently"/>
    <n v="534"/>
    <s v="Research &amp; Development"/>
    <n v="20"/>
    <n v="3"/>
    <s v="Life Sciences"/>
    <n v="1"/>
    <n v="587"/>
    <n v="1"/>
    <x v="1"/>
    <n v="66"/>
    <n v="3"/>
    <x v="2"/>
    <x v="4"/>
    <x v="2"/>
    <s v="Married"/>
    <n v="9824"/>
    <n v="22908"/>
    <n v="3"/>
    <s v="Y"/>
    <s v="No"/>
    <n v="12"/>
    <n v="3"/>
    <n v="1"/>
    <n v="80"/>
    <n v="0"/>
    <n v="12"/>
    <n v="2"/>
    <n v="3"/>
    <x v="6"/>
    <n v="0"/>
    <n v="0"/>
    <n v="0"/>
    <x v="3"/>
    <n v="1"/>
    <n v="176832"/>
    <x v="2"/>
    <n v="1"/>
    <m/>
    <m/>
  </r>
  <r>
    <n v="34"/>
    <x v="0"/>
    <s v="Travel_Frequently"/>
    <n v="988"/>
    <s v="Human Resources"/>
    <n v="23"/>
    <n v="3"/>
    <s v="Human Resources"/>
    <n v="1"/>
    <n v="590"/>
    <n v="2"/>
    <x v="0"/>
    <n v="43"/>
    <n v="3"/>
    <x v="2"/>
    <x v="8"/>
    <x v="3"/>
    <s v="Divorced"/>
    <n v="9950"/>
    <n v="11533"/>
    <n v="9"/>
    <s v="Y"/>
    <s v="Yes"/>
    <n v="15"/>
    <n v="3"/>
    <n v="3"/>
    <n v="80"/>
    <n v="3"/>
    <n v="11"/>
    <n v="2"/>
    <n v="3"/>
    <x v="11"/>
    <n v="2"/>
    <n v="0"/>
    <n v="2"/>
    <x v="5"/>
    <n v="1"/>
    <n v="179100"/>
    <x v="2"/>
    <n v="1"/>
    <m/>
    <m/>
  </r>
  <r>
    <n v="42"/>
    <x v="1"/>
    <s v="Travel_Frequently"/>
    <n v="1474"/>
    <s v="Research &amp; Development"/>
    <n v="5"/>
    <n v="2"/>
    <s v="Other"/>
    <n v="1"/>
    <n v="591"/>
    <n v="2"/>
    <x v="1"/>
    <n v="97"/>
    <n v="3"/>
    <x v="1"/>
    <x v="2"/>
    <x v="2"/>
    <s v="Married"/>
    <n v="2093"/>
    <n v="9260"/>
    <n v="4"/>
    <s v="Y"/>
    <s v="No"/>
    <n v="17"/>
    <n v="3"/>
    <n v="4"/>
    <n v="80"/>
    <n v="1"/>
    <n v="8"/>
    <n v="4"/>
    <n v="3"/>
    <x v="4"/>
    <n v="2"/>
    <n v="2"/>
    <n v="0"/>
    <x v="1"/>
    <n v="0"/>
    <n v="0"/>
    <x v="1"/>
    <n v="1"/>
    <m/>
    <m/>
  </r>
  <r>
    <n v="36"/>
    <x v="1"/>
    <s v="Non-Travel"/>
    <n v="635"/>
    <s v="Sales"/>
    <n v="10"/>
    <n v="4"/>
    <s v="Medical"/>
    <n v="1"/>
    <n v="592"/>
    <n v="2"/>
    <x v="1"/>
    <n v="32"/>
    <n v="3"/>
    <x v="2"/>
    <x v="0"/>
    <x v="0"/>
    <s v="Single"/>
    <n v="9980"/>
    <n v="15318"/>
    <n v="1"/>
    <s v="Y"/>
    <s v="No"/>
    <n v="14"/>
    <n v="3"/>
    <n v="4"/>
    <n v="80"/>
    <n v="0"/>
    <n v="10"/>
    <n v="3"/>
    <n v="2"/>
    <x v="1"/>
    <n v="3"/>
    <n v="9"/>
    <n v="7"/>
    <x v="0"/>
    <n v="0"/>
    <n v="0"/>
    <x v="2"/>
    <n v="1"/>
    <m/>
    <m/>
  </r>
  <r>
    <n v="22"/>
    <x v="0"/>
    <s v="Travel_Frequently"/>
    <n v="1368"/>
    <s v="Research &amp; Development"/>
    <n v="4"/>
    <n v="1"/>
    <s v="Technical Degree"/>
    <n v="1"/>
    <n v="593"/>
    <n v="3"/>
    <x v="1"/>
    <n v="99"/>
    <n v="2"/>
    <x v="1"/>
    <x v="2"/>
    <x v="2"/>
    <s v="Single"/>
    <n v="3894"/>
    <n v="9129"/>
    <n v="5"/>
    <s v="Y"/>
    <s v="No"/>
    <n v="16"/>
    <n v="3"/>
    <n v="3"/>
    <n v="80"/>
    <n v="0"/>
    <n v="4"/>
    <n v="3"/>
    <n v="3"/>
    <x v="4"/>
    <n v="2"/>
    <n v="1"/>
    <n v="2"/>
    <x v="1"/>
    <n v="1"/>
    <n v="70092"/>
    <x v="0"/>
    <n v="1"/>
    <m/>
    <m/>
  </r>
  <r>
    <n v="48"/>
    <x v="1"/>
    <s v="Travel_Rarely"/>
    <n v="163"/>
    <s v="Sales"/>
    <n v="2"/>
    <n v="5"/>
    <s v="Marketing"/>
    <n v="1"/>
    <n v="595"/>
    <n v="2"/>
    <x v="0"/>
    <n v="37"/>
    <n v="3"/>
    <x v="0"/>
    <x v="0"/>
    <x v="0"/>
    <s v="Married"/>
    <n v="4051"/>
    <n v="19658"/>
    <n v="2"/>
    <s v="Y"/>
    <s v="No"/>
    <n v="14"/>
    <n v="3"/>
    <n v="1"/>
    <n v="80"/>
    <n v="1"/>
    <n v="14"/>
    <n v="2"/>
    <n v="3"/>
    <x v="7"/>
    <n v="7"/>
    <n v="6"/>
    <n v="7"/>
    <x v="0"/>
    <n v="0"/>
    <n v="0"/>
    <x v="0"/>
    <n v="1"/>
    <m/>
    <m/>
  </r>
  <r>
    <n v="55"/>
    <x v="1"/>
    <s v="Travel_Rarely"/>
    <n v="1117"/>
    <s v="Sales"/>
    <n v="18"/>
    <n v="5"/>
    <s v="Life Sciences"/>
    <n v="1"/>
    <n v="597"/>
    <n v="1"/>
    <x v="0"/>
    <n v="83"/>
    <n v="3"/>
    <x v="3"/>
    <x v="5"/>
    <x v="1"/>
    <s v="Single"/>
    <n v="16835"/>
    <n v="9873"/>
    <n v="3"/>
    <s v="Y"/>
    <s v="No"/>
    <n v="23"/>
    <n v="4"/>
    <n v="4"/>
    <n v="80"/>
    <n v="0"/>
    <n v="37"/>
    <n v="2"/>
    <n v="3"/>
    <x v="1"/>
    <n v="9"/>
    <n v="7"/>
    <n v="7"/>
    <x v="4"/>
    <n v="0"/>
    <n v="0"/>
    <x v="3"/>
    <n v="1"/>
    <m/>
    <m/>
  </r>
  <r>
    <n v="41"/>
    <x v="1"/>
    <s v="Non-Travel"/>
    <n v="267"/>
    <s v="Sales"/>
    <n v="10"/>
    <n v="2"/>
    <s v="Life Sciences"/>
    <n v="1"/>
    <n v="599"/>
    <n v="4"/>
    <x v="1"/>
    <n v="56"/>
    <n v="3"/>
    <x v="0"/>
    <x v="0"/>
    <x v="0"/>
    <s v="Single"/>
    <n v="6230"/>
    <n v="13430"/>
    <n v="7"/>
    <s v="Y"/>
    <s v="No"/>
    <n v="14"/>
    <n v="3"/>
    <n v="4"/>
    <n v="80"/>
    <n v="0"/>
    <n v="16"/>
    <n v="3"/>
    <n v="3"/>
    <x v="13"/>
    <n v="3"/>
    <n v="1"/>
    <n v="10"/>
    <x v="0"/>
    <n v="0"/>
    <n v="0"/>
    <x v="4"/>
    <n v="1"/>
    <m/>
    <m/>
  </r>
  <r>
    <n v="35"/>
    <x v="1"/>
    <s v="Travel_Rarely"/>
    <n v="619"/>
    <s v="Sales"/>
    <n v="1"/>
    <n v="3"/>
    <s v="Marketing"/>
    <n v="1"/>
    <n v="600"/>
    <n v="2"/>
    <x v="1"/>
    <n v="85"/>
    <n v="3"/>
    <x v="0"/>
    <x v="0"/>
    <x v="2"/>
    <s v="Married"/>
    <n v="4717"/>
    <n v="18659"/>
    <n v="9"/>
    <s v="Y"/>
    <s v="No"/>
    <n v="11"/>
    <n v="3"/>
    <n v="3"/>
    <n v="80"/>
    <n v="0"/>
    <n v="15"/>
    <n v="2"/>
    <n v="3"/>
    <x v="19"/>
    <n v="9"/>
    <n v="6"/>
    <n v="9"/>
    <x v="0"/>
    <n v="0"/>
    <n v="0"/>
    <x v="0"/>
    <n v="1"/>
    <m/>
    <m/>
  </r>
  <r>
    <n v="40"/>
    <x v="1"/>
    <s v="Travel_Rarely"/>
    <n v="302"/>
    <s v="Research &amp; Development"/>
    <n v="6"/>
    <n v="3"/>
    <s v="Life Sciences"/>
    <n v="1"/>
    <n v="601"/>
    <n v="2"/>
    <x v="0"/>
    <n v="75"/>
    <n v="3"/>
    <x v="3"/>
    <x v="3"/>
    <x v="2"/>
    <s v="Single"/>
    <n v="13237"/>
    <n v="20364"/>
    <n v="7"/>
    <s v="Y"/>
    <s v="No"/>
    <n v="15"/>
    <n v="3"/>
    <n v="3"/>
    <n v="80"/>
    <n v="0"/>
    <n v="22"/>
    <n v="3"/>
    <n v="3"/>
    <x v="23"/>
    <n v="6"/>
    <n v="5"/>
    <n v="13"/>
    <x v="2"/>
    <n v="0"/>
    <n v="0"/>
    <x v="3"/>
    <n v="1"/>
    <m/>
    <m/>
  </r>
  <r>
    <n v="39"/>
    <x v="1"/>
    <s v="Travel_Frequently"/>
    <n v="443"/>
    <s v="Research &amp; Development"/>
    <n v="8"/>
    <n v="1"/>
    <s v="Life Sciences"/>
    <n v="1"/>
    <n v="602"/>
    <n v="3"/>
    <x v="0"/>
    <n v="48"/>
    <n v="3"/>
    <x v="1"/>
    <x v="2"/>
    <x v="2"/>
    <s v="Married"/>
    <n v="3755"/>
    <n v="17872"/>
    <n v="1"/>
    <s v="Y"/>
    <s v="No"/>
    <n v="11"/>
    <n v="3"/>
    <n v="1"/>
    <n v="80"/>
    <n v="1"/>
    <n v="8"/>
    <n v="3"/>
    <n v="3"/>
    <x v="3"/>
    <n v="3"/>
    <n v="0"/>
    <n v="7"/>
    <x v="1"/>
    <n v="0"/>
    <n v="0"/>
    <x v="0"/>
    <n v="1"/>
    <m/>
    <m/>
  </r>
  <r>
    <n v="31"/>
    <x v="1"/>
    <s v="Travel_Rarely"/>
    <n v="828"/>
    <s v="Sales"/>
    <n v="2"/>
    <n v="1"/>
    <s v="Life Sciences"/>
    <n v="1"/>
    <n v="604"/>
    <n v="2"/>
    <x v="1"/>
    <n v="77"/>
    <n v="3"/>
    <x v="0"/>
    <x v="0"/>
    <x v="0"/>
    <s v="Single"/>
    <n v="6582"/>
    <n v="8346"/>
    <n v="4"/>
    <s v="Y"/>
    <s v="Yes"/>
    <n v="13"/>
    <n v="3"/>
    <n v="3"/>
    <n v="80"/>
    <n v="0"/>
    <n v="10"/>
    <n v="2"/>
    <n v="4"/>
    <x v="0"/>
    <n v="5"/>
    <n v="0"/>
    <n v="5"/>
    <x v="0"/>
    <n v="0"/>
    <n v="0"/>
    <x v="4"/>
    <n v="1"/>
    <m/>
    <m/>
  </r>
  <r>
    <n v="42"/>
    <x v="1"/>
    <s v="Travel_Rarely"/>
    <n v="319"/>
    <s v="Research &amp; Development"/>
    <n v="24"/>
    <n v="3"/>
    <s v="Medical"/>
    <n v="1"/>
    <n v="605"/>
    <n v="4"/>
    <x v="1"/>
    <n v="56"/>
    <n v="3"/>
    <x v="2"/>
    <x v="3"/>
    <x v="3"/>
    <s v="Married"/>
    <n v="7406"/>
    <n v="6950"/>
    <n v="1"/>
    <s v="Y"/>
    <s v="Yes"/>
    <n v="21"/>
    <n v="4"/>
    <n v="4"/>
    <n v="80"/>
    <n v="1"/>
    <n v="10"/>
    <n v="5"/>
    <n v="2"/>
    <x v="1"/>
    <n v="9"/>
    <n v="5"/>
    <n v="8"/>
    <x v="2"/>
    <n v="0"/>
    <n v="0"/>
    <x v="4"/>
    <n v="1"/>
    <m/>
    <m/>
  </r>
  <r>
    <n v="45"/>
    <x v="1"/>
    <s v="Travel_Rarely"/>
    <n v="561"/>
    <s v="Sales"/>
    <n v="2"/>
    <n v="3"/>
    <s v="Other"/>
    <n v="1"/>
    <n v="606"/>
    <n v="4"/>
    <x v="1"/>
    <n v="61"/>
    <n v="3"/>
    <x v="0"/>
    <x v="0"/>
    <x v="1"/>
    <s v="Married"/>
    <n v="4805"/>
    <n v="16177"/>
    <n v="0"/>
    <s v="Y"/>
    <s v="No"/>
    <n v="19"/>
    <n v="3"/>
    <n v="2"/>
    <n v="80"/>
    <n v="1"/>
    <n v="9"/>
    <n v="3"/>
    <n v="4"/>
    <x v="3"/>
    <n v="7"/>
    <n v="3"/>
    <n v="7"/>
    <x v="0"/>
    <n v="0"/>
    <n v="0"/>
    <x v="0"/>
    <n v="1"/>
    <m/>
    <m/>
  </r>
  <r>
    <n v="26"/>
    <x v="0"/>
    <s v="Travel_Frequently"/>
    <n v="426"/>
    <s v="Human Resources"/>
    <n v="17"/>
    <n v="4"/>
    <s v="Life Sciences"/>
    <n v="1"/>
    <n v="608"/>
    <n v="2"/>
    <x v="0"/>
    <n v="58"/>
    <n v="3"/>
    <x v="1"/>
    <x v="8"/>
    <x v="2"/>
    <s v="Divorced"/>
    <n v="2741"/>
    <n v="22808"/>
    <n v="0"/>
    <s v="Y"/>
    <s v="Yes"/>
    <n v="11"/>
    <n v="3"/>
    <n v="2"/>
    <n v="80"/>
    <n v="1"/>
    <n v="8"/>
    <n v="2"/>
    <n v="2"/>
    <x v="5"/>
    <n v="7"/>
    <n v="1"/>
    <n v="0"/>
    <x v="5"/>
    <n v="1"/>
    <n v="49338"/>
    <x v="1"/>
    <n v="1"/>
    <m/>
    <m/>
  </r>
  <r>
    <n v="29"/>
    <x v="1"/>
    <s v="Travel_Rarely"/>
    <n v="232"/>
    <s v="Research &amp; Development"/>
    <n v="19"/>
    <n v="3"/>
    <s v="Technical Degree"/>
    <n v="1"/>
    <n v="611"/>
    <n v="4"/>
    <x v="1"/>
    <n v="34"/>
    <n v="3"/>
    <x v="0"/>
    <x v="3"/>
    <x v="0"/>
    <s v="Divorced"/>
    <n v="4262"/>
    <n v="22645"/>
    <n v="4"/>
    <s v="Y"/>
    <s v="No"/>
    <n v="12"/>
    <n v="3"/>
    <n v="2"/>
    <n v="80"/>
    <n v="2"/>
    <n v="8"/>
    <n v="2"/>
    <n v="4"/>
    <x v="11"/>
    <n v="2"/>
    <n v="1"/>
    <n v="2"/>
    <x v="2"/>
    <n v="0"/>
    <n v="0"/>
    <x v="0"/>
    <n v="1"/>
    <m/>
    <m/>
  </r>
  <r>
    <n v="33"/>
    <x v="1"/>
    <s v="Travel_Rarely"/>
    <n v="922"/>
    <s v="Research &amp; Development"/>
    <n v="1"/>
    <n v="5"/>
    <s v="Medical"/>
    <n v="1"/>
    <n v="612"/>
    <n v="1"/>
    <x v="0"/>
    <n v="95"/>
    <n v="4"/>
    <x v="3"/>
    <x v="7"/>
    <x v="2"/>
    <s v="Divorced"/>
    <n v="16184"/>
    <n v="22578"/>
    <n v="4"/>
    <s v="Y"/>
    <s v="No"/>
    <n v="19"/>
    <n v="3"/>
    <n v="3"/>
    <n v="80"/>
    <n v="1"/>
    <n v="10"/>
    <n v="2"/>
    <n v="3"/>
    <x v="0"/>
    <n v="1"/>
    <n v="0"/>
    <n v="5"/>
    <x v="1"/>
    <n v="0"/>
    <n v="0"/>
    <x v="3"/>
    <n v="1"/>
    <m/>
    <m/>
  </r>
  <r>
    <n v="31"/>
    <x v="1"/>
    <s v="Travel_Rarely"/>
    <n v="688"/>
    <s v="Sales"/>
    <n v="7"/>
    <n v="3"/>
    <s v="Life Sciences"/>
    <n v="1"/>
    <n v="613"/>
    <n v="3"/>
    <x v="1"/>
    <n v="44"/>
    <n v="2"/>
    <x v="2"/>
    <x v="5"/>
    <x v="0"/>
    <s v="Divorced"/>
    <n v="11557"/>
    <n v="25291"/>
    <n v="9"/>
    <s v="Y"/>
    <s v="No"/>
    <n v="21"/>
    <n v="4"/>
    <n v="3"/>
    <n v="80"/>
    <n v="1"/>
    <n v="10"/>
    <n v="3"/>
    <n v="2"/>
    <x v="8"/>
    <n v="4"/>
    <n v="0"/>
    <n v="1"/>
    <x v="4"/>
    <n v="0"/>
    <n v="0"/>
    <x v="2"/>
    <n v="1"/>
    <m/>
    <m/>
  </r>
  <r>
    <n v="18"/>
    <x v="0"/>
    <s v="Travel_Frequently"/>
    <n v="1306"/>
    <s v="Sales"/>
    <n v="5"/>
    <n v="3"/>
    <s v="Marketing"/>
    <n v="1"/>
    <n v="614"/>
    <n v="2"/>
    <x v="1"/>
    <n v="69"/>
    <n v="3"/>
    <x v="1"/>
    <x v="6"/>
    <x v="1"/>
    <s v="Single"/>
    <n v="1878"/>
    <n v="8059"/>
    <n v="1"/>
    <s v="Y"/>
    <s v="Yes"/>
    <n v="14"/>
    <n v="3"/>
    <n v="4"/>
    <n v="80"/>
    <n v="0"/>
    <n v="0"/>
    <n v="3"/>
    <n v="3"/>
    <x v="2"/>
    <n v="0"/>
    <n v="0"/>
    <n v="0"/>
    <x v="0"/>
    <n v="1"/>
    <n v="33804"/>
    <x v="1"/>
    <n v="1"/>
    <m/>
    <m/>
  </r>
  <r>
    <n v="40"/>
    <x v="1"/>
    <s v="Non-Travel"/>
    <n v="1094"/>
    <s v="Sales"/>
    <n v="28"/>
    <n v="3"/>
    <s v="Other"/>
    <n v="1"/>
    <n v="615"/>
    <n v="3"/>
    <x v="1"/>
    <n v="58"/>
    <n v="1"/>
    <x v="2"/>
    <x v="0"/>
    <x v="3"/>
    <s v="Divorced"/>
    <n v="10932"/>
    <n v="11373"/>
    <n v="3"/>
    <s v="Y"/>
    <s v="No"/>
    <n v="15"/>
    <n v="3"/>
    <n v="3"/>
    <n v="80"/>
    <n v="1"/>
    <n v="20"/>
    <n v="2"/>
    <n v="3"/>
    <x v="6"/>
    <n v="0"/>
    <n v="0"/>
    <n v="1"/>
    <x v="0"/>
    <n v="0"/>
    <n v="0"/>
    <x v="2"/>
    <n v="1"/>
    <m/>
    <m/>
  </r>
  <r>
    <n v="41"/>
    <x v="1"/>
    <s v="Non-Travel"/>
    <n v="509"/>
    <s v="Research &amp; Development"/>
    <n v="2"/>
    <n v="4"/>
    <s v="Other"/>
    <n v="1"/>
    <n v="616"/>
    <n v="1"/>
    <x v="0"/>
    <n v="62"/>
    <n v="2"/>
    <x v="0"/>
    <x v="4"/>
    <x v="2"/>
    <s v="Single"/>
    <n v="6811"/>
    <n v="2112"/>
    <n v="2"/>
    <s v="Y"/>
    <s v="Yes"/>
    <n v="17"/>
    <n v="3"/>
    <n v="1"/>
    <n v="80"/>
    <n v="0"/>
    <n v="10"/>
    <n v="3"/>
    <n v="3"/>
    <x v="3"/>
    <n v="7"/>
    <n v="0"/>
    <n v="7"/>
    <x v="3"/>
    <n v="0"/>
    <n v="0"/>
    <x v="4"/>
    <n v="1"/>
    <m/>
    <m/>
  </r>
  <r>
    <n v="26"/>
    <x v="1"/>
    <s v="Travel_Rarely"/>
    <n v="775"/>
    <s v="Sales"/>
    <n v="29"/>
    <n v="2"/>
    <s v="Medical"/>
    <n v="1"/>
    <n v="618"/>
    <n v="1"/>
    <x v="1"/>
    <n v="45"/>
    <n v="3"/>
    <x v="0"/>
    <x v="0"/>
    <x v="2"/>
    <s v="Divorced"/>
    <n v="4306"/>
    <n v="4267"/>
    <n v="5"/>
    <s v="Y"/>
    <s v="No"/>
    <n v="12"/>
    <n v="3"/>
    <n v="1"/>
    <n v="80"/>
    <n v="2"/>
    <n v="8"/>
    <n v="5"/>
    <n v="3"/>
    <x v="2"/>
    <n v="0"/>
    <n v="0"/>
    <n v="0"/>
    <x v="0"/>
    <n v="0"/>
    <n v="0"/>
    <x v="0"/>
    <n v="1"/>
    <m/>
    <m/>
  </r>
  <r>
    <n v="35"/>
    <x v="1"/>
    <s v="Travel_Rarely"/>
    <n v="195"/>
    <s v="Sales"/>
    <n v="1"/>
    <n v="3"/>
    <s v="Medical"/>
    <n v="1"/>
    <n v="620"/>
    <n v="1"/>
    <x v="0"/>
    <n v="80"/>
    <n v="3"/>
    <x v="0"/>
    <x v="0"/>
    <x v="2"/>
    <s v="Single"/>
    <n v="4859"/>
    <n v="6698"/>
    <n v="1"/>
    <s v="Y"/>
    <s v="No"/>
    <n v="16"/>
    <n v="3"/>
    <n v="4"/>
    <n v="80"/>
    <n v="0"/>
    <n v="5"/>
    <n v="3"/>
    <n v="3"/>
    <x v="8"/>
    <n v="4"/>
    <n v="0"/>
    <n v="3"/>
    <x v="0"/>
    <n v="0"/>
    <n v="0"/>
    <x v="0"/>
    <n v="1"/>
    <m/>
    <m/>
  </r>
  <r>
    <n v="34"/>
    <x v="1"/>
    <s v="Travel_Rarely"/>
    <n v="258"/>
    <s v="Sales"/>
    <n v="21"/>
    <n v="4"/>
    <s v="Life Sciences"/>
    <n v="1"/>
    <n v="621"/>
    <n v="4"/>
    <x v="1"/>
    <n v="74"/>
    <n v="4"/>
    <x v="0"/>
    <x v="0"/>
    <x v="0"/>
    <s v="Single"/>
    <n v="5337"/>
    <n v="19921"/>
    <n v="1"/>
    <s v="Y"/>
    <s v="No"/>
    <n v="12"/>
    <n v="3"/>
    <n v="4"/>
    <n v="80"/>
    <n v="0"/>
    <n v="10"/>
    <n v="3"/>
    <n v="3"/>
    <x v="1"/>
    <n v="7"/>
    <n v="5"/>
    <n v="7"/>
    <x v="0"/>
    <n v="0"/>
    <n v="0"/>
    <x v="0"/>
    <n v="1"/>
    <m/>
    <m/>
  </r>
  <r>
    <n v="26"/>
    <x v="0"/>
    <s v="Travel_Rarely"/>
    <n v="471"/>
    <s v="Research &amp; Development"/>
    <n v="24"/>
    <n v="3"/>
    <s v="Technical Degree"/>
    <n v="1"/>
    <n v="622"/>
    <n v="3"/>
    <x v="1"/>
    <n v="66"/>
    <n v="1"/>
    <x v="1"/>
    <x v="2"/>
    <x v="0"/>
    <s v="Single"/>
    <n v="2340"/>
    <n v="23213"/>
    <n v="1"/>
    <s v="Y"/>
    <s v="Yes"/>
    <n v="18"/>
    <n v="3"/>
    <n v="2"/>
    <n v="80"/>
    <n v="0"/>
    <n v="1"/>
    <n v="3"/>
    <n v="1"/>
    <x v="6"/>
    <n v="0"/>
    <n v="0"/>
    <n v="0"/>
    <x v="1"/>
    <n v="1"/>
    <n v="42120"/>
    <x v="1"/>
    <n v="1"/>
    <m/>
    <m/>
  </r>
  <r>
    <n v="37"/>
    <x v="1"/>
    <s v="Travel_Rarely"/>
    <n v="799"/>
    <s v="Research &amp; Development"/>
    <n v="1"/>
    <n v="3"/>
    <s v="Technical Degree"/>
    <n v="1"/>
    <n v="623"/>
    <n v="2"/>
    <x v="0"/>
    <n v="59"/>
    <n v="3"/>
    <x v="2"/>
    <x v="3"/>
    <x v="0"/>
    <s v="Single"/>
    <n v="7491"/>
    <n v="23848"/>
    <n v="4"/>
    <s v="Y"/>
    <s v="No"/>
    <n v="17"/>
    <n v="3"/>
    <n v="4"/>
    <n v="80"/>
    <n v="0"/>
    <n v="12"/>
    <n v="3"/>
    <n v="4"/>
    <x v="0"/>
    <n v="5"/>
    <n v="1"/>
    <n v="2"/>
    <x v="2"/>
    <n v="0"/>
    <n v="0"/>
    <x v="4"/>
    <n v="1"/>
    <m/>
    <m/>
  </r>
  <r>
    <n v="46"/>
    <x v="1"/>
    <s v="Travel_Frequently"/>
    <n v="1034"/>
    <s v="Research &amp; Development"/>
    <n v="18"/>
    <n v="1"/>
    <s v="Medical"/>
    <n v="1"/>
    <n v="624"/>
    <n v="1"/>
    <x v="0"/>
    <n v="86"/>
    <n v="3"/>
    <x v="2"/>
    <x v="4"/>
    <x v="2"/>
    <s v="Married"/>
    <n v="10527"/>
    <n v="8984"/>
    <n v="5"/>
    <s v="Y"/>
    <s v="No"/>
    <n v="11"/>
    <n v="3"/>
    <n v="4"/>
    <n v="80"/>
    <n v="0"/>
    <n v="28"/>
    <n v="3"/>
    <n v="2"/>
    <x v="4"/>
    <n v="2"/>
    <n v="1"/>
    <n v="2"/>
    <x v="3"/>
    <n v="0"/>
    <n v="0"/>
    <x v="2"/>
    <n v="1"/>
    <m/>
    <m/>
  </r>
  <r>
    <n v="41"/>
    <x v="1"/>
    <s v="Travel_Rarely"/>
    <n v="1276"/>
    <s v="Sales"/>
    <n v="2"/>
    <n v="5"/>
    <s v="Life Sciences"/>
    <n v="1"/>
    <n v="625"/>
    <n v="2"/>
    <x v="0"/>
    <n v="91"/>
    <n v="3"/>
    <x v="3"/>
    <x v="5"/>
    <x v="3"/>
    <s v="Married"/>
    <n v="16595"/>
    <n v="5626"/>
    <n v="7"/>
    <s v="Y"/>
    <s v="No"/>
    <n v="16"/>
    <n v="3"/>
    <n v="2"/>
    <n v="80"/>
    <n v="1"/>
    <n v="22"/>
    <n v="2"/>
    <n v="3"/>
    <x v="29"/>
    <n v="16"/>
    <n v="11"/>
    <n v="8"/>
    <x v="4"/>
    <n v="0"/>
    <n v="0"/>
    <x v="3"/>
    <n v="1"/>
    <m/>
    <m/>
  </r>
  <r>
    <n v="37"/>
    <x v="1"/>
    <s v="Non-Travel"/>
    <n v="142"/>
    <s v="Sales"/>
    <n v="9"/>
    <n v="4"/>
    <s v="Medical"/>
    <n v="1"/>
    <n v="626"/>
    <n v="1"/>
    <x v="1"/>
    <n v="69"/>
    <n v="3"/>
    <x v="2"/>
    <x v="0"/>
    <x v="1"/>
    <s v="Divorced"/>
    <n v="8834"/>
    <n v="24666"/>
    <n v="1"/>
    <s v="Y"/>
    <s v="No"/>
    <n v="13"/>
    <n v="3"/>
    <n v="4"/>
    <n v="80"/>
    <n v="1"/>
    <n v="9"/>
    <n v="6"/>
    <n v="3"/>
    <x v="7"/>
    <n v="5"/>
    <n v="7"/>
    <n v="7"/>
    <x v="0"/>
    <n v="0"/>
    <n v="0"/>
    <x v="4"/>
    <n v="1"/>
    <m/>
    <m/>
  </r>
  <r>
    <n v="52"/>
    <x v="1"/>
    <s v="Travel_Rarely"/>
    <n v="956"/>
    <s v="Research &amp; Development"/>
    <n v="6"/>
    <n v="2"/>
    <s v="Technical Degree"/>
    <n v="1"/>
    <n v="630"/>
    <n v="4"/>
    <x v="1"/>
    <n v="78"/>
    <n v="3"/>
    <x v="0"/>
    <x v="1"/>
    <x v="3"/>
    <s v="Divorced"/>
    <n v="5577"/>
    <n v="22087"/>
    <n v="3"/>
    <s v="Y"/>
    <s v="Yes"/>
    <n v="12"/>
    <n v="3"/>
    <n v="2"/>
    <n v="80"/>
    <n v="2"/>
    <n v="18"/>
    <n v="3"/>
    <n v="3"/>
    <x v="1"/>
    <n v="9"/>
    <n v="6"/>
    <n v="9"/>
    <x v="1"/>
    <n v="0"/>
    <n v="0"/>
    <x v="0"/>
    <n v="1"/>
    <m/>
    <m/>
  </r>
  <r>
    <n v="32"/>
    <x v="0"/>
    <s v="Non-Travel"/>
    <n v="1474"/>
    <s v="Sales"/>
    <n v="11"/>
    <n v="4"/>
    <s v="Other"/>
    <n v="1"/>
    <n v="631"/>
    <n v="4"/>
    <x v="1"/>
    <n v="60"/>
    <n v="4"/>
    <x v="0"/>
    <x v="0"/>
    <x v="2"/>
    <s v="Married"/>
    <n v="4707"/>
    <n v="23914"/>
    <n v="8"/>
    <s v="Y"/>
    <s v="No"/>
    <n v="12"/>
    <n v="3"/>
    <n v="4"/>
    <n v="80"/>
    <n v="0"/>
    <n v="6"/>
    <n v="2"/>
    <n v="3"/>
    <x v="9"/>
    <n v="2"/>
    <n v="1"/>
    <n v="2"/>
    <x v="0"/>
    <n v="1"/>
    <n v="84726"/>
    <x v="0"/>
    <n v="1"/>
    <m/>
    <m/>
  </r>
  <r>
    <n v="24"/>
    <x v="1"/>
    <s v="Travel_Frequently"/>
    <n v="535"/>
    <s v="Sales"/>
    <n v="24"/>
    <n v="3"/>
    <s v="Medical"/>
    <n v="1"/>
    <n v="632"/>
    <n v="4"/>
    <x v="1"/>
    <n v="38"/>
    <n v="3"/>
    <x v="1"/>
    <x v="6"/>
    <x v="0"/>
    <s v="Married"/>
    <n v="2400"/>
    <n v="5530"/>
    <n v="0"/>
    <s v="Y"/>
    <s v="No"/>
    <n v="13"/>
    <n v="3"/>
    <n v="3"/>
    <n v="80"/>
    <n v="2"/>
    <n v="3"/>
    <n v="3"/>
    <n v="3"/>
    <x v="4"/>
    <n v="2"/>
    <n v="2"/>
    <n v="1"/>
    <x v="0"/>
    <n v="0"/>
    <n v="0"/>
    <x v="1"/>
    <n v="1"/>
    <m/>
    <m/>
  </r>
  <r>
    <n v="38"/>
    <x v="1"/>
    <s v="Travel_Rarely"/>
    <n v="1495"/>
    <s v="Research &amp; Development"/>
    <n v="10"/>
    <n v="3"/>
    <s v="Medical"/>
    <n v="1"/>
    <n v="634"/>
    <n v="3"/>
    <x v="0"/>
    <n v="76"/>
    <n v="3"/>
    <x v="0"/>
    <x v="4"/>
    <x v="2"/>
    <s v="Married"/>
    <n v="9824"/>
    <n v="22174"/>
    <n v="3"/>
    <s v="Y"/>
    <s v="No"/>
    <n v="19"/>
    <n v="3"/>
    <n v="3"/>
    <n v="80"/>
    <n v="1"/>
    <n v="18"/>
    <n v="4"/>
    <n v="3"/>
    <x v="6"/>
    <n v="0"/>
    <n v="0"/>
    <n v="0"/>
    <x v="3"/>
    <n v="0"/>
    <n v="0"/>
    <x v="2"/>
    <n v="1"/>
    <m/>
    <m/>
  </r>
  <r>
    <n v="37"/>
    <x v="1"/>
    <s v="Travel_Rarely"/>
    <n v="446"/>
    <s v="Research &amp; Development"/>
    <n v="1"/>
    <n v="4"/>
    <s v="Life Sciences"/>
    <n v="1"/>
    <n v="635"/>
    <n v="2"/>
    <x v="0"/>
    <n v="65"/>
    <n v="3"/>
    <x v="0"/>
    <x v="3"/>
    <x v="1"/>
    <s v="Married"/>
    <n v="6447"/>
    <n v="15701"/>
    <n v="6"/>
    <s v="Y"/>
    <s v="No"/>
    <n v="12"/>
    <n v="3"/>
    <n v="2"/>
    <n v="80"/>
    <n v="1"/>
    <n v="8"/>
    <n v="2"/>
    <n v="2"/>
    <x v="0"/>
    <n v="5"/>
    <n v="4"/>
    <n v="3"/>
    <x v="2"/>
    <n v="0"/>
    <n v="0"/>
    <x v="4"/>
    <n v="1"/>
    <m/>
    <m/>
  </r>
  <r>
    <n v="49"/>
    <x v="1"/>
    <s v="Travel_Rarely"/>
    <n v="1245"/>
    <s v="Research &amp; Development"/>
    <n v="18"/>
    <n v="4"/>
    <s v="Life Sciences"/>
    <n v="1"/>
    <n v="638"/>
    <n v="4"/>
    <x v="1"/>
    <n v="58"/>
    <n v="2"/>
    <x v="4"/>
    <x v="7"/>
    <x v="2"/>
    <s v="Divorced"/>
    <n v="19502"/>
    <n v="2125"/>
    <n v="1"/>
    <s v="Y"/>
    <s v="Yes"/>
    <n v="17"/>
    <n v="3"/>
    <n v="3"/>
    <n v="80"/>
    <n v="1"/>
    <n v="31"/>
    <n v="5"/>
    <n v="3"/>
    <x v="31"/>
    <n v="9"/>
    <n v="0"/>
    <n v="9"/>
    <x v="1"/>
    <n v="0"/>
    <n v="0"/>
    <x v="3"/>
    <n v="1"/>
    <m/>
    <m/>
  </r>
  <r>
    <n v="24"/>
    <x v="1"/>
    <s v="Travel_Rarely"/>
    <n v="691"/>
    <s v="Research &amp; Development"/>
    <n v="23"/>
    <n v="3"/>
    <s v="Medical"/>
    <n v="1"/>
    <n v="639"/>
    <n v="2"/>
    <x v="1"/>
    <n v="89"/>
    <n v="4"/>
    <x v="1"/>
    <x v="1"/>
    <x v="0"/>
    <s v="Married"/>
    <n v="2725"/>
    <n v="21630"/>
    <n v="1"/>
    <s v="Y"/>
    <s v="Yes"/>
    <n v="11"/>
    <n v="3"/>
    <n v="2"/>
    <n v="80"/>
    <n v="2"/>
    <n v="6"/>
    <n v="3"/>
    <n v="3"/>
    <x v="0"/>
    <n v="5"/>
    <n v="1"/>
    <n v="4"/>
    <x v="1"/>
    <n v="0"/>
    <n v="0"/>
    <x v="1"/>
    <n v="1"/>
    <m/>
    <m/>
  </r>
  <r>
    <n v="26"/>
    <x v="1"/>
    <s v="Travel_Rarely"/>
    <n v="703"/>
    <s v="Sales"/>
    <n v="28"/>
    <n v="2"/>
    <s v="Marketing"/>
    <n v="1"/>
    <n v="641"/>
    <n v="1"/>
    <x v="1"/>
    <n v="66"/>
    <n v="3"/>
    <x v="0"/>
    <x v="0"/>
    <x v="1"/>
    <s v="Married"/>
    <n v="6272"/>
    <n v="7428"/>
    <n v="1"/>
    <s v="Y"/>
    <s v="No"/>
    <n v="20"/>
    <n v="4"/>
    <n v="4"/>
    <n v="80"/>
    <n v="2"/>
    <n v="6"/>
    <n v="5"/>
    <n v="4"/>
    <x v="8"/>
    <n v="3"/>
    <n v="1"/>
    <n v="4"/>
    <x v="0"/>
    <n v="0"/>
    <n v="0"/>
    <x v="4"/>
    <n v="1"/>
    <m/>
    <m/>
  </r>
  <r>
    <n v="24"/>
    <x v="1"/>
    <s v="Travel_Rarely"/>
    <n v="823"/>
    <s v="Research &amp; Development"/>
    <n v="17"/>
    <n v="2"/>
    <s v="Other"/>
    <n v="1"/>
    <n v="643"/>
    <n v="4"/>
    <x v="1"/>
    <n v="94"/>
    <n v="2"/>
    <x v="1"/>
    <x v="2"/>
    <x v="1"/>
    <s v="Married"/>
    <n v="2127"/>
    <n v="9100"/>
    <n v="1"/>
    <s v="Y"/>
    <s v="No"/>
    <n v="21"/>
    <n v="4"/>
    <n v="4"/>
    <n v="80"/>
    <n v="1"/>
    <n v="1"/>
    <n v="2"/>
    <n v="3"/>
    <x v="6"/>
    <n v="0"/>
    <n v="0"/>
    <n v="0"/>
    <x v="1"/>
    <n v="0"/>
    <n v="0"/>
    <x v="1"/>
    <n v="1"/>
    <m/>
    <m/>
  </r>
  <r>
    <n v="50"/>
    <x v="1"/>
    <s v="Travel_Frequently"/>
    <n v="1246"/>
    <s v="Human Resources"/>
    <n v="3"/>
    <n v="3"/>
    <s v="Medical"/>
    <n v="1"/>
    <n v="644"/>
    <n v="1"/>
    <x v="1"/>
    <n v="99"/>
    <n v="3"/>
    <x v="4"/>
    <x v="5"/>
    <x v="1"/>
    <s v="Married"/>
    <n v="18200"/>
    <n v="7999"/>
    <n v="1"/>
    <s v="Y"/>
    <s v="No"/>
    <n v="11"/>
    <n v="3"/>
    <n v="3"/>
    <n v="80"/>
    <n v="1"/>
    <n v="32"/>
    <n v="2"/>
    <n v="3"/>
    <x v="32"/>
    <n v="5"/>
    <n v="10"/>
    <n v="7"/>
    <x v="4"/>
    <n v="0"/>
    <n v="0"/>
    <x v="3"/>
    <n v="1"/>
    <m/>
    <m/>
  </r>
  <r>
    <n v="25"/>
    <x v="1"/>
    <s v="Travel_Rarely"/>
    <n v="622"/>
    <s v="Sales"/>
    <n v="13"/>
    <n v="1"/>
    <s v="Medical"/>
    <n v="1"/>
    <n v="645"/>
    <n v="2"/>
    <x v="1"/>
    <n v="40"/>
    <n v="3"/>
    <x v="1"/>
    <x v="6"/>
    <x v="2"/>
    <s v="Married"/>
    <n v="2096"/>
    <n v="26376"/>
    <n v="1"/>
    <s v="Y"/>
    <s v="No"/>
    <n v="11"/>
    <n v="3"/>
    <n v="3"/>
    <n v="80"/>
    <n v="0"/>
    <n v="7"/>
    <n v="1"/>
    <n v="3"/>
    <x v="5"/>
    <n v="4"/>
    <n v="0"/>
    <n v="6"/>
    <x v="0"/>
    <n v="0"/>
    <n v="0"/>
    <x v="1"/>
    <n v="1"/>
    <m/>
    <m/>
  </r>
  <r>
    <n v="24"/>
    <x v="0"/>
    <s v="Travel_Frequently"/>
    <n v="1287"/>
    <s v="Research &amp; Development"/>
    <n v="7"/>
    <n v="3"/>
    <s v="Life Sciences"/>
    <n v="1"/>
    <n v="647"/>
    <n v="1"/>
    <x v="0"/>
    <n v="55"/>
    <n v="3"/>
    <x v="1"/>
    <x v="2"/>
    <x v="2"/>
    <s v="Married"/>
    <n v="2886"/>
    <n v="14168"/>
    <n v="1"/>
    <s v="Y"/>
    <s v="Yes"/>
    <n v="16"/>
    <n v="3"/>
    <n v="4"/>
    <n v="80"/>
    <n v="1"/>
    <n v="6"/>
    <n v="4"/>
    <n v="3"/>
    <x v="0"/>
    <n v="3"/>
    <n v="1"/>
    <n v="2"/>
    <x v="1"/>
    <n v="1"/>
    <n v="51948"/>
    <x v="1"/>
    <n v="1"/>
    <m/>
    <m/>
  </r>
  <r>
    <n v="30"/>
    <x v="0"/>
    <s v="Travel_Frequently"/>
    <n v="448"/>
    <s v="Sales"/>
    <n v="12"/>
    <n v="4"/>
    <s v="Life Sciences"/>
    <n v="1"/>
    <n v="648"/>
    <n v="2"/>
    <x v="1"/>
    <n v="74"/>
    <n v="2"/>
    <x v="1"/>
    <x v="6"/>
    <x v="3"/>
    <s v="Married"/>
    <n v="2033"/>
    <n v="14470"/>
    <n v="1"/>
    <s v="Y"/>
    <s v="No"/>
    <n v="18"/>
    <n v="3"/>
    <n v="3"/>
    <n v="80"/>
    <n v="1"/>
    <n v="1"/>
    <n v="2"/>
    <n v="4"/>
    <x v="6"/>
    <n v="0"/>
    <n v="0"/>
    <n v="0"/>
    <x v="0"/>
    <n v="1"/>
    <n v="36594"/>
    <x v="1"/>
    <n v="1"/>
    <m/>
    <m/>
  </r>
  <r>
    <n v="34"/>
    <x v="1"/>
    <s v="Travel_Rarely"/>
    <n v="254"/>
    <s v="Research &amp; Development"/>
    <n v="1"/>
    <n v="2"/>
    <s v="Life Sciences"/>
    <n v="1"/>
    <n v="649"/>
    <n v="2"/>
    <x v="1"/>
    <n v="83"/>
    <n v="2"/>
    <x v="1"/>
    <x v="1"/>
    <x v="0"/>
    <s v="Married"/>
    <n v="3622"/>
    <n v="22794"/>
    <n v="1"/>
    <s v="Y"/>
    <s v="Yes"/>
    <n v="13"/>
    <n v="3"/>
    <n v="4"/>
    <n v="80"/>
    <n v="1"/>
    <n v="6"/>
    <n v="3"/>
    <n v="3"/>
    <x v="0"/>
    <n v="5"/>
    <n v="1"/>
    <n v="3"/>
    <x v="1"/>
    <n v="0"/>
    <n v="0"/>
    <x v="0"/>
    <n v="1"/>
    <m/>
    <m/>
  </r>
  <r>
    <n v="31"/>
    <x v="0"/>
    <s v="Travel_Rarely"/>
    <n v="1365"/>
    <s v="Sales"/>
    <n v="13"/>
    <n v="4"/>
    <s v="Medical"/>
    <n v="1"/>
    <n v="650"/>
    <n v="2"/>
    <x v="1"/>
    <n v="46"/>
    <n v="3"/>
    <x v="0"/>
    <x v="0"/>
    <x v="3"/>
    <s v="Divorced"/>
    <n v="4233"/>
    <n v="11512"/>
    <n v="2"/>
    <s v="Y"/>
    <s v="No"/>
    <n v="17"/>
    <n v="3"/>
    <n v="3"/>
    <n v="80"/>
    <n v="0"/>
    <n v="9"/>
    <n v="2"/>
    <n v="1"/>
    <x v="11"/>
    <n v="1"/>
    <n v="1"/>
    <n v="2"/>
    <x v="0"/>
    <n v="1"/>
    <n v="76194"/>
    <x v="0"/>
    <n v="1"/>
    <m/>
    <m/>
  </r>
  <r>
    <n v="35"/>
    <x v="1"/>
    <s v="Travel_Rarely"/>
    <n v="538"/>
    <s v="Research &amp; Development"/>
    <n v="25"/>
    <n v="2"/>
    <s v="Other"/>
    <n v="1"/>
    <n v="652"/>
    <n v="1"/>
    <x v="1"/>
    <n v="54"/>
    <n v="2"/>
    <x v="0"/>
    <x v="2"/>
    <x v="0"/>
    <s v="Single"/>
    <n v="3681"/>
    <n v="14004"/>
    <n v="4"/>
    <s v="Y"/>
    <s v="No"/>
    <n v="14"/>
    <n v="3"/>
    <n v="4"/>
    <n v="80"/>
    <n v="0"/>
    <n v="9"/>
    <n v="3"/>
    <n v="3"/>
    <x v="11"/>
    <n v="2"/>
    <n v="0"/>
    <n v="2"/>
    <x v="1"/>
    <n v="0"/>
    <n v="0"/>
    <x v="0"/>
    <n v="1"/>
    <m/>
    <m/>
  </r>
  <r>
    <n v="31"/>
    <x v="1"/>
    <s v="Travel_Rarely"/>
    <n v="525"/>
    <s v="Sales"/>
    <n v="6"/>
    <n v="4"/>
    <s v="Medical"/>
    <n v="1"/>
    <n v="653"/>
    <n v="1"/>
    <x v="1"/>
    <n v="66"/>
    <n v="4"/>
    <x v="0"/>
    <x v="0"/>
    <x v="0"/>
    <s v="Divorced"/>
    <n v="5460"/>
    <n v="6219"/>
    <n v="4"/>
    <s v="Y"/>
    <s v="No"/>
    <n v="22"/>
    <n v="4"/>
    <n v="4"/>
    <n v="80"/>
    <n v="2"/>
    <n v="13"/>
    <n v="4"/>
    <n v="4"/>
    <x v="5"/>
    <n v="7"/>
    <n v="5"/>
    <n v="7"/>
    <x v="0"/>
    <n v="0"/>
    <n v="0"/>
    <x v="0"/>
    <n v="1"/>
    <m/>
    <m/>
  </r>
  <r>
    <n v="27"/>
    <x v="1"/>
    <s v="Travel_Rarely"/>
    <n v="798"/>
    <s v="Research &amp; Development"/>
    <n v="6"/>
    <n v="4"/>
    <s v="Medical"/>
    <n v="1"/>
    <n v="655"/>
    <n v="1"/>
    <x v="0"/>
    <n v="66"/>
    <n v="2"/>
    <x v="1"/>
    <x v="1"/>
    <x v="2"/>
    <s v="Divorced"/>
    <n v="2187"/>
    <n v="5013"/>
    <n v="0"/>
    <s v="Y"/>
    <s v="No"/>
    <n v="12"/>
    <n v="3"/>
    <n v="3"/>
    <n v="80"/>
    <n v="2"/>
    <n v="6"/>
    <n v="5"/>
    <n v="2"/>
    <x v="8"/>
    <n v="3"/>
    <n v="0"/>
    <n v="3"/>
    <x v="1"/>
    <n v="0"/>
    <n v="0"/>
    <x v="1"/>
    <n v="1"/>
    <m/>
    <m/>
  </r>
  <r>
    <n v="37"/>
    <x v="1"/>
    <s v="Travel_Rarely"/>
    <n v="558"/>
    <s v="Sales"/>
    <n v="2"/>
    <n v="3"/>
    <s v="Marketing"/>
    <n v="1"/>
    <n v="656"/>
    <n v="4"/>
    <x v="1"/>
    <n v="75"/>
    <n v="3"/>
    <x v="0"/>
    <x v="0"/>
    <x v="2"/>
    <s v="Married"/>
    <n v="9602"/>
    <n v="3010"/>
    <n v="4"/>
    <s v="Y"/>
    <s v="Yes"/>
    <n v="11"/>
    <n v="3"/>
    <n v="3"/>
    <n v="80"/>
    <n v="1"/>
    <n v="17"/>
    <n v="3"/>
    <n v="2"/>
    <x v="11"/>
    <n v="0"/>
    <n v="1"/>
    <n v="0"/>
    <x v="0"/>
    <n v="0"/>
    <n v="0"/>
    <x v="2"/>
    <n v="1"/>
    <m/>
    <m/>
  </r>
  <r>
    <n v="20"/>
    <x v="1"/>
    <s v="Travel_Rarely"/>
    <n v="959"/>
    <s v="Research &amp; Development"/>
    <n v="1"/>
    <n v="3"/>
    <s v="Life Sciences"/>
    <n v="1"/>
    <n v="657"/>
    <n v="4"/>
    <x v="0"/>
    <n v="83"/>
    <n v="2"/>
    <x v="1"/>
    <x v="1"/>
    <x v="1"/>
    <s v="Single"/>
    <n v="2836"/>
    <n v="11757"/>
    <n v="1"/>
    <s v="Y"/>
    <s v="No"/>
    <n v="13"/>
    <n v="3"/>
    <n v="4"/>
    <n v="80"/>
    <n v="0"/>
    <n v="1"/>
    <n v="0"/>
    <n v="4"/>
    <x v="6"/>
    <n v="0"/>
    <n v="0"/>
    <n v="0"/>
    <x v="1"/>
    <n v="0"/>
    <n v="0"/>
    <x v="1"/>
    <n v="1"/>
    <m/>
    <m/>
  </r>
  <r>
    <n v="42"/>
    <x v="1"/>
    <s v="Travel_Rarely"/>
    <n v="622"/>
    <s v="Research &amp; Development"/>
    <n v="2"/>
    <n v="4"/>
    <s v="Life Sciences"/>
    <n v="1"/>
    <n v="659"/>
    <n v="3"/>
    <x v="0"/>
    <n v="81"/>
    <n v="3"/>
    <x v="0"/>
    <x v="4"/>
    <x v="0"/>
    <s v="Married"/>
    <n v="4089"/>
    <n v="5718"/>
    <n v="1"/>
    <s v="Y"/>
    <s v="No"/>
    <n v="13"/>
    <n v="3"/>
    <n v="2"/>
    <n v="80"/>
    <n v="2"/>
    <n v="10"/>
    <n v="4"/>
    <n v="3"/>
    <x v="1"/>
    <n v="2"/>
    <n v="2"/>
    <n v="2"/>
    <x v="3"/>
    <n v="0"/>
    <n v="0"/>
    <x v="0"/>
    <n v="1"/>
    <m/>
    <m/>
  </r>
  <r>
    <n v="43"/>
    <x v="1"/>
    <s v="Travel_Rarely"/>
    <n v="782"/>
    <s v="Research &amp; Development"/>
    <n v="6"/>
    <n v="4"/>
    <s v="Other"/>
    <n v="1"/>
    <n v="661"/>
    <n v="2"/>
    <x v="1"/>
    <n v="50"/>
    <n v="2"/>
    <x v="3"/>
    <x v="7"/>
    <x v="0"/>
    <s v="Divorced"/>
    <n v="16627"/>
    <n v="2671"/>
    <n v="4"/>
    <s v="Y"/>
    <s v="Yes"/>
    <n v="14"/>
    <n v="3"/>
    <n v="3"/>
    <n v="80"/>
    <n v="1"/>
    <n v="21"/>
    <n v="3"/>
    <n v="2"/>
    <x v="6"/>
    <n v="0"/>
    <n v="0"/>
    <n v="0"/>
    <x v="1"/>
    <n v="0"/>
    <n v="0"/>
    <x v="3"/>
    <n v="1"/>
    <m/>
    <m/>
  </r>
  <r>
    <n v="38"/>
    <x v="1"/>
    <s v="Travel_Rarely"/>
    <n v="362"/>
    <s v="Research &amp; Development"/>
    <n v="1"/>
    <n v="1"/>
    <s v="Life Sciences"/>
    <n v="1"/>
    <n v="662"/>
    <n v="3"/>
    <x v="0"/>
    <n v="43"/>
    <n v="3"/>
    <x v="1"/>
    <x v="1"/>
    <x v="3"/>
    <s v="Single"/>
    <n v="2619"/>
    <n v="14561"/>
    <n v="3"/>
    <s v="Y"/>
    <s v="No"/>
    <n v="17"/>
    <n v="3"/>
    <n v="4"/>
    <n v="80"/>
    <n v="0"/>
    <n v="8"/>
    <n v="3"/>
    <n v="2"/>
    <x v="2"/>
    <n v="0"/>
    <n v="0"/>
    <n v="0"/>
    <x v="1"/>
    <n v="0"/>
    <n v="0"/>
    <x v="1"/>
    <n v="1"/>
    <m/>
    <m/>
  </r>
  <r>
    <n v="43"/>
    <x v="1"/>
    <s v="Travel_Frequently"/>
    <n v="1001"/>
    <s v="Research &amp; Development"/>
    <n v="9"/>
    <n v="5"/>
    <s v="Medical"/>
    <n v="1"/>
    <n v="663"/>
    <n v="4"/>
    <x v="1"/>
    <n v="72"/>
    <n v="3"/>
    <x v="0"/>
    <x v="2"/>
    <x v="2"/>
    <s v="Divorced"/>
    <n v="5679"/>
    <n v="19627"/>
    <n v="3"/>
    <s v="Y"/>
    <s v="Yes"/>
    <n v="13"/>
    <n v="3"/>
    <n v="2"/>
    <n v="80"/>
    <n v="1"/>
    <n v="10"/>
    <n v="3"/>
    <n v="3"/>
    <x v="3"/>
    <n v="7"/>
    <n v="4"/>
    <n v="7"/>
    <x v="1"/>
    <n v="0"/>
    <n v="0"/>
    <x v="0"/>
    <n v="1"/>
    <m/>
    <m/>
  </r>
  <r>
    <n v="48"/>
    <x v="1"/>
    <s v="Travel_Rarely"/>
    <n v="1236"/>
    <s v="Research &amp; Development"/>
    <n v="1"/>
    <n v="4"/>
    <s v="Life Sciences"/>
    <n v="1"/>
    <n v="664"/>
    <n v="4"/>
    <x v="0"/>
    <n v="40"/>
    <n v="2"/>
    <x v="3"/>
    <x v="5"/>
    <x v="3"/>
    <s v="Married"/>
    <n v="15402"/>
    <n v="17997"/>
    <n v="7"/>
    <s v="Y"/>
    <s v="No"/>
    <n v="11"/>
    <n v="3"/>
    <n v="1"/>
    <n v="80"/>
    <n v="1"/>
    <n v="21"/>
    <n v="3"/>
    <n v="1"/>
    <x v="11"/>
    <n v="2"/>
    <n v="0"/>
    <n v="2"/>
    <x v="4"/>
    <n v="0"/>
    <n v="0"/>
    <x v="3"/>
    <n v="1"/>
    <m/>
    <m/>
  </r>
  <r>
    <n v="44"/>
    <x v="1"/>
    <s v="Travel_Rarely"/>
    <n v="1112"/>
    <s v="Human Resources"/>
    <n v="1"/>
    <n v="4"/>
    <s v="Life Sciences"/>
    <n v="1"/>
    <n v="665"/>
    <n v="1"/>
    <x v="0"/>
    <n v="50"/>
    <n v="2"/>
    <x v="0"/>
    <x v="8"/>
    <x v="2"/>
    <s v="Single"/>
    <n v="5985"/>
    <n v="26894"/>
    <n v="4"/>
    <s v="Y"/>
    <s v="No"/>
    <n v="11"/>
    <n v="3"/>
    <n v="2"/>
    <n v="80"/>
    <n v="0"/>
    <n v="10"/>
    <n v="1"/>
    <n v="4"/>
    <x v="4"/>
    <n v="2"/>
    <n v="0"/>
    <n v="2"/>
    <x v="5"/>
    <n v="0"/>
    <n v="0"/>
    <x v="0"/>
    <n v="1"/>
    <m/>
    <m/>
  </r>
  <r>
    <n v="34"/>
    <x v="1"/>
    <s v="Travel_Rarely"/>
    <n v="204"/>
    <s v="Sales"/>
    <n v="14"/>
    <n v="3"/>
    <s v="Technical Degree"/>
    <n v="1"/>
    <n v="666"/>
    <n v="3"/>
    <x v="0"/>
    <n v="31"/>
    <n v="3"/>
    <x v="1"/>
    <x v="6"/>
    <x v="2"/>
    <s v="Divorced"/>
    <n v="2579"/>
    <n v="2912"/>
    <n v="1"/>
    <s v="Y"/>
    <s v="Yes"/>
    <n v="18"/>
    <n v="3"/>
    <n v="4"/>
    <n v="80"/>
    <n v="2"/>
    <n v="8"/>
    <n v="3"/>
    <n v="3"/>
    <x v="3"/>
    <n v="2"/>
    <n v="0"/>
    <n v="6"/>
    <x v="0"/>
    <n v="0"/>
    <n v="0"/>
    <x v="1"/>
    <n v="1"/>
    <m/>
    <m/>
  </r>
  <r>
    <n v="27"/>
    <x v="0"/>
    <s v="Travel_Rarely"/>
    <n v="1420"/>
    <s v="Sales"/>
    <n v="2"/>
    <n v="1"/>
    <s v="Marketing"/>
    <n v="1"/>
    <n v="667"/>
    <n v="3"/>
    <x v="1"/>
    <n v="85"/>
    <n v="3"/>
    <x v="1"/>
    <x v="6"/>
    <x v="3"/>
    <s v="Divorced"/>
    <n v="3041"/>
    <n v="16346"/>
    <n v="0"/>
    <s v="Y"/>
    <s v="No"/>
    <n v="11"/>
    <n v="3"/>
    <n v="2"/>
    <n v="80"/>
    <n v="1"/>
    <n v="5"/>
    <n v="3"/>
    <n v="3"/>
    <x v="9"/>
    <n v="3"/>
    <n v="0"/>
    <n v="2"/>
    <x v="0"/>
    <n v="1"/>
    <n v="54738"/>
    <x v="0"/>
    <n v="1"/>
    <m/>
    <m/>
  </r>
  <r>
    <n v="21"/>
    <x v="1"/>
    <s v="Travel_Rarely"/>
    <n v="1343"/>
    <s v="Sales"/>
    <n v="22"/>
    <n v="1"/>
    <s v="Technical Degree"/>
    <n v="1"/>
    <n v="669"/>
    <n v="3"/>
    <x v="1"/>
    <n v="49"/>
    <n v="3"/>
    <x v="1"/>
    <x v="6"/>
    <x v="2"/>
    <s v="Single"/>
    <n v="3447"/>
    <n v="24444"/>
    <n v="1"/>
    <s v="Y"/>
    <s v="No"/>
    <n v="11"/>
    <n v="3"/>
    <n v="3"/>
    <n v="80"/>
    <n v="0"/>
    <n v="3"/>
    <n v="2"/>
    <n v="3"/>
    <x v="11"/>
    <n v="2"/>
    <n v="1"/>
    <n v="2"/>
    <x v="0"/>
    <n v="0"/>
    <n v="0"/>
    <x v="0"/>
    <n v="1"/>
    <m/>
    <m/>
  </r>
  <r>
    <n v="44"/>
    <x v="1"/>
    <s v="Travel_Rarely"/>
    <n v="1315"/>
    <s v="Research &amp; Development"/>
    <n v="3"/>
    <n v="4"/>
    <s v="Other"/>
    <n v="1"/>
    <n v="671"/>
    <n v="4"/>
    <x v="1"/>
    <n v="35"/>
    <n v="3"/>
    <x v="4"/>
    <x v="5"/>
    <x v="0"/>
    <s v="Married"/>
    <n v="19513"/>
    <n v="9358"/>
    <n v="4"/>
    <s v="Y"/>
    <s v="Yes"/>
    <n v="12"/>
    <n v="3"/>
    <n v="1"/>
    <n v="80"/>
    <n v="1"/>
    <n v="26"/>
    <n v="2"/>
    <n v="4"/>
    <x v="4"/>
    <n v="2"/>
    <n v="0"/>
    <n v="1"/>
    <x v="4"/>
    <n v="0"/>
    <n v="0"/>
    <x v="3"/>
    <n v="1"/>
    <m/>
    <m/>
  </r>
  <r>
    <n v="22"/>
    <x v="1"/>
    <s v="Travel_Rarely"/>
    <n v="604"/>
    <s v="Research &amp; Development"/>
    <n v="6"/>
    <n v="1"/>
    <s v="Medical"/>
    <n v="1"/>
    <n v="675"/>
    <n v="1"/>
    <x v="1"/>
    <n v="69"/>
    <n v="3"/>
    <x v="1"/>
    <x v="1"/>
    <x v="2"/>
    <s v="Married"/>
    <n v="2773"/>
    <n v="12145"/>
    <n v="0"/>
    <s v="Y"/>
    <s v="No"/>
    <n v="20"/>
    <n v="4"/>
    <n v="4"/>
    <n v="80"/>
    <n v="0"/>
    <n v="3"/>
    <n v="3"/>
    <n v="3"/>
    <x v="4"/>
    <n v="2"/>
    <n v="2"/>
    <n v="2"/>
    <x v="1"/>
    <n v="0"/>
    <n v="0"/>
    <x v="1"/>
    <n v="1"/>
    <m/>
    <m/>
  </r>
  <r>
    <n v="33"/>
    <x v="1"/>
    <s v="Travel_Rarely"/>
    <n v="1216"/>
    <s v="Sales"/>
    <n v="8"/>
    <n v="4"/>
    <s v="Marketing"/>
    <n v="1"/>
    <n v="677"/>
    <n v="3"/>
    <x v="1"/>
    <n v="39"/>
    <n v="3"/>
    <x v="0"/>
    <x v="0"/>
    <x v="2"/>
    <s v="Divorced"/>
    <n v="7104"/>
    <n v="20431"/>
    <n v="0"/>
    <s v="Y"/>
    <s v="No"/>
    <n v="12"/>
    <n v="3"/>
    <n v="4"/>
    <n v="80"/>
    <n v="0"/>
    <n v="6"/>
    <n v="3"/>
    <n v="3"/>
    <x v="8"/>
    <n v="0"/>
    <n v="1"/>
    <n v="2"/>
    <x v="0"/>
    <n v="0"/>
    <n v="0"/>
    <x v="4"/>
    <n v="1"/>
    <m/>
    <m/>
  </r>
  <r>
    <n v="32"/>
    <x v="1"/>
    <s v="Travel_Rarely"/>
    <n v="646"/>
    <s v="Research &amp; Development"/>
    <n v="9"/>
    <n v="4"/>
    <s v="Life Sciences"/>
    <n v="1"/>
    <n v="679"/>
    <n v="1"/>
    <x v="0"/>
    <n v="92"/>
    <n v="3"/>
    <x v="0"/>
    <x v="1"/>
    <x v="0"/>
    <s v="Married"/>
    <n v="6322"/>
    <n v="18089"/>
    <n v="1"/>
    <s v="Y"/>
    <s v="Yes"/>
    <n v="12"/>
    <n v="3"/>
    <n v="4"/>
    <n v="80"/>
    <n v="1"/>
    <n v="6"/>
    <n v="2"/>
    <n v="2"/>
    <x v="0"/>
    <n v="4"/>
    <n v="0"/>
    <n v="5"/>
    <x v="1"/>
    <n v="0"/>
    <n v="0"/>
    <x v="4"/>
    <n v="1"/>
    <m/>
    <m/>
  </r>
  <r>
    <n v="30"/>
    <x v="1"/>
    <s v="Travel_Frequently"/>
    <n v="160"/>
    <s v="Research &amp; Development"/>
    <n v="3"/>
    <n v="3"/>
    <s v="Medical"/>
    <n v="1"/>
    <n v="680"/>
    <n v="3"/>
    <x v="0"/>
    <n v="71"/>
    <n v="3"/>
    <x v="1"/>
    <x v="1"/>
    <x v="2"/>
    <s v="Divorced"/>
    <n v="2083"/>
    <n v="22653"/>
    <n v="1"/>
    <s v="Y"/>
    <s v="No"/>
    <n v="20"/>
    <n v="4"/>
    <n v="3"/>
    <n v="80"/>
    <n v="1"/>
    <n v="1"/>
    <n v="2"/>
    <n v="3"/>
    <x v="6"/>
    <n v="0"/>
    <n v="0"/>
    <n v="0"/>
    <x v="1"/>
    <n v="0"/>
    <n v="0"/>
    <x v="1"/>
    <n v="1"/>
    <m/>
    <m/>
  </r>
  <r>
    <n v="53"/>
    <x v="1"/>
    <s v="Travel_Rarely"/>
    <n v="238"/>
    <s v="Sales"/>
    <n v="1"/>
    <n v="1"/>
    <s v="Medical"/>
    <n v="1"/>
    <n v="682"/>
    <n v="4"/>
    <x v="0"/>
    <n v="34"/>
    <n v="3"/>
    <x v="0"/>
    <x v="0"/>
    <x v="3"/>
    <s v="Single"/>
    <n v="8381"/>
    <n v="7507"/>
    <n v="7"/>
    <s v="Y"/>
    <s v="No"/>
    <n v="20"/>
    <n v="4"/>
    <n v="4"/>
    <n v="80"/>
    <n v="0"/>
    <n v="18"/>
    <n v="2"/>
    <n v="4"/>
    <x v="13"/>
    <n v="7"/>
    <n v="8"/>
    <n v="10"/>
    <x v="0"/>
    <n v="0"/>
    <n v="0"/>
    <x v="4"/>
    <n v="1"/>
    <m/>
    <m/>
  </r>
  <r>
    <n v="34"/>
    <x v="1"/>
    <s v="Travel_Rarely"/>
    <n v="1397"/>
    <s v="Research &amp; Development"/>
    <n v="1"/>
    <n v="5"/>
    <s v="Life Sciences"/>
    <n v="1"/>
    <n v="683"/>
    <n v="2"/>
    <x v="1"/>
    <n v="42"/>
    <n v="3"/>
    <x v="1"/>
    <x v="1"/>
    <x v="0"/>
    <s v="Married"/>
    <n v="2691"/>
    <n v="7660"/>
    <n v="1"/>
    <s v="Y"/>
    <s v="No"/>
    <n v="12"/>
    <n v="3"/>
    <n v="4"/>
    <n v="80"/>
    <n v="1"/>
    <n v="10"/>
    <n v="4"/>
    <n v="2"/>
    <x v="1"/>
    <n v="9"/>
    <n v="8"/>
    <n v="8"/>
    <x v="1"/>
    <n v="0"/>
    <n v="0"/>
    <x v="1"/>
    <n v="1"/>
    <m/>
    <m/>
  </r>
  <r>
    <n v="45"/>
    <x v="0"/>
    <s v="Travel_Frequently"/>
    <n v="306"/>
    <s v="Sales"/>
    <n v="26"/>
    <n v="4"/>
    <s v="Life Sciences"/>
    <n v="1"/>
    <n v="684"/>
    <n v="1"/>
    <x v="0"/>
    <n v="100"/>
    <n v="3"/>
    <x v="0"/>
    <x v="0"/>
    <x v="3"/>
    <s v="Married"/>
    <n v="4286"/>
    <n v="5630"/>
    <n v="2"/>
    <s v="Y"/>
    <s v="No"/>
    <n v="14"/>
    <n v="3"/>
    <n v="4"/>
    <n v="80"/>
    <n v="2"/>
    <n v="5"/>
    <n v="4"/>
    <n v="3"/>
    <x v="6"/>
    <n v="1"/>
    <n v="0"/>
    <n v="0"/>
    <x v="0"/>
    <n v="1"/>
    <n v="77148"/>
    <x v="0"/>
    <n v="1"/>
    <m/>
    <m/>
  </r>
  <r>
    <n v="26"/>
    <x v="1"/>
    <s v="Travel_Rarely"/>
    <n v="991"/>
    <s v="Research &amp; Development"/>
    <n v="6"/>
    <n v="3"/>
    <s v="Life Sciences"/>
    <n v="1"/>
    <n v="686"/>
    <n v="3"/>
    <x v="0"/>
    <n v="71"/>
    <n v="3"/>
    <x v="1"/>
    <x v="2"/>
    <x v="0"/>
    <s v="Married"/>
    <n v="2659"/>
    <n v="17759"/>
    <n v="1"/>
    <s v="Y"/>
    <s v="Yes"/>
    <n v="13"/>
    <n v="3"/>
    <n v="3"/>
    <n v="80"/>
    <n v="1"/>
    <n v="3"/>
    <n v="2"/>
    <n v="3"/>
    <x v="11"/>
    <n v="2"/>
    <n v="0"/>
    <n v="2"/>
    <x v="1"/>
    <n v="0"/>
    <n v="0"/>
    <x v="1"/>
    <n v="1"/>
    <m/>
    <m/>
  </r>
  <r>
    <n v="37"/>
    <x v="1"/>
    <s v="Travel_Rarely"/>
    <n v="482"/>
    <s v="Research &amp; Development"/>
    <n v="3"/>
    <n v="3"/>
    <s v="Other"/>
    <n v="1"/>
    <n v="689"/>
    <n v="3"/>
    <x v="1"/>
    <n v="36"/>
    <n v="3"/>
    <x v="2"/>
    <x v="3"/>
    <x v="2"/>
    <s v="Married"/>
    <n v="9434"/>
    <n v="9606"/>
    <n v="1"/>
    <s v="Y"/>
    <s v="No"/>
    <n v="15"/>
    <n v="3"/>
    <n v="3"/>
    <n v="80"/>
    <n v="1"/>
    <n v="10"/>
    <n v="2"/>
    <n v="3"/>
    <x v="1"/>
    <n v="7"/>
    <n v="7"/>
    <n v="8"/>
    <x v="2"/>
    <n v="0"/>
    <n v="0"/>
    <x v="2"/>
    <n v="1"/>
    <m/>
    <m/>
  </r>
  <r>
    <n v="29"/>
    <x v="1"/>
    <s v="Travel_Rarely"/>
    <n v="1176"/>
    <s v="Sales"/>
    <n v="3"/>
    <n v="2"/>
    <s v="Medical"/>
    <n v="1"/>
    <n v="690"/>
    <n v="2"/>
    <x v="0"/>
    <n v="62"/>
    <n v="3"/>
    <x v="0"/>
    <x v="0"/>
    <x v="2"/>
    <s v="Married"/>
    <n v="5561"/>
    <n v="3487"/>
    <n v="1"/>
    <s v="Y"/>
    <s v="No"/>
    <n v="14"/>
    <n v="3"/>
    <n v="1"/>
    <n v="80"/>
    <n v="1"/>
    <n v="6"/>
    <n v="5"/>
    <n v="2"/>
    <x v="0"/>
    <n v="0"/>
    <n v="1"/>
    <n v="2"/>
    <x v="0"/>
    <n v="0"/>
    <n v="0"/>
    <x v="0"/>
    <n v="1"/>
    <m/>
    <m/>
  </r>
  <r>
    <n v="35"/>
    <x v="1"/>
    <s v="Travel_Rarely"/>
    <n v="1017"/>
    <s v="Research &amp; Development"/>
    <n v="6"/>
    <n v="4"/>
    <s v="Life Sciences"/>
    <n v="1"/>
    <n v="691"/>
    <n v="2"/>
    <x v="1"/>
    <n v="82"/>
    <n v="1"/>
    <x v="0"/>
    <x v="1"/>
    <x v="0"/>
    <s v="Single"/>
    <n v="6646"/>
    <n v="19368"/>
    <n v="1"/>
    <s v="Y"/>
    <s v="No"/>
    <n v="13"/>
    <n v="3"/>
    <n v="2"/>
    <n v="80"/>
    <n v="0"/>
    <n v="17"/>
    <n v="3"/>
    <n v="3"/>
    <x v="18"/>
    <n v="11"/>
    <n v="11"/>
    <n v="8"/>
    <x v="1"/>
    <n v="0"/>
    <n v="0"/>
    <x v="4"/>
    <n v="1"/>
    <m/>
    <m/>
  </r>
  <r>
    <n v="33"/>
    <x v="1"/>
    <s v="Travel_Frequently"/>
    <n v="1296"/>
    <s v="Research &amp; Development"/>
    <n v="6"/>
    <n v="3"/>
    <s v="Life Sciences"/>
    <n v="1"/>
    <n v="692"/>
    <n v="3"/>
    <x v="1"/>
    <n v="30"/>
    <n v="3"/>
    <x v="0"/>
    <x v="4"/>
    <x v="0"/>
    <s v="Divorced"/>
    <n v="7725"/>
    <n v="5335"/>
    <n v="3"/>
    <s v="Y"/>
    <s v="No"/>
    <n v="23"/>
    <n v="4"/>
    <n v="3"/>
    <n v="80"/>
    <n v="1"/>
    <n v="15"/>
    <n v="2"/>
    <n v="1"/>
    <x v="20"/>
    <n v="11"/>
    <n v="4"/>
    <n v="7"/>
    <x v="3"/>
    <n v="0"/>
    <n v="0"/>
    <x v="4"/>
    <n v="1"/>
    <m/>
    <m/>
  </r>
  <r>
    <n v="54"/>
    <x v="1"/>
    <s v="Travel_Rarely"/>
    <n v="397"/>
    <s v="Human Resources"/>
    <n v="19"/>
    <n v="4"/>
    <s v="Medical"/>
    <n v="1"/>
    <n v="698"/>
    <n v="3"/>
    <x v="1"/>
    <n v="88"/>
    <n v="3"/>
    <x v="2"/>
    <x v="8"/>
    <x v="1"/>
    <s v="Married"/>
    <n v="10725"/>
    <n v="6729"/>
    <n v="2"/>
    <s v="Y"/>
    <s v="No"/>
    <n v="15"/>
    <n v="3"/>
    <n v="3"/>
    <n v="80"/>
    <n v="1"/>
    <n v="16"/>
    <n v="1"/>
    <n v="4"/>
    <x v="7"/>
    <n v="7"/>
    <n v="7"/>
    <n v="1"/>
    <x v="5"/>
    <n v="0"/>
    <n v="0"/>
    <x v="2"/>
    <n v="1"/>
    <m/>
    <m/>
  </r>
  <r>
    <n v="36"/>
    <x v="1"/>
    <s v="Travel_Rarely"/>
    <n v="913"/>
    <s v="Research &amp; Development"/>
    <n v="9"/>
    <n v="2"/>
    <s v="Medical"/>
    <n v="1"/>
    <n v="699"/>
    <n v="2"/>
    <x v="1"/>
    <n v="48"/>
    <n v="2"/>
    <x v="0"/>
    <x v="3"/>
    <x v="1"/>
    <s v="Divorced"/>
    <n v="8847"/>
    <n v="13934"/>
    <n v="2"/>
    <s v="Y"/>
    <s v="Yes"/>
    <n v="11"/>
    <n v="3"/>
    <n v="3"/>
    <n v="80"/>
    <n v="1"/>
    <n v="13"/>
    <n v="2"/>
    <n v="3"/>
    <x v="11"/>
    <n v="2"/>
    <n v="0"/>
    <n v="2"/>
    <x v="2"/>
    <n v="0"/>
    <n v="0"/>
    <x v="4"/>
    <n v="1"/>
    <m/>
    <m/>
  </r>
  <r>
    <n v="27"/>
    <x v="1"/>
    <s v="Travel_Rarely"/>
    <n v="1115"/>
    <s v="Research &amp; Development"/>
    <n v="3"/>
    <n v="4"/>
    <s v="Medical"/>
    <n v="1"/>
    <n v="700"/>
    <n v="1"/>
    <x v="1"/>
    <n v="54"/>
    <n v="2"/>
    <x v="1"/>
    <x v="1"/>
    <x v="0"/>
    <s v="Single"/>
    <n v="2045"/>
    <n v="15174"/>
    <n v="0"/>
    <s v="Y"/>
    <s v="No"/>
    <n v="13"/>
    <n v="3"/>
    <n v="4"/>
    <n v="80"/>
    <n v="0"/>
    <n v="5"/>
    <n v="0"/>
    <n v="3"/>
    <x v="9"/>
    <n v="2"/>
    <n v="1"/>
    <n v="1"/>
    <x v="1"/>
    <n v="0"/>
    <n v="0"/>
    <x v="1"/>
    <n v="1"/>
    <m/>
    <m/>
  </r>
  <r>
    <n v="20"/>
    <x v="0"/>
    <s v="Travel_Rarely"/>
    <n v="1362"/>
    <s v="Research &amp; Development"/>
    <n v="10"/>
    <n v="1"/>
    <s v="Medical"/>
    <n v="1"/>
    <n v="701"/>
    <n v="4"/>
    <x v="1"/>
    <n v="32"/>
    <n v="3"/>
    <x v="1"/>
    <x v="1"/>
    <x v="2"/>
    <s v="Single"/>
    <n v="1009"/>
    <n v="26999"/>
    <n v="1"/>
    <s v="Y"/>
    <s v="Yes"/>
    <n v="11"/>
    <n v="3"/>
    <n v="4"/>
    <n v="80"/>
    <n v="0"/>
    <n v="1"/>
    <n v="5"/>
    <n v="3"/>
    <x v="6"/>
    <n v="0"/>
    <n v="1"/>
    <n v="1"/>
    <x v="1"/>
    <n v="1"/>
    <n v="18162"/>
    <x v="1"/>
    <n v="1"/>
    <m/>
    <m/>
  </r>
  <r>
    <n v="33"/>
    <x v="0"/>
    <s v="Travel_Frequently"/>
    <n v="1076"/>
    <s v="Research &amp; Development"/>
    <n v="3"/>
    <n v="3"/>
    <s v="Life Sciences"/>
    <n v="1"/>
    <n v="702"/>
    <n v="1"/>
    <x v="1"/>
    <n v="70"/>
    <n v="3"/>
    <x v="1"/>
    <x v="1"/>
    <x v="3"/>
    <s v="Single"/>
    <n v="3348"/>
    <n v="3164"/>
    <n v="1"/>
    <s v="Y"/>
    <s v="Yes"/>
    <n v="11"/>
    <n v="3"/>
    <n v="1"/>
    <n v="80"/>
    <n v="0"/>
    <n v="10"/>
    <n v="3"/>
    <n v="3"/>
    <x v="1"/>
    <n v="8"/>
    <n v="9"/>
    <n v="7"/>
    <x v="1"/>
    <n v="1"/>
    <n v="60264"/>
    <x v="0"/>
    <n v="1"/>
    <m/>
    <m/>
  </r>
  <r>
    <n v="35"/>
    <x v="1"/>
    <s v="Non-Travel"/>
    <n v="727"/>
    <s v="Research &amp; Development"/>
    <n v="3"/>
    <n v="3"/>
    <s v="Life Sciences"/>
    <n v="1"/>
    <n v="704"/>
    <n v="3"/>
    <x v="1"/>
    <n v="41"/>
    <n v="2"/>
    <x v="1"/>
    <x v="2"/>
    <x v="2"/>
    <s v="Married"/>
    <n v="1281"/>
    <n v="16900"/>
    <n v="1"/>
    <s v="Y"/>
    <s v="No"/>
    <n v="18"/>
    <n v="3"/>
    <n v="3"/>
    <n v="80"/>
    <n v="2"/>
    <n v="1"/>
    <n v="3"/>
    <n v="3"/>
    <x v="6"/>
    <n v="0"/>
    <n v="0"/>
    <n v="0"/>
    <x v="1"/>
    <n v="0"/>
    <n v="0"/>
    <x v="1"/>
    <n v="1"/>
    <m/>
    <m/>
  </r>
  <r>
    <n v="23"/>
    <x v="1"/>
    <s v="Travel_Rarely"/>
    <n v="885"/>
    <s v="Research &amp; Development"/>
    <n v="4"/>
    <n v="3"/>
    <s v="Medical"/>
    <n v="1"/>
    <n v="705"/>
    <n v="1"/>
    <x v="1"/>
    <n v="58"/>
    <n v="4"/>
    <x v="1"/>
    <x v="1"/>
    <x v="3"/>
    <s v="Married"/>
    <n v="2819"/>
    <n v="8544"/>
    <n v="2"/>
    <s v="Y"/>
    <s v="No"/>
    <n v="16"/>
    <n v="3"/>
    <n v="1"/>
    <n v="80"/>
    <n v="1"/>
    <n v="5"/>
    <n v="3"/>
    <n v="4"/>
    <x v="11"/>
    <n v="2"/>
    <n v="0"/>
    <n v="2"/>
    <x v="1"/>
    <n v="0"/>
    <n v="0"/>
    <x v="1"/>
    <n v="1"/>
    <m/>
    <m/>
  </r>
  <r>
    <n v="25"/>
    <x v="1"/>
    <s v="Travel_Rarely"/>
    <n v="810"/>
    <s v="Sales"/>
    <n v="8"/>
    <n v="3"/>
    <s v="Life Sciences"/>
    <n v="1"/>
    <n v="707"/>
    <n v="4"/>
    <x v="1"/>
    <n v="57"/>
    <n v="4"/>
    <x v="0"/>
    <x v="0"/>
    <x v="1"/>
    <s v="Married"/>
    <n v="4851"/>
    <n v="15678"/>
    <n v="0"/>
    <s v="Y"/>
    <s v="No"/>
    <n v="22"/>
    <n v="4"/>
    <n v="3"/>
    <n v="80"/>
    <n v="1"/>
    <n v="4"/>
    <n v="4"/>
    <n v="3"/>
    <x v="11"/>
    <n v="2"/>
    <n v="1"/>
    <n v="2"/>
    <x v="0"/>
    <n v="0"/>
    <n v="0"/>
    <x v="0"/>
    <n v="1"/>
    <m/>
    <m/>
  </r>
  <r>
    <n v="38"/>
    <x v="1"/>
    <s v="Travel_Rarely"/>
    <n v="243"/>
    <s v="Sales"/>
    <n v="7"/>
    <n v="4"/>
    <s v="Marketing"/>
    <n v="1"/>
    <n v="709"/>
    <n v="4"/>
    <x v="0"/>
    <n v="46"/>
    <n v="2"/>
    <x v="0"/>
    <x v="0"/>
    <x v="0"/>
    <s v="Single"/>
    <n v="4028"/>
    <n v="7791"/>
    <n v="0"/>
    <s v="Y"/>
    <s v="No"/>
    <n v="20"/>
    <n v="4"/>
    <n v="1"/>
    <n v="80"/>
    <n v="0"/>
    <n v="8"/>
    <n v="2"/>
    <n v="3"/>
    <x v="5"/>
    <n v="7"/>
    <n v="0"/>
    <n v="5"/>
    <x v="0"/>
    <n v="0"/>
    <n v="0"/>
    <x v="0"/>
    <n v="1"/>
    <m/>
    <m/>
  </r>
  <r>
    <n v="29"/>
    <x v="1"/>
    <s v="Travel_Frequently"/>
    <n v="806"/>
    <s v="Research &amp; Development"/>
    <n v="1"/>
    <n v="4"/>
    <s v="Life Sciences"/>
    <n v="1"/>
    <n v="710"/>
    <n v="2"/>
    <x v="1"/>
    <n v="76"/>
    <n v="1"/>
    <x v="1"/>
    <x v="1"/>
    <x v="0"/>
    <s v="Divorced"/>
    <n v="2720"/>
    <n v="18959"/>
    <n v="1"/>
    <s v="Y"/>
    <s v="No"/>
    <n v="18"/>
    <n v="3"/>
    <n v="4"/>
    <n v="80"/>
    <n v="1"/>
    <n v="10"/>
    <n v="5"/>
    <n v="3"/>
    <x v="1"/>
    <n v="7"/>
    <n v="2"/>
    <n v="8"/>
    <x v="1"/>
    <n v="0"/>
    <n v="0"/>
    <x v="1"/>
    <n v="1"/>
    <m/>
    <m/>
  </r>
  <r>
    <n v="48"/>
    <x v="1"/>
    <s v="Travel_Rarely"/>
    <n v="817"/>
    <s v="Sales"/>
    <n v="2"/>
    <n v="1"/>
    <s v="Marketing"/>
    <n v="1"/>
    <n v="712"/>
    <n v="2"/>
    <x v="1"/>
    <n v="56"/>
    <n v="4"/>
    <x v="0"/>
    <x v="0"/>
    <x v="1"/>
    <s v="Married"/>
    <n v="8120"/>
    <n v="18597"/>
    <n v="3"/>
    <s v="Y"/>
    <s v="No"/>
    <n v="12"/>
    <n v="3"/>
    <n v="4"/>
    <n v="80"/>
    <n v="0"/>
    <n v="12"/>
    <n v="3"/>
    <n v="3"/>
    <x v="4"/>
    <n v="2"/>
    <n v="2"/>
    <n v="2"/>
    <x v="0"/>
    <n v="0"/>
    <n v="0"/>
    <x v="4"/>
    <n v="1"/>
    <m/>
    <m/>
  </r>
  <r>
    <n v="27"/>
    <x v="1"/>
    <s v="Travel_Frequently"/>
    <n v="1410"/>
    <s v="Sales"/>
    <n v="3"/>
    <n v="1"/>
    <s v="Medical"/>
    <n v="1"/>
    <n v="714"/>
    <n v="4"/>
    <x v="0"/>
    <n v="71"/>
    <n v="4"/>
    <x v="0"/>
    <x v="0"/>
    <x v="0"/>
    <s v="Divorced"/>
    <n v="4647"/>
    <n v="16673"/>
    <n v="1"/>
    <s v="Y"/>
    <s v="Yes"/>
    <n v="20"/>
    <n v="4"/>
    <n v="2"/>
    <n v="80"/>
    <n v="2"/>
    <n v="6"/>
    <n v="3"/>
    <n v="3"/>
    <x v="0"/>
    <n v="5"/>
    <n v="0"/>
    <n v="4"/>
    <x v="0"/>
    <n v="0"/>
    <n v="0"/>
    <x v="0"/>
    <n v="1"/>
    <m/>
    <m/>
  </r>
  <r>
    <n v="37"/>
    <x v="1"/>
    <s v="Travel_Rarely"/>
    <n v="1225"/>
    <s v="Research &amp; Development"/>
    <n v="10"/>
    <n v="2"/>
    <s v="Life Sciences"/>
    <n v="1"/>
    <n v="715"/>
    <n v="4"/>
    <x v="1"/>
    <n v="80"/>
    <n v="4"/>
    <x v="1"/>
    <x v="1"/>
    <x v="0"/>
    <s v="Single"/>
    <n v="4680"/>
    <n v="15232"/>
    <n v="3"/>
    <s v="Y"/>
    <s v="No"/>
    <n v="17"/>
    <n v="3"/>
    <n v="1"/>
    <n v="80"/>
    <n v="0"/>
    <n v="4"/>
    <n v="2"/>
    <n v="3"/>
    <x v="6"/>
    <n v="0"/>
    <n v="0"/>
    <n v="0"/>
    <x v="1"/>
    <n v="0"/>
    <n v="0"/>
    <x v="0"/>
    <n v="1"/>
    <m/>
    <m/>
  </r>
  <r>
    <n v="50"/>
    <x v="1"/>
    <s v="Travel_Rarely"/>
    <n v="1207"/>
    <s v="Research &amp; Development"/>
    <n v="28"/>
    <n v="1"/>
    <s v="Medical"/>
    <n v="1"/>
    <n v="716"/>
    <n v="4"/>
    <x v="1"/>
    <n v="74"/>
    <n v="4"/>
    <x v="1"/>
    <x v="2"/>
    <x v="2"/>
    <s v="Married"/>
    <n v="3221"/>
    <n v="3297"/>
    <n v="1"/>
    <s v="Y"/>
    <s v="Yes"/>
    <n v="11"/>
    <n v="3"/>
    <n v="3"/>
    <n v="80"/>
    <n v="3"/>
    <n v="20"/>
    <n v="3"/>
    <n v="3"/>
    <x v="23"/>
    <n v="8"/>
    <n v="3"/>
    <n v="8"/>
    <x v="1"/>
    <n v="0"/>
    <n v="0"/>
    <x v="0"/>
    <n v="1"/>
    <m/>
    <m/>
  </r>
  <r>
    <n v="34"/>
    <x v="1"/>
    <s v="Travel_Rarely"/>
    <n v="1442"/>
    <s v="Research &amp; Development"/>
    <n v="9"/>
    <n v="3"/>
    <s v="Medical"/>
    <n v="1"/>
    <n v="717"/>
    <n v="4"/>
    <x v="0"/>
    <n v="46"/>
    <n v="2"/>
    <x v="2"/>
    <x v="4"/>
    <x v="1"/>
    <s v="Single"/>
    <n v="8621"/>
    <n v="17654"/>
    <n v="1"/>
    <s v="Y"/>
    <s v="No"/>
    <n v="14"/>
    <n v="3"/>
    <n v="2"/>
    <n v="80"/>
    <n v="0"/>
    <n v="9"/>
    <n v="3"/>
    <n v="4"/>
    <x v="3"/>
    <n v="7"/>
    <n v="7"/>
    <n v="7"/>
    <x v="3"/>
    <n v="0"/>
    <n v="0"/>
    <x v="4"/>
    <n v="1"/>
    <m/>
    <m/>
  </r>
  <r>
    <n v="24"/>
    <x v="0"/>
    <s v="Travel_Rarely"/>
    <n v="693"/>
    <s v="Sales"/>
    <n v="3"/>
    <n v="2"/>
    <s v="Life Sciences"/>
    <n v="1"/>
    <n v="720"/>
    <n v="1"/>
    <x v="0"/>
    <n v="65"/>
    <n v="3"/>
    <x v="0"/>
    <x v="0"/>
    <x v="2"/>
    <s v="Single"/>
    <n v="4577"/>
    <n v="24785"/>
    <n v="9"/>
    <s v="Y"/>
    <s v="No"/>
    <n v="14"/>
    <n v="3"/>
    <n v="1"/>
    <n v="80"/>
    <n v="0"/>
    <n v="4"/>
    <n v="3"/>
    <n v="3"/>
    <x v="4"/>
    <n v="2"/>
    <n v="2"/>
    <n v="0"/>
    <x v="0"/>
    <n v="1"/>
    <n v="82386"/>
    <x v="0"/>
    <n v="1"/>
    <m/>
    <m/>
  </r>
  <r>
    <n v="39"/>
    <x v="1"/>
    <s v="Travel_Rarely"/>
    <n v="408"/>
    <s v="Research &amp; Development"/>
    <n v="2"/>
    <n v="4"/>
    <s v="Technical Degree"/>
    <n v="1"/>
    <n v="721"/>
    <n v="4"/>
    <x v="0"/>
    <n v="80"/>
    <n v="2"/>
    <x v="0"/>
    <x v="4"/>
    <x v="2"/>
    <s v="Single"/>
    <n v="4553"/>
    <n v="20978"/>
    <n v="1"/>
    <s v="Y"/>
    <s v="No"/>
    <n v="11"/>
    <n v="3"/>
    <n v="1"/>
    <n v="80"/>
    <n v="0"/>
    <n v="20"/>
    <n v="4"/>
    <n v="3"/>
    <x v="23"/>
    <n v="7"/>
    <n v="11"/>
    <n v="10"/>
    <x v="3"/>
    <n v="0"/>
    <n v="0"/>
    <x v="0"/>
    <n v="1"/>
    <m/>
    <m/>
  </r>
  <r>
    <n v="32"/>
    <x v="1"/>
    <s v="Travel_Rarely"/>
    <n v="929"/>
    <s v="Sales"/>
    <n v="10"/>
    <n v="3"/>
    <s v="Marketing"/>
    <n v="1"/>
    <n v="722"/>
    <n v="4"/>
    <x v="1"/>
    <n v="55"/>
    <n v="3"/>
    <x v="0"/>
    <x v="0"/>
    <x v="0"/>
    <s v="Single"/>
    <n v="5396"/>
    <n v="21703"/>
    <n v="1"/>
    <s v="Y"/>
    <s v="No"/>
    <n v="12"/>
    <n v="3"/>
    <n v="4"/>
    <n v="80"/>
    <n v="0"/>
    <n v="10"/>
    <n v="2"/>
    <n v="2"/>
    <x v="1"/>
    <n v="7"/>
    <n v="0"/>
    <n v="8"/>
    <x v="0"/>
    <n v="0"/>
    <n v="0"/>
    <x v="0"/>
    <n v="1"/>
    <m/>
    <m/>
  </r>
  <r>
    <n v="50"/>
    <x v="0"/>
    <s v="Travel_Frequently"/>
    <n v="562"/>
    <s v="Sales"/>
    <n v="8"/>
    <n v="2"/>
    <s v="Technical Degree"/>
    <n v="1"/>
    <n v="723"/>
    <n v="2"/>
    <x v="1"/>
    <n v="50"/>
    <n v="3"/>
    <x v="0"/>
    <x v="0"/>
    <x v="2"/>
    <s v="Married"/>
    <n v="6796"/>
    <n v="23452"/>
    <n v="3"/>
    <s v="Y"/>
    <s v="Yes"/>
    <n v="14"/>
    <n v="3"/>
    <n v="1"/>
    <n v="80"/>
    <n v="1"/>
    <n v="18"/>
    <n v="4"/>
    <n v="3"/>
    <x v="9"/>
    <n v="3"/>
    <n v="1"/>
    <n v="3"/>
    <x v="0"/>
    <n v="1"/>
    <n v="122328"/>
    <x v="4"/>
    <n v="1"/>
    <m/>
    <m/>
  </r>
  <r>
    <n v="38"/>
    <x v="1"/>
    <s v="Travel_Rarely"/>
    <n v="827"/>
    <s v="Research &amp; Development"/>
    <n v="1"/>
    <n v="4"/>
    <s v="Life Sciences"/>
    <n v="1"/>
    <n v="724"/>
    <n v="2"/>
    <x v="0"/>
    <n v="33"/>
    <n v="4"/>
    <x v="0"/>
    <x v="4"/>
    <x v="0"/>
    <s v="Single"/>
    <n v="7625"/>
    <n v="19383"/>
    <n v="0"/>
    <s v="Y"/>
    <s v="No"/>
    <n v="13"/>
    <n v="3"/>
    <n v="3"/>
    <n v="80"/>
    <n v="0"/>
    <n v="10"/>
    <n v="4"/>
    <n v="2"/>
    <x v="7"/>
    <n v="7"/>
    <n v="1"/>
    <n v="8"/>
    <x v="3"/>
    <n v="0"/>
    <n v="0"/>
    <x v="4"/>
    <n v="1"/>
    <m/>
    <m/>
  </r>
  <r>
    <n v="27"/>
    <x v="1"/>
    <s v="Travel_Rarely"/>
    <n v="608"/>
    <s v="Research &amp; Development"/>
    <n v="1"/>
    <n v="2"/>
    <s v="Life Sciences"/>
    <n v="1"/>
    <n v="725"/>
    <n v="3"/>
    <x v="0"/>
    <n v="68"/>
    <n v="3"/>
    <x v="2"/>
    <x v="3"/>
    <x v="3"/>
    <s v="Married"/>
    <n v="7412"/>
    <n v="6009"/>
    <n v="1"/>
    <s v="Y"/>
    <s v="No"/>
    <n v="11"/>
    <n v="3"/>
    <n v="4"/>
    <n v="80"/>
    <n v="0"/>
    <n v="9"/>
    <n v="3"/>
    <n v="3"/>
    <x v="7"/>
    <n v="7"/>
    <n v="0"/>
    <n v="7"/>
    <x v="2"/>
    <n v="0"/>
    <n v="0"/>
    <x v="4"/>
    <n v="1"/>
    <m/>
    <m/>
  </r>
  <r>
    <n v="32"/>
    <x v="1"/>
    <s v="Travel_Rarely"/>
    <n v="1018"/>
    <s v="Research &amp; Development"/>
    <n v="3"/>
    <n v="2"/>
    <s v="Life Sciences"/>
    <n v="1"/>
    <n v="727"/>
    <n v="3"/>
    <x v="0"/>
    <n v="39"/>
    <n v="3"/>
    <x v="2"/>
    <x v="7"/>
    <x v="0"/>
    <s v="Single"/>
    <n v="11159"/>
    <n v="19373"/>
    <n v="3"/>
    <s v="Y"/>
    <s v="No"/>
    <n v="15"/>
    <n v="3"/>
    <n v="4"/>
    <n v="80"/>
    <n v="0"/>
    <n v="10"/>
    <n v="6"/>
    <n v="3"/>
    <x v="5"/>
    <n v="7"/>
    <n v="7"/>
    <n v="7"/>
    <x v="1"/>
    <n v="0"/>
    <n v="0"/>
    <x v="2"/>
    <n v="1"/>
    <m/>
    <m/>
  </r>
  <r>
    <n v="47"/>
    <x v="1"/>
    <s v="Travel_Rarely"/>
    <n v="703"/>
    <s v="Sales"/>
    <n v="14"/>
    <n v="4"/>
    <s v="Marketing"/>
    <n v="1"/>
    <n v="728"/>
    <n v="4"/>
    <x v="1"/>
    <n v="42"/>
    <n v="3"/>
    <x v="0"/>
    <x v="0"/>
    <x v="3"/>
    <s v="Single"/>
    <n v="4960"/>
    <n v="11825"/>
    <n v="2"/>
    <s v="Y"/>
    <s v="No"/>
    <n v="12"/>
    <n v="3"/>
    <n v="4"/>
    <n v="80"/>
    <n v="0"/>
    <n v="20"/>
    <n v="2"/>
    <n v="3"/>
    <x v="5"/>
    <n v="7"/>
    <n v="1"/>
    <n v="7"/>
    <x v="0"/>
    <n v="0"/>
    <n v="0"/>
    <x v="0"/>
    <n v="1"/>
    <m/>
    <m/>
  </r>
  <r>
    <n v="40"/>
    <x v="1"/>
    <s v="Travel_Frequently"/>
    <n v="580"/>
    <s v="Sales"/>
    <n v="5"/>
    <n v="4"/>
    <s v="Life Sciences"/>
    <n v="1"/>
    <n v="729"/>
    <n v="4"/>
    <x v="1"/>
    <n v="48"/>
    <n v="2"/>
    <x v="2"/>
    <x v="0"/>
    <x v="3"/>
    <s v="Married"/>
    <n v="10475"/>
    <n v="23772"/>
    <n v="5"/>
    <s v="Y"/>
    <s v="Yes"/>
    <n v="21"/>
    <n v="4"/>
    <n v="3"/>
    <n v="80"/>
    <n v="1"/>
    <n v="20"/>
    <n v="2"/>
    <n v="3"/>
    <x v="29"/>
    <n v="13"/>
    <n v="1"/>
    <n v="12"/>
    <x v="0"/>
    <n v="0"/>
    <n v="0"/>
    <x v="2"/>
    <n v="1"/>
    <m/>
    <m/>
  </r>
  <r>
    <n v="53"/>
    <x v="1"/>
    <s v="Travel_Rarely"/>
    <n v="970"/>
    <s v="Research &amp; Development"/>
    <n v="7"/>
    <n v="3"/>
    <s v="Life Sciences"/>
    <n v="1"/>
    <n v="730"/>
    <n v="3"/>
    <x v="1"/>
    <n v="59"/>
    <n v="4"/>
    <x v="3"/>
    <x v="7"/>
    <x v="2"/>
    <s v="Married"/>
    <n v="14814"/>
    <n v="13514"/>
    <n v="3"/>
    <s v="Y"/>
    <s v="No"/>
    <n v="19"/>
    <n v="3"/>
    <n v="3"/>
    <n v="80"/>
    <n v="0"/>
    <n v="32"/>
    <n v="3"/>
    <n v="3"/>
    <x v="8"/>
    <n v="1"/>
    <n v="1"/>
    <n v="3"/>
    <x v="1"/>
    <n v="0"/>
    <n v="0"/>
    <x v="3"/>
    <n v="1"/>
    <m/>
    <m/>
  </r>
  <r>
    <n v="41"/>
    <x v="1"/>
    <s v="Travel_Rarely"/>
    <n v="427"/>
    <s v="Human Resources"/>
    <n v="10"/>
    <n v="4"/>
    <s v="Human Resources"/>
    <n v="1"/>
    <n v="731"/>
    <n v="2"/>
    <x v="1"/>
    <n v="73"/>
    <n v="2"/>
    <x v="4"/>
    <x v="5"/>
    <x v="0"/>
    <s v="Divorced"/>
    <n v="19141"/>
    <n v="8861"/>
    <n v="3"/>
    <s v="Y"/>
    <s v="No"/>
    <n v="15"/>
    <n v="3"/>
    <n v="2"/>
    <n v="80"/>
    <n v="3"/>
    <n v="23"/>
    <n v="2"/>
    <n v="2"/>
    <x v="17"/>
    <n v="6"/>
    <n v="12"/>
    <n v="6"/>
    <x v="4"/>
    <n v="0"/>
    <n v="0"/>
    <x v="3"/>
    <n v="1"/>
    <m/>
    <m/>
  </r>
  <r>
    <n v="60"/>
    <x v="1"/>
    <s v="Travel_Rarely"/>
    <n v="1179"/>
    <s v="Sales"/>
    <n v="16"/>
    <n v="4"/>
    <s v="Marketing"/>
    <n v="1"/>
    <n v="732"/>
    <n v="1"/>
    <x v="1"/>
    <n v="84"/>
    <n v="3"/>
    <x v="0"/>
    <x v="0"/>
    <x v="3"/>
    <s v="Single"/>
    <n v="5405"/>
    <n v="11924"/>
    <n v="8"/>
    <s v="Y"/>
    <s v="No"/>
    <n v="14"/>
    <n v="3"/>
    <n v="4"/>
    <n v="80"/>
    <n v="0"/>
    <n v="10"/>
    <n v="1"/>
    <n v="3"/>
    <x v="4"/>
    <n v="2"/>
    <n v="2"/>
    <n v="2"/>
    <x v="0"/>
    <n v="0"/>
    <n v="0"/>
    <x v="0"/>
    <n v="1"/>
    <m/>
    <m/>
  </r>
  <r>
    <n v="27"/>
    <x v="1"/>
    <s v="Travel_Frequently"/>
    <n v="294"/>
    <s v="Research &amp; Development"/>
    <n v="10"/>
    <n v="2"/>
    <s v="Life Sciences"/>
    <n v="1"/>
    <n v="733"/>
    <n v="4"/>
    <x v="1"/>
    <n v="32"/>
    <n v="3"/>
    <x v="2"/>
    <x v="3"/>
    <x v="3"/>
    <s v="Divorced"/>
    <n v="8793"/>
    <n v="4809"/>
    <n v="1"/>
    <s v="Y"/>
    <s v="No"/>
    <n v="21"/>
    <n v="4"/>
    <n v="3"/>
    <n v="80"/>
    <n v="2"/>
    <n v="9"/>
    <n v="4"/>
    <n v="2"/>
    <x v="7"/>
    <n v="7"/>
    <n v="1"/>
    <n v="7"/>
    <x v="2"/>
    <n v="0"/>
    <n v="0"/>
    <x v="4"/>
    <n v="1"/>
    <m/>
    <m/>
  </r>
  <r>
    <n v="41"/>
    <x v="1"/>
    <s v="Travel_Rarely"/>
    <n v="314"/>
    <s v="Human Resources"/>
    <n v="1"/>
    <n v="3"/>
    <s v="Human Resources"/>
    <n v="1"/>
    <n v="734"/>
    <n v="4"/>
    <x v="1"/>
    <n v="59"/>
    <n v="2"/>
    <x v="4"/>
    <x v="5"/>
    <x v="2"/>
    <s v="Married"/>
    <n v="19189"/>
    <n v="19562"/>
    <n v="1"/>
    <s v="Y"/>
    <s v="No"/>
    <n v="12"/>
    <n v="3"/>
    <n v="2"/>
    <n v="80"/>
    <n v="1"/>
    <n v="22"/>
    <n v="3"/>
    <n v="3"/>
    <x v="14"/>
    <n v="7"/>
    <n v="2"/>
    <n v="10"/>
    <x v="4"/>
    <n v="0"/>
    <n v="0"/>
    <x v="3"/>
    <n v="1"/>
    <m/>
    <m/>
  </r>
  <r>
    <n v="50"/>
    <x v="1"/>
    <s v="Travel_Rarely"/>
    <n v="316"/>
    <s v="Sales"/>
    <n v="8"/>
    <n v="4"/>
    <s v="Marketing"/>
    <n v="1"/>
    <n v="738"/>
    <n v="4"/>
    <x v="1"/>
    <n v="54"/>
    <n v="3"/>
    <x v="1"/>
    <x v="6"/>
    <x v="1"/>
    <s v="Married"/>
    <n v="3875"/>
    <n v="9983"/>
    <n v="7"/>
    <s v="Y"/>
    <s v="No"/>
    <n v="15"/>
    <n v="3"/>
    <n v="4"/>
    <n v="80"/>
    <n v="1"/>
    <n v="4"/>
    <n v="2"/>
    <n v="3"/>
    <x v="4"/>
    <n v="2"/>
    <n v="2"/>
    <n v="2"/>
    <x v="0"/>
    <n v="0"/>
    <n v="0"/>
    <x v="0"/>
    <n v="1"/>
    <m/>
    <m/>
  </r>
  <r>
    <n v="28"/>
    <x v="0"/>
    <s v="Travel_Rarely"/>
    <n v="654"/>
    <s v="Research &amp; Development"/>
    <n v="1"/>
    <n v="2"/>
    <s v="Life Sciences"/>
    <n v="1"/>
    <n v="741"/>
    <n v="1"/>
    <x v="0"/>
    <n v="67"/>
    <n v="1"/>
    <x v="1"/>
    <x v="1"/>
    <x v="1"/>
    <s v="Single"/>
    <n v="2216"/>
    <n v="3872"/>
    <n v="7"/>
    <s v="Y"/>
    <s v="Yes"/>
    <n v="13"/>
    <n v="3"/>
    <n v="4"/>
    <n v="80"/>
    <n v="0"/>
    <n v="10"/>
    <n v="4"/>
    <n v="3"/>
    <x v="5"/>
    <n v="7"/>
    <n v="3"/>
    <n v="7"/>
    <x v="1"/>
    <n v="1"/>
    <n v="39888"/>
    <x v="1"/>
    <n v="1"/>
    <m/>
    <m/>
  </r>
  <r>
    <n v="36"/>
    <x v="1"/>
    <s v="Non-Travel"/>
    <n v="427"/>
    <s v="Research &amp; Development"/>
    <n v="8"/>
    <n v="3"/>
    <s v="Life Sciences"/>
    <n v="1"/>
    <n v="742"/>
    <n v="1"/>
    <x v="0"/>
    <n v="63"/>
    <n v="4"/>
    <x v="2"/>
    <x v="7"/>
    <x v="3"/>
    <s v="Married"/>
    <n v="11713"/>
    <n v="20335"/>
    <n v="9"/>
    <s v="Y"/>
    <s v="No"/>
    <n v="14"/>
    <n v="3"/>
    <n v="1"/>
    <n v="80"/>
    <n v="1"/>
    <n v="10"/>
    <n v="2"/>
    <n v="3"/>
    <x v="3"/>
    <n v="7"/>
    <n v="0"/>
    <n v="5"/>
    <x v="1"/>
    <n v="0"/>
    <n v="0"/>
    <x v="2"/>
    <n v="1"/>
    <m/>
    <m/>
  </r>
  <r>
    <n v="38"/>
    <x v="1"/>
    <s v="Travel_Rarely"/>
    <n v="168"/>
    <s v="Research &amp; Development"/>
    <n v="1"/>
    <n v="3"/>
    <s v="Life Sciences"/>
    <n v="1"/>
    <n v="743"/>
    <n v="3"/>
    <x v="0"/>
    <n v="81"/>
    <n v="3"/>
    <x v="2"/>
    <x v="3"/>
    <x v="2"/>
    <s v="Single"/>
    <n v="7861"/>
    <n v="15397"/>
    <n v="4"/>
    <s v="Y"/>
    <s v="Yes"/>
    <n v="14"/>
    <n v="3"/>
    <n v="4"/>
    <n v="80"/>
    <n v="0"/>
    <n v="10"/>
    <n v="4"/>
    <n v="4"/>
    <x v="6"/>
    <n v="0"/>
    <n v="0"/>
    <n v="0"/>
    <x v="2"/>
    <n v="0"/>
    <n v="0"/>
    <x v="4"/>
    <n v="1"/>
    <m/>
    <m/>
  </r>
  <r>
    <n v="44"/>
    <x v="1"/>
    <s v="Non-Travel"/>
    <n v="381"/>
    <s v="Research &amp; Development"/>
    <n v="24"/>
    <n v="3"/>
    <s v="Medical"/>
    <n v="1"/>
    <n v="744"/>
    <n v="1"/>
    <x v="1"/>
    <n v="49"/>
    <n v="1"/>
    <x v="1"/>
    <x v="2"/>
    <x v="2"/>
    <s v="Single"/>
    <n v="3708"/>
    <n v="2104"/>
    <n v="2"/>
    <s v="Y"/>
    <s v="No"/>
    <n v="14"/>
    <n v="3"/>
    <n v="3"/>
    <n v="80"/>
    <n v="0"/>
    <n v="9"/>
    <n v="5"/>
    <n v="3"/>
    <x v="8"/>
    <n v="2"/>
    <n v="1"/>
    <n v="4"/>
    <x v="1"/>
    <n v="0"/>
    <n v="0"/>
    <x v="0"/>
    <n v="1"/>
    <m/>
    <m/>
  </r>
  <r>
    <n v="47"/>
    <x v="1"/>
    <s v="Travel_Frequently"/>
    <n v="217"/>
    <s v="Sales"/>
    <n v="3"/>
    <n v="3"/>
    <s v="Medical"/>
    <n v="1"/>
    <n v="746"/>
    <n v="4"/>
    <x v="0"/>
    <n v="49"/>
    <n v="3"/>
    <x v="3"/>
    <x v="0"/>
    <x v="2"/>
    <s v="Divorced"/>
    <n v="13770"/>
    <n v="10225"/>
    <n v="9"/>
    <s v="Y"/>
    <s v="Yes"/>
    <n v="12"/>
    <n v="3"/>
    <n v="4"/>
    <n v="80"/>
    <n v="2"/>
    <n v="28"/>
    <n v="2"/>
    <n v="2"/>
    <x v="14"/>
    <n v="2"/>
    <n v="11"/>
    <n v="13"/>
    <x v="0"/>
    <n v="0"/>
    <n v="0"/>
    <x v="3"/>
    <n v="1"/>
    <m/>
    <m/>
  </r>
  <r>
    <n v="30"/>
    <x v="1"/>
    <s v="Travel_Rarely"/>
    <n v="501"/>
    <s v="Sales"/>
    <n v="27"/>
    <n v="5"/>
    <s v="Marketing"/>
    <n v="1"/>
    <n v="747"/>
    <n v="3"/>
    <x v="1"/>
    <n v="99"/>
    <n v="3"/>
    <x v="0"/>
    <x v="0"/>
    <x v="0"/>
    <s v="Divorced"/>
    <n v="5304"/>
    <n v="25275"/>
    <n v="7"/>
    <s v="Y"/>
    <s v="No"/>
    <n v="23"/>
    <n v="4"/>
    <n v="4"/>
    <n v="80"/>
    <n v="1"/>
    <n v="10"/>
    <n v="2"/>
    <n v="2"/>
    <x v="3"/>
    <n v="7"/>
    <n v="7"/>
    <n v="7"/>
    <x v="0"/>
    <n v="0"/>
    <n v="0"/>
    <x v="0"/>
    <n v="1"/>
    <m/>
    <m/>
  </r>
  <r>
    <n v="29"/>
    <x v="1"/>
    <s v="Travel_Rarely"/>
    <n v="1396"/>
    <s v="Sales"/>
    <n v="10"/>
    <n v="3"/>
    <s v="Life Sciences"/>
    <n v="1"/>
    <n v="749"/>
    <n v="3"/>
    <x v="1"/>
    <n v="99"/>
    <n v="3"/>
    <x v="1"/>
    <x v="6"/>
    <x v="2"/>
    <s v="Single"/>
    <n v="2642"/>
    <n v="2755"/>
    <n v="1"/>
    <s v="Y"/>
    <s v="No"/>
    <n v="11"/>
    <n v="3"/>
    <n v="3"/>
    <n v="80"/>
    <n v="0"/>
    <n v="1"/>
    <n v="6"/>
    <n v="3"/>
    <x v="6"/>
    <n v="0"/>
    <n v="0"/>
    <n v="0"/>
    <x v="0"/>
    <n v="0"/>
    <n v="0"/>
    <x v="1"/>
    <n v="1"/>
    <m/>
    <m/>
  </r>
  <r>
    <n v="42"/>
    <x v="0"/>
    <s v="Travel_Frequently"/>
    <n v="933"/>
    <s v="Research &amp; Development"/>
    <n v="19"/>
    <n v="3"/>
    <s v="Medical"/>
    <n v="1"/>
    <n v="752"/>
    <n v="3"/>
    <x v="1"/>
    <n v="57"/>
    <n v="4"/>
    <x v="1"/>
    <x v="1"/>
    <x v="2"/>
    <s v="Divorced"/>
    <n v="2759"/>
    <n v="20366"/>
    <n v="6"/>
    <s v="Y"/>
    <s v="Yes"/>
    <n v="12"/>
    <n v="3"/>
    <n v="4"/>
    <n v="80"/>
    <n v="0"/>
    <n v="7"/>
    <n v="2"/>
    <n v="3"/>
    <x v="4"/>
    <n v="2"/>
    <n v="2"/>
    <n v="2"/>
    <x v="1"/>
    <n v="1"/>
    <n v="49662"/>
    <x v="1"/>
    <n v="1"/>
    <m/>
    <m/>
  </r>
  <r>
    <n v="43"/>
    <x v="1"/>
    <s v="Travel_Frequently"/>
    <n v="775"/>
    <s v="Sales"/>
    <n v="15"/>
    <n v="3"/>
    <s v="Life Sciences"/>
    <n v="1"/>
    <n v="754"/>
    <n v="4"/>
    <x v="1"/>
    <n v="47"/>
    <n v="2"/>
    <x v="0"/>
    <x v="0"/>
    <x v="0"/>
    <s v="Married"/>
    <n v="6804"/>
    <n v="23683"/>
    <n v="3"/>
    <s v="Y"/>
    <s v="No"/>
    <n v="18"/>
    <n v="3"/>
    <n v="3"/>
    <n v="80"/>
    <n v="1"/>
    <n v="7"/>
    <n v="5"/>
    <n v="3"/>
    <x v="4"/>
    <n v="2"/>
    <n v="2"/>
    <n v="2"/>
    <x v="0"/>
    <n v="0"/>
    <n v="0"/>
    <x v="4"/>
    <n v="1"/>
    <m/>
    <m/>
  </r>
  <r>
    <n v="34"/>
    <x v="1"/>
    <s v="Travel_Rarely"/>
    <n v="970"/>
    <s v="Research &amp; Development"/>
    <n v="8"/>
    <n v="2"/>
    <s v="Medical"/>
    <n v="1"/>
    <n v="757"/>
    <n v="2"/>
    <x v="0"/>
    <n v="96"/>
    <n v="3"/>
    <x v="0"/>
    <x v="4"/>
    <x v="2"/>
    <s v="Single"/>
    <n v="6142"/>
    <n v="7360"/>
    <n v="3"/>
    <s v="Y"/>
    <s v="No"/>
    <n v="11"/>
    <n v="3"/>
    <n v="4"/>
    <n v="80"/>
    <n v="0"/>
    <n v="10"/>
    <n v="2"/>
    <n v="3"/>
    <x v="8"/>
    <n v="1"/>
    <n v="4"/>
    <n v="3"/>
    <x v="3"/>
    <n v="0"/>
    <n v="0"/>
    <x v="4"/>
    <n v="1"/>
    <m/>
    <m/>
  </r>
  <r>
    <n v="23"/>
    <x v="1"/>
    <s v="Travel_Rarely"/>
    <n v="650"/>
    <s v="Research &amp; Development"/>
    <n v="9"/>
    <n v="1"/>
    <s v="Medical"/>
    <n v="1"/>
    <n v="758"/>
    <n v="2"/>
    <x v="1"/>
    <n v="37"/>
    <n v="3"/>
    <x v="1"/>
    <x v="2"/>
    <x v="3"/>
    <s v="Married"/>
    <n v="2500"/>
    <n v="4344"/>
    <n v="1"/>
    <s v="Y"/>
    <s v="No"/>
    <n v="14"/>
    <n v="3"/>
    <n v="4"/>
    <n v="80"/>
    <n v="1"/>
    <n v="5"/>
    <n v="2"/>
    <n v="4"/>
    <x v="9"/>
    <n v="3"/>
    <n v="0"/>
    <n v="2"/>
    <x v="1"/>
    <n v="0"/>
    <n v="0"/>
    <x v="1"/>
    <n v="1"/>
    <m/>
    <m/>
  </r>
  <r>
    <n v="39"/>
    <x v="1"/>
    <s v="Travel_Rarely"/>
    <n v="141"/>
    <s v="Human Resources"/>
    <n v="3"/>
    <n v="3"/>
    <s v="Human Resources"/>
    <n v="1"/>
    <n v="760"/>
    <n v="3"/>
    <x v="0"/>
    <n v="44"/>
    <n v="4"/>
    <x v="0"/>
    <x v="8"/>
    <x v="1"/>
    <s v="Married"/>
    <n v="6389"/>
    <n v="18767"/>
    <n v="9"/>
    <s v="Y"/>
    <s v="No"/>
    <n v="15"/>
    <n v="3"/>
    <n v="3"/>
    <n v="80"/>
    <n v="1"/>
    <n v="12"/>
    <n v="3"/>
    <n v="1"/>
    <x v="3"/>
    <n v="3"/>
    <n v="3"/>
    <n v="6"/>
    <x v="5"/>
    <n v="0"/>
    <n v="0"/>
    <x v="4"/>
    <n v="1"/>
    <m/>
    <m/>
  </r>
  <r>
    <n v="56"/>
    <x v="1"/>
    <s v="Travel_Rarely"/>
    <n v="832"/>
    <s v="Research &amp; Development"/>
    <n v="9"/>
    <n v="3"/>
    <s v="Medical"/>
    <n v="1"/>
    <n v="762"/>
    <n v="3"/>
    <x v="1"/>
    <n v="81"/>
    <n v="3"/>
    <x v="3"/>
    <x v="4"/>
    <x v="0"/>
    <s v="Married"/>
    <n v="11103"/>
    <n v="20420"/>
    <n v="7"/>
    <s v="Y"/>
    <s v="No"/>
    <n v="11"/>
    <n v="3"/>
    <n v="3"/>
    <n v="80"/>
    <n v="0"/>
    <n v="30"/>
    <n v="1"/>
    <n v="2"/>
    <x v="1"/>
    <n v="7"/>
    <n v="1"/>
    <n v="1"/>
    <x v="3"/>
    <n v="0"/>
    <n v="0"/>
    <x v="2"/>
    <n v="1"/>
    <m/>
    <m/>
  </r>
  <r>
    <n v="40"/>
    <x v="1"/>
    <s v="Travel_Rarely"/>
    <n v="804"/>
    <s v="Research &amp; Development"/>
    <n v="2"/>
    <n v="1"/>
    <s v="Medical"/>
    <n v="1"/>
    <n v="763"/>
    <n v="4"/>
    <x v="0"/>
    <n v="86"/>
    <n v="2"/>
    <x v="1"/>
    <x v="1"/>
    <x v="0"/>
    <s v="Single"/>
    <n v="2342"/>
    <n v="22929"/>
    <n v="0"/>
    <s v="Y"/>
    <s v="Yes"/>
    <n v="20"/>
    <n v="4"/>
    <n v="4"/>
    <n v="80"/>
    <n v="0"/>
    <n v="5"/>
    <n v="2"/>
    <n v="2"/>
    <x v="9"/>
    <n v="2"/>
    <n v="2"/>
    <n v="3"/>
    <x v="1"/>
    <n v="0"/>
    <n v="0"/>
    <x v="1"/>
    <n v="1"/>
    <m/>
    <m/>
  </r>
  <r>
    <n v="27"/>
    <x v="1"/>
    <s v="Travel_Rarely"/>
    <n v="975"/>
    <s v="Research &amp; Development"/>
    <n v="7"/>
    <n v="3"/>
    <s v="Medical"/>
    <n v="1"/>
    <n v="764"/>
    <n v="4"/>
    <x v="0"/>
    <n v="55"/>
    <n v="2"/>
    <x v="0"/>
    <x v="4"/>
    <x v="3"/>
    <s v="Single"/>
    <n v="6811"/>
    <n v="23398"/>
    <n v="8"/>
    <s v="Y"/>
    <s v="No"/>
    <n v="19"/>
    <n v="3"/>
    <n v="1"/>
    <n v="80"/>
    <n v="0"/>
    <n v="9"/>
    <n v="2"/>
    <n v="1"/>
    <x v="5"/>
    <n v="6"/>
    <n v="0"/>
    <n v="7"/>
    <x v="3"/>
    <n v="0"/>
    <n v="0"/>
    <x v="4"/>
    <n v="1"/>
    <m/>
    <m/>
  </r>
  <r>
    <n v="29"/>
    <x v="1"/>
    <s v="Travel_Rarely"/>
    <n v="1090"/>
    <s v="Sales"/>
    <n v="10"/>
    <n v="3"/>
    <s v="Marketing"/>
    <n v="1"/>
    <n v="766"/>
    <n v="4"/>
    <x v="1"/>
    <n v="83"/>
    <n v="3"/>
    <x v="1"/>
    <x v="6"/>
    <x v="1"/>
    <s v="Divorced"/>
    <n v="2297"/>
    <n v="17967"/>
    <n v="1"/>
    <s v="Y"/>
    <s v="No"/>
    <n v="14"/>
    <n v="3"/>
    <n v="4"/>
    <n v="80"/>
    <n v="2"/>
    <n v="2"/>
    <n v="2"/>
    <n v="3"/>
    <x v="4"/>
    <n v="2"/>
    <n v="2"/>
    <n v="2"/>
    <x v="0"/>
    <n v="0"/>
    <n v="0"/>
    <x v="1"/>
    <n v="1"/>
    <m/>
    <m/>
  </r>
  <r>
    <n v="53"/>
    <x v="1"/>
    <s v="Travel_Rarely"/>
    <n v="346"/>
    <s v="Research &amp; Development"/>
    <n v="6"/>
    <n v="3"/>
    <s v="Life Sciences"/>
    <n v="1"/>
    <n v="769"/>
    <n v="4"/>
    <x v="1"/>
    <n v="86"/>
    <n v="3"/>
    <x v="0"/>
    <x v="2"/>
    <x v="0"/>
    <s v="Single"/>
    <n v="2450"/>
    <n v="10919"/>
    <n v="2"/>
    <s v="Y"/>
    <s v="No"/>
    <n v="17"/>
    <n v="3"/>
    <n v="4"/>
    <n v="80"/>
    <n v="0"/>
    <n v="19"/>
    <n v="4"/>
    <n v="3"/>
    <x v="4"/>
    <n v="2"/>
    <n v="2"/>
    <n v="2"/>
    <x v="1"/>
    <n v="0"/>
    <n v="0"/>
    <x v="1"/>
    <n v="1"/>
    <m/>
    <m/>
  </r>
  <r>
    <n v="35"/>
    <x v="1"/>
    <s v="Non-Travel"/>
    <n v="1225"/>
    <s v="Research &amp; Development"/>
    <n v="2"/>
    <n v="4"/>
    <s v="Life Sciences"/>
    <n v="1"/>
    <n v="771"/>
    <n v="4"/>
    <x v="0"/>
    <n v="61"/>
    <n v="3"/>
    <x v="0"/>
    <x v="4"/>
    <x v="3"/>
    <s v="Divorced"/>
    <n v="5093"/>
    <n v="4761"/>
    <n v="2"/>
    <s v="Y"/>
    <s v="No"/>
    <n v="11"/>
    <n v="3"/>
    <n v="1"/>
    <n v="80"/>
    <n v="1"/>
    <n v="16"/>
    <n v="2"/>
    <n v="4"/>
    <x v="6"/>
    <n v="0"/>
    <n v="0"/>
    <n v="0"/>
    <x v="3"/>
    <n v="0"/>
    <n v="0"/>
    <x v="0"/>
    <n v="1"/>
    <m/>
    <m/>
  </r>
  <r>
    <n v="32"/>
    <x v="1"/>
    <s v="Travel_Frequently"/>
    <n v="430"/>
    <s v="Research &amp; Development"/>
    <n v="24"/>
    <n v="4"/>
    <s v="Life Sciences"/>
    <n v="1"/>
    <n v="772"/>
    <n v="1"/>
    <x v="1"/>
    <n v="80"/>
    <n v="3"/>
    <x v="0"/>
    <x v="2"/>
    <x v="0"/>
    <s v="Married"/>
    <n v="5309"/>
    <n v="21146"/>
    <n v="1"/>
    <s v="Y"/>
    <s v="No"/>
    <n v="15"/>
    <n v="3"/>
    <n v="4"/>
    <n v="80"/>
    <n v="2"/>
    <n v="10"/>
    <n v="2"/>
    <n v="3"/>
    <x v="1"/>
    <n v="8"/>
    <n v="4"/>
    <n v="7"/>
    <x v="1"/>
    <n v="0"/>
    <n v="0"/>
    <x v="0"/>
    <n v="1"/>
    <m/>
    <m/>
  </r>
  <r>
    <n v="38"/>
    <x v="1"/>
    <s v="Travel_Rarely"/>
    <n v="268"/>
    <s v="Research &amp; Development"/>
    <n v="2"/>
    <n v="5"/>
    <s v="Medical"/>
    <n v="1"/>
    <n v="773"/>
    <n v="4"/>
    <x v="1"/>
    <n v="92"/>
    <n v="3"/>
    <x v="1"/>
    <x v="1"/>
    <x v="2"/>
    <s v="Married"/>
    <n v="3057"/>
    <n v="20471"/>
    <n v="6"/>
    <s v="Y"/>
    <s v="Yes"/>
    <n v="13"/>
    <n v="3"/>
    <n v="2"/>
    <n v="80"/>
    <n v="1"/>
    <n v="6"/>
    <n v="0"/>
    <n v="1"/>
    <x v="6"/>
    <n v="0"/>
    <n v="0"/>
    <n v="1"/>
    <x v="1"/>
    <n v="0"/>
    <n v="0"/>
    <x v="0"/>
    <n v="1"/>
    <m/>
    <m/>
  </r>
  <r>
    <n v="34"/>
    <x v="1"/>
    <s v="Travel_Rarely"/>
    <n v="167"/>
    <s v="Research &amp; Development"/>
    <n v="8"/>
    <n v="5"/>
    <s v="Life Sciences"/>
    <n v="1"/>
    <n v="775"/>
    <n v="2"/>
    <x v="0"/>
    <n v="32"/>
    <n v="3"/>
    <x v="0"/>
    <x v="3"/>
    <x v="3"/>
    <s v="Divorced"/>
    <n v="5121"/>
    <n v="4187"/>
    <n v="3"/>
    <s v="Y"/>
    <s v="No"/>
    <n v="14"/>
    <n v="3"/>
    <n v="3"/>
    <n v="80"/>
    <n v="1"/>
    <n v="7"/>
    <n v="3"/>
    <n v="3"/>
    <x v="2"/>
    <n v="0"/>
    <n v="0"/>
    <n v="0"/>
    <x v="2"/>
    <n v="0"/>
    <n v="0"/>
    <x v="0"/>
    <n v="1"/>
    <m/>
    <m/>
  </r>
  <r>
    <n v="52"/>
    <x v="1"/>
    <s v="Travel_Rarely"/>
    <n v="621"/>
    <s v="Sales"/>
    <n v="3"/>
    <n v="4"/>
    <s v="Marketing"/>
    <n v="1"/>
    <n v="776"/>
    <n v="3"/>
    <x v="1"/>
    <n v="31"/>
    <n v="2"/>
    <x v="3"/>
    <x v="5"/>
    <x v="3"/>
    <s v="Married"/>
    <n v="16856"/>
    <n v="10084"/>
    <n v="1"/>
    <s v="Y"/>
    <s v="No"/>
    <n v="11"/>
    <n v="3"/>
    <n v="1"/>
    <n v="80"/>
    <n v="0"/>
    <n v="34"/>
    <n v="3"/>
    <n v="4"/>
    <x v="33"/>
    <n v="6"/>
    <n v="1"/>
    <n v="16"/>
    <x v="4"/>
    <n v="0"/>
    <n v="0"/>
    <x v="3"/>
    <n v="1"/>
    <m/>
    <m/>
  </r>
  <r>
    <n v="33"/>
    <x v="0"/>
    <s v="Travel_Rarely"/>
    <n v="527"/>
    <s v="Research &amp; Development"/>
    <n v="1"/>
    <n v="4"/>
    <s v="Other"/>
    <n v="1"/>
    <n v="780"/>
    <n v="4"/>
    <x v="1"/>
    <n v="63"/>
    <n v="3"/>
    <x v="1"/>
    <x v="1"/>
    <x v="0"/>
    <s v="Single"/>
    <n v="2686"/>
    <n v="5207"/>
    <n v="1"/>
    <s v="Y"/>
    <s v="Yes"/>
    <n v="13"/>
    <n v="3"/>
    <n v="3"/>
    <n v="80"/>
    <n v="0"/>
    <n v="10"/>
    <n v="2"/>
    <n v="2"/>
    <x v="1"/>
    <n v="9"/>
    <n v="7"/>
    <n v="8"/>
    <x v="1"/>
    <n v="1"/>
    <n v="48348"/>
    <x v="1"/>
    <n v="1"/>
    <m/>
    <m/>
  </r>
  <r>
    <n v="25"/>
    <x v="1"/>
    <s v="Travel_Rarely"/>
    <n v="883"/>
    <s v="Sales"/>
    <n v="26"/>
    <n v="1"/>
    <s v="Medical"/>
    <n v="1"/>
    <n v="781"/>
    <n v="3"/>
    <x v="0"/>
    <n v="32"/>
    <n v="3"/>
    <x v="0"/>
    <x v="0"/>
    <x v="0"/>
    <s v="Single"/>
    <n v="6180"/>
    <n v="22807"/>
    <n v="1"/>
    <s v="Y"/>
    <s v="No"/>
    <n v="23"/>
    <n v="4"/>
    <n v="2"/>
    <n v="80"/>
    <n v="0"/>
    <n v="6"/>
    <n v="5"/>
    <n v="2"/>
    <x v="0"/>
    <n v="5"/>
    <n v="1"/>
    <n v="4"/>
    <x v="0"/>
    <n v="0"/>
    <n v="0"/>
    <x v="4"/>
    <n v="1"/>
    <m/>
    <m/>
  </r>
  <r>
    <n v="45"/>
    <x v="1"/>
    <s v="Travel_Rarely"/>
    <n v="954"/>
    <s v="Sales"/>
    <n v="2"/>
    <n v="2"/>
    <s v="Technical Degree"/>
    <n v="1"/>
    <n v="783"/>
    <n v="2"/>
    <x v="1"/>
    <n v="46"/>
    <n v="1"/>
    <x v="0"/>
    <x v="6"/>
    <x v="2"/>
    <s v="Single"/>
    <n v="6632"/>
    <n v="12388"/>
    <n v="0"/>
    <s v="Y"/>
    <s v="No"/>
    <n v="13"/>
    <n v="3"/>
    <n v="1"/>
    <n v="80"/>
    <n v="0"/>
    <n v="9"/>
    <n v="3"/>
    <n v="3"/>
    <x v="3"/>
    <n v="7"/>
    <n v="3"/>
    <n v="1"/>
    <x v="0"/>
    <n v="0"/>
    <n v="0"/>
    <x v="4"/>
    <n v="1"/>
    <m/>
    <m/>
  </r>
  <r>
    <n v="23"/>
    <x v="1"/>
    <s v="Travel_Rarely"/>
    <n v="310"/>
    <s v="Research &amp; Development"/>
    <n v="10"/>
    <n v="1"/>
    <s v="Medical"/>
    <n v="1"/>
    <n v="784"/>
    <n v="1"/>
    <x v="1"/>
    <n v="79"/>
    <n v="4"/>
    <x v="1"/>
    <x v="1"/>
    <x v="2"/>
    <s v="Single"/>
    <n v="3505"/>
    <n v="19630"/>
    <n v="1"/>
    <s v="Y"/>
    <s v="No"/>
    <n v="18"/>
    <n v="3"/>
    <n v="4"/>
    <n v="80"/>
    <n v="0"/>
    <n v="2"/>
    <n v="3"/>
    <n v="3"/>
    <x v="4"/>
    <n v="2"/>
    <n v="0"/>
    <n v="2"/>
    <x v="1"/>
    <n v="0"/>
    <n v="0"/>
    <x v="0"/>
    <n v="1"/>
    <m/>
    <m/>
  </r>
  <r>
    <n v="47"/>
    <x v="0"/>
    <s v="Travel_Frequently"/>
    <n v="719"/>
    <s v="Sales"/>
    <n v="27"/>
    <n v="2"/>
    <s v="Life Sciences"/>
    <n v="1"/>
    <n v="785"/>
    <n v="2"/>
    <x v="0"/>
    <n v="77"/>
    <n v="4"/>
    <x v="0"/>
    <x v="0"/>
    <x v="2"/>
    <s v="Single"/>
    <n v="6397"/>
    <n v="10339"/>
    <n v="4"/>
    <s v="Y"/>
    <s v="Yes"/>
    <n v="12"/>
    <n v="3"/>
    <n v="4"/>
    <n v="80"/>
    <n v="0"/>
    <n v="8"/>
    <n v="2"/>
    <n v="3"/>
    <x v="8"/>
    <n v="4"/>
    <n v="1"/>
    <n v="3"/>
    <x v="0"/>
    <n v="1"/>
    <n v="115146"/>
    <x v="4"/>
    <n v="1"/>
    <m/>
    <m/>
  </r>
  <r>
    <n v="34"/>
    <x v="1"/>
    <s v="Travel_Rarely"/>
    <n v="304"/>
    <s v="Sales"/>
    <n v="2"/>
    <n v="3"/>
    <s v="Other"/>
    <n v="1"/>
    <n v="786"/>
    <n v="4"/>
    <x v="1"/>
    <n v="60"/>
    <n v="3"/>
    <x v="0"/>
    <x v="0"/>
    <x v="0"/>
    <s v="Single"/>
    <n v="6274"/>
    <n v="18686"/>
    <n v="1"/>
    <s v="Y"/>
    <s v="No"/>
    <n v="22"/>
    <n v="4"/>
    <n v="3"/>
    <n v="80"/>
    <n v="0"/>
    <n v="6"/>
    <n v="5"/>
    <n v="3"/>
    <x v="0"/>
    <n v="5"/>
    <n v="1"/>
    <n v="4"/>
    <x v="0"/>
    <n v="0"/>
    <n v="0"/>
    <x v="4"/>
    <n v="1"/>
    <m/>
    <m/>
  </r>
  <r>
    <n v="55"/>
    <x v="0"/>
    <s v="Travel_Rarely"/>
    <n v="725"/>
    <s v="Research &amp; Development"/>
    <n v="2"/>
    <n v="3"/>
    <s v="Medical"/>
    <n v="1"/>
    <n v="787"/>
    <n v="4"/>
    <x v="1"/>
    <n v="78"/>
    <n v="3"/>
    <x v="4"/>
    <x v="5"/>
    <x v="3"/>
    <s v="Married"/>
    <n v="19859"/>
    <n v="21199"/>
    <n v="5"/>
    <s v="Y"/>
    <s v="Yes"/>
    <n v="13"/>
    <n v="3"/>
    <n v="4"/>
    <n v="80"/>
    <n v="1"/>
    <n v="24"/>
    <n v="2"/>
    <n v="3"/>
    <x v="8"/>
    <n v="2"/>
    <n v="1"/>
    <n v="4"/>
    <x v="4"/>
    <n v="1"/>
    <n v="357462"/>
    <x v="3"/>
    <n v="1"/>
    <m/>
    <m/>
  </r>
  <r>
    <n v="36"/>
    <x v="1"/>
    <s v="Non-Travel"/>
    <n v="1434"/>
    <s v="Sales"/>
    <n v="8"/>
    <n v="4"/>
    <s v="Life Sciences"/>
    <n v="1"/>
    <n v="789"/>
    <n v="1"/>
    <x v="1"/>
    <n v="76"/>
    <n v="2"/>
    <x v="2"/>
    <x v="0"/>
    <x v="3"/>
    <s v="Single"/>
    <n v="7587"/>
    <n v="14229"/>
    <n v="1"/>
    <s v="Y"/>
    <s v="No"/>
    <n v="15"/>
    <n v="3"/>
    <n v="2"/>
    <n v="80"/>
    <n v="0"/>
    <n v="10"/>
    <n v="1"/>
    <n v="3"/>
    <x v="1"/>
    <n v="7"/>
    <n v="0"/>
    <n v="9"/>
    <x v="0"/>
    <n v="0"/>
    <n v="0"/>
    <x v="4"/>
    <n v="1"/>
    <m/>
    <m/>
  </r>
  <r>
    <n v="52"/>
    <x v="1"/>
    <s v="Non-Travel"/>
    <n v="715"/>
    <s v="Research &amp; Development"/>
    <n v="19"/>
    <n v="4"/>
    <s v="Medical"/>
    <n v="1"/>
    <n v="791"/>
    <n v="4"/>
    <x v="1"/>
    <n v="41"/>
    <n v="3"/>
    <x v="1"/>
    <x v="1"/>
    <x v="0"/>
    <s v="Married"/>
    <n v="4258"/>
    <n v="26589"/>
    <n v="0"/>
    <s v="Y"/>
    <s v="No"/>
    <n v="18"/>
    <n v="3"/>
    <n v="1"/>
    <n v="80"/>
    <n v="1"/>
    <n v="5"/>
    <n v="3"/>
    <n v="3"/>
    <x v="9"/>
    <n v="3"/>
    <n v="1"/>
    <n v="2"/>
    <x v="1"/>
    <n v="0"/>
    <n v="0"/>
    <x v="0"/>
    <n v="1"/>
    <m/>
    <m/>
  </r>
  <r>
    <n v="26"/>
    <x v="1"/>
    <s v="Travel_Frequently"/>
    <n v="575"/>
    <s v="Research &amp; Development"/>
    <n v="1"/>
    <n v="2"/>
    <s v="Life Sciences"/>
    <n v="1"/>
    <n v="792"/>
    <n v="1"/>
    <x v="0"/>
    <n v="71"/>
    <n v="1"/>
    <x v="1"/>
    <x v="2"/>
    <x v="0"/>
    <s v="Divorced"/>
    <n v="4364"/>
    <n v="5288"/>
    <n v="3"/>
    <s v="Y"/>
    <s v="No"/>
    <n v="14"/>
    <n v="3"/>
    <n v="1"/>
    <n v="80"/>
    <n v="1"/>
    <n v="5"/>
    <n v="2"/>
    <n v="3"/>
    <x v="4"/>
    <n v="2"/>
    <n v="2"/>
    <n v="0"/>
    <x v="1"/>
    <n v="0"/>
    <n v="0"/>
    <x v="0"/>
    <n v="1"/>
    <m/>
    <m/>
  </r>
  <r>
    <n v="29"/>
    <x v="1"/>
    <s v="Travel_Rarely"/>
    <n v="657"/>
    <s v="Research &amp; Development"/>
    <n v="27"/>
    <n v="3"/>
    <s v="Medical"/>
    <n v="1"/>
    <n v="793"/>
    <n v="2"/>
    <x v="0"/>
    <n v="66"/>
    <n v="3"/>
    <x v="0"/>
    <x v="4"/>
    <x v="2"/>
    <s v="Married"/>
    <n v="4335"/>
    <n v="25549"/>
    <n v="4"/>
    <s v="Y"/>
    <s v="No"/>
    <n v="12"/>
    <n v="3"/>
    <n v="1"/>
    <n v="80"/>
    <n v="1"/>
    <n v="11"/>
    <n v="3"/>
    <n v="2"/>
    <x v="3"/>
    <n v="7"/>
    <n v="1"/>
    <n v="1"/>
    <x v="3"/>
    <n v="0"/>
    <n v="0"/>
    <x v="0"/>
    <n v="1"/>
    <m/>
    <m/>
  </r>
  <r>
    <n v="26"/>
    <x v="0"/>
    <s v="Travel_Rarely"/>
    <n v="1146"/>
    <s v="Sales"/>
    <n v="8"/>
    <n v="3"/>
    <s v="Technical Degree"/>
    <n v="1"/>
    <n v="796"/>
    <n v="4"/>
    <x v="1"/>
    <n v="38"/>
    <n v="2"/>
    <x v="0"/>
    <x v="0"/>
    <x v="3"/>
    <s v="Single"/>
    <n v="5326"/>
    <n v="3064"/>
    <n v="6"/>
    <s v="Y"/>
    <s v="No"/>
    <n v="17"/>
    <n v="3"/>
    <n v="3"/>
    <n v="80"/>
    <n v="0"/>
    <n v="6"/>
    <n v="2"/>
    <n v="2"/>
    <x v="9"/>
    <n v="3"/>
    <n v="1"/>
    <n v="2"/>
    <x v="0"/>
    <n v="1"/>
    <n v="95868"/>
    <x v="0"/>
    <n v="1"/>
    <m/>
    <m/>
  </r>
  <r>
    <n v="34"/>
    <x v="1"/>
    <s v="Travel_Rarely"/>
    <n v="182"/>
    <s v="Research &amp; Development"/>
    <n v="1"/>
    <n v="4"/>
    <s v="Life Sciences"/>
    <n v="1"/>
    <n v="797"/>
    <n v="2"/>
    <x v="0"/>
    <n v="72"/>
    <n v="4"/>
    <x v="1"/>
    <x v="1"/>
    <x v="0"/>
    <s v="Single"/>
    <n v="3280"/>
    <n v="13551"/>
    <n v="2"/>
    <s v="Y"/>
    <s v="No"/>
    <n v="16"/>
    <n v="3"/>
    <n v="3"/>
    <n v="80"/>
    <n v="0"/>
    <n v="10"/>
    <n v="2"/>
    <n v="3"/>
    <x v="9"/>
    <n v="2"/>
    <n v="1"/>
    <n v="3"/>
    <x v="1"/>
    <n v="0"/>
    <n v="0"/>
    <x v="0"/>
    <n v="1"/>
    <m/>
    <m/>
  </r>
  <r>
    <n v="54"/>
    <x v="1"/>
    <s v="Travel_Rarely"/>
    <n v="376"/>
    <s v="Research &amp; Development"/>
    <n v="19"/>
    <n v="4"/>
    <s v="Medical"/>
    <n v="1"/>
    <n v="799"/>
    <n v="4"/>
    <x v="0"/>
    <n v="95"/>
    <n v="3"/>
    <x v="0"/>
    <x v="3"/>
    <x v="3"/>
    <s v="Divorced"/>
    <n v="5485"/>
    <n v="22670"/>
    <n v="9"/>
    <s v="Y"/>
    <s v="Yes"/>
    <n v="11"/>
    <n v="3"/>
    <n v="2"/>
    <n v="80"/>
    <n v="2"/>
    <n v="9"/>
    <n v="4"/>
    <n v="3"/>
    <x v="8"/>
    <n v="3"/>
    <n v="1"/>
    <n v="4"/>
    <x v="2"/>
    <n v="0"/>
    <n v="0"/>
    <x v="0"/>
    <n v="1"/>
    <m/>
    <m/>
  </r>
  <r>
    <n v="27"/>
    <x v="1"/>
    <s v="Travel_Frequently"/>
    <n v="829"/>
    <s v="Sales"/>
    <n v="8"/>
    <n v="1"/>
    <s v="Marketing"/>
    <n v="1"/>
    <n v="800"/>
    <n v="3"/>
    <x v="1"/>
    <n v="84"/>
    <n v="3"/>
    <x v="0"/>
    <x v="0"/>
    <x v="0"/>
    <s v="Married"/>
    <n v="4342"/>
    <n v="24008"/>
    <n v="0"/>
    <s v="Y"/>
    <s v="No"/>
    <n v="19"/>
    <n v="3"/>
    <n v="2"/>
    <n v="80"/>
    <n v="1"/>
    <n v="5"/>
    <n v="3"/>
    <n v="3"/>
    <x v="9"/>
    <n v="2"/>
    <n v="1"/>
    <n v="1"/>
    <x v="0"/>
    <n v="0"/>
    <n v="0"/>
    <x v="0"/>
    <n v="1"/>
    <m/>
    <m/>
  </r>
  <r>
    <n v="37"/>
    <x v="1"/>
    <s v="Travel_Rarely"/>
    <n v="571"/>
    <s v="Research &amp; Development"/>
    <n v="10"/>
    <n v="1"/>
    <s v="Life Sciences"/>
    <n v="1"/>
    <n v="802"/>
    <n v="4"/>
    <x v="0"/>
    <n v="82"/>
    <n v="3"/>
    <x v="1"/>
    <x v="1"/>
    <x v="3"/>
    <s v="Divorced"/>
    <n v="2782"/>
    <n v="19905"/>
    <n v="0"/>
    <s v="Y"/>
    <s v="Yes"/>
    <n v="13"/>
    <n v="3"/>
    <n v="2"/>
    <n v="80"/>
    <n v="2"/>
    <n v="6"/>
    <n v="3"/>
    <n v="2"/>
    <x v="8"/>
    <n v="3"/>
    <n v="4"/>
    <n v="3"/>
    <x v="1"/>
    <n v="0"/>
    <n v="0"/>
    <x v="1"/>
    <n v="1"/>
    <m/>
    <m/>
  </r>
  <r>
    <n v="38"/>
    <x v="1"/>
    <s v="Travel_Frequently"/>
    <n v="240"/>
    <s v="Research &amp; Development"/>
    <n v="2"/>
    <n v="4"/>
    <s v="Life Sciences"/>
    <n v="1"/>
    <n v="803"/>
    <n v="1"/>
    <x v="0"/>
    <n v="75"/>
    <n v="4"/>
    <x v="0"/>
    <x v="3"/>
    <x v="3"/>
    <s v="Single"/>
    <n v="5980"/>
    <n v="26085"/>
    <n v="6"/>
    <s v="Y"/>
    <s v="Yes"/>
    <n v="12"/>
    <n v="3"/>
    <n v="4"/>
    <n v="80"/>
    <n v="0"/>
    <n v="17"/>
    <n v="2"/>
    <n v="3"/>
    <x v="15"/>
    <n v="7"/>
    <n v="4"/>
    <n v="12"/>
    <x v="2"/>
    <n v="0"/>
    <n v="0"/>
    <x v="0"/>
    <n v="1"/>
    <m/>
    <m/>
  </r>
  <r>
    <n v="34"/>
    <x v="1"/>
    <s v="Travel_Rarely"/>
    <n v="121"/>
    <s v="Research &amp; Development"/>
    <n v="2"/>
    <n v="4"/>
    <s v="Medical"/>
    <n v="1"/>
    <n v="804"/>
    <n v="3"/>
    <x v="0"/>
    <n v="86"/>
    <n v="2"/>
    <x v="1"/>
    <x v="1"/>
    <x v="3"/>
    <s v="Single"/>
    <n v="4381"/>
    <n v="7530"/>
    <n v="1"/>
    <s v="Y"/>
    <s v="No"/>
    <n v="11"/>
    <n v="3"/>
    <n v="3"/>
    <n v="80"/>
    <n v="0"/>
    <n v="6"/>
    <n v="3"/>
    <n v="3"/>
    <x v="0"/>
    <n v="5"/>
    <n v="1"/>
    <n v="3"/>
    <x v="1"/>
    <n v="0"/>
    <n v="0"/>
    <x v="0"/>
    <n v="1"/>
    <m/>
    <m/>
  </r>
  <r>
    <n v="35"/>
    <x v="1"/>
    <s v="Travel_Rarely"/>
    <n v="384"/>
    <s v="Sales"/>
    <n v="8"/>
    <n v="4"/>
    <s v="Life Sciences"/>
    <n v="1"/>
    <n v="805"/>
    <n v="1"/>
    <x v="0"/>
    <n v="72"/>
    <n v="3"/>
    <x v="1"/>
    <x v="6"/>
    <x v="0"/>
    <s v="Married"/>
    <n v="2572"/>
    <n v="20317"/>
    <n v="1"/>
    <s v="Y"/>
    <s v="No"/>
    <n v="16"/>
    <n v="3"/>
    <n v="2"/>
    <n v="80"/>
    <n v="1"/>
    <n v="3"/>
    <n v="1"/>
    <n v="2"/>
    <x v="11"/>
    <n v="2"/>
    <n v="0"/>
    <n v="2"/>
    <x v="0"/>
    <n v="0"/>
    <n v="0"/>
    <x v="1"/>
    <n v="1"/>
    <m/>
    <m/>
  </r>
  <r>
    <n v="30"/>
    <x v="1"/>
    <s v="Travel_Rarely"/>
    <n v="921"/>
    <s v="Research &amp; Development"/>
    <n v="1"/>
    <n v="3"/>
    <s v="Life Sciences"/>
    <n v="1"/>
    <n v="806"/>
    <n v="4"/>
    <x v="1"/>
    <n v="38"/>
    <n v="1"/>
    <x v="1"/>
    <x v="2"/>
    <x v="2"/>
    <s v="Married"/>
    <n v="3833"/>
    <n v="24375"/>
    <n v="3"/>
    <s v="Y"/>
    <s v="No"/>
    <n v="21"/>
    <n v="4"/>
    <n v="3"/>
    <n v="80"/>
    <n v="2"/>
    <n v="7"/>
    <n v="2"/>
    <n v="3"/>
    <x v="4"/>
    <n v="2"/>
    <n v="0"/>
    <n v="2"/>
    <x v="1"/>
    <n v="0"/>
    <n v="0"/>
    <x v="0"/>
    <n v="1"/>
    <m/>
    <m/>
  </r>
  <r>
    <n v="40"/>
    <x v="1"/>
    <s v="Travel_Frequently"/>
    <n v="791"/>
    <s v="Research &amp; Development"/>
    <n v="2"/>
    <n v="2"/>
    <s v="Medical"/>
    <n v="1"/>
    <n v="807"/>
    <n v="3"/>
    <x v="0"/>
    <n v="38"/>
    <n v="4"/>
    <x v="0"/>
    <x v="4"/>
    <x v="1"/>
    <s v="Married"/>
    <n v="4244"/>
    <n v="9931"/>
    <n v="1"/>
    <s v="Y"/>
    <s v="No"/>
    <n v="24"/>
    <n v="4"/>
    <n v="4"/>
    <n v="80"/>
    <n v="1"/>
    <n v="8"/>
    <n v="2"/>
    <n v="3"/>
    <x v="3"/>
    <n v="7"/>
    <n v="3"/>
    <n v="7"/>
    <x v="3"/>
    <n v="0"/>
    <n v="0"/>
    <x v="0"/>
    <n v="1"/>
    <m/>
    <m/>
  </r>
  <r>
    <n v="34"/>
    <x v="1"/>
    <s v="Travel_Rarely"/>
    <n v="1111"/>
    <s v="Sales"/>
    <n v="8"/>
    <n v="2"/>
    <s v="Life Sciences"/>
    <n v="1"/>
    <n v="808"/>
    <n v="3"/>
    <x v="0"/>
    <n v="93"/>
    <n v="3"/>
    <x v="0"/>
    <x v="0"/>
    <x v="3"/>
    <s v="Married"/>
    <n v="6500"/>
    <n v="13305"/>
    <n v="5"/>
    <s v="Y"/>
    <s v="No"/>
    <n v="17"/>
    <n v="3"/>
    <n v="2"/>
    <n v="80"/>
    <n v="1"/>
    <n v="6"/>
    <n v="1"/>
    <n v="3"/>
    <x v="11"/>
    <n v="2"/>
    <n v="1"/>
    <n v="2"/>
    <x v="0"/>
    <n v="0"/>
    <n v="0"/>
    <x v="4"/>
    <n v="1"/>
    <m/>
    <m/>
  </r>
  <r>
    <n v="42"/>
    <x v="1"/>
    <s v="Travel_Frequently"/>
    <n v="570"/>
    <s v="Research &amp; Development"/>
    <n v="8"/>
    <n v="3"/>
    <s v="Life Sciences"/>
    <n v="1"/>
    <n v="809"/>
    <n v="2"/>
    <x v="1"/>
    <n v="66"/>
    <n v="3"/>
    <x v="4"/>
    <x v="5"/>
    <x v="0"/>
    <s v="Divorced"/>
    <n v="18430"/>
    <n v="16225"/>
    <n v="1"/>
    <s v="Y"/>
    <s v="No"/>
    <n v="13"/>
    <n v="3"/>
    <n v="2"/>
    <n v="80"/>
    <n v="1"/>
    <n v="24"/>
    <n v="4"/>
    <n v="2"/>
    <x v="25"/>
    <n v="7"/>
    <n v="14"/>
    <n v="9"/>
    <x v="4"/>
    <n v="0"/>
    <n v="0"/>
    <x v="3"/>
    <n v="1"/>
    <m/>
    <m/>
  </r>
  <r>
    <n v="23"/>
    <x v="0"/>
    <s v="Travel_Rarely"/>
    <n v="1243"/>
    <s v="Research &amp; Development"/>
    <n v="6"/>
    <n v="3"/>
    <s v="Life Sciences"/>
    <n v="1"/>
    <n v="811"/>
    <n v="3"/>
    <x v="1"/>
    <n v="63"/>
    <n v="4"/>
    <x v="1"/>
    <x v="2"/>
    <x v="3"/>
    <s v="Married"/>
    <n v="1601"/>
    <n v="3445"/>
    <n v="1"/>
    <s v="Y"/>
    <s v="Yes"/>
    <n v="21"/>
    <n v="4"/>
    <n v="3"/>
    <n v="80"/>
    <n v="2"/>
    <n v="1"/>
    <n v="2"/>
    <n v="3"/>
    <x v="2"/>
    <n v="0"/>
    <n v="0"/>
    <n v="0"/>
    <x v="1"/>
    <n v="1"/>
    <n v="28818"/>
    <x v="1"/>
    <n v="1"/>
    <m/>
    <m/>
  </r>
  <r>
    <n v="24"/>
    <x v="1"/>
    <s v="Non-Travel"/>
    <n v="1092"/>
    <s v="Research &amp; Development"/>
    <n v="9"/>
    <n v="3"/>
    <s v="Life Sciences"/>
    <n v="1"/>
    <n v="812"/>
    <n v="3"/>
    <x v="1"/>
    <n v="60"/>
    <n v="2"/>
    <x v="1"/>
    <x v="2"/>
    <x v="1"/>
    <s v="Divorced"/>
    <n v="2694"/>
    <n v="26551"/>
    <n v="1"/>
    <s v="Y"/>
    <s v="No"/>
    <n v="11"/>
    <n v="3"/>
    <n v="3"/>
    <n v="80"/>
    <n v="3"/>
    <n v="1"/>
    <n v="4"/>
    <n v="3"/>
    <x v="6"/>
    <n v="0"/>
    <n v="0"/>
    <n v="0"/>
    <x v="1"/>
    <n v="0"/>
    <n v="0"/>
    <x v="1"/>
    <n v="1"/>
    <m/>
    <m/>
  </r>
  <r>
    <n v="52"/>
    <x v="1"/>
    <s v="Travel_Rarely"/>
    <n v="1325"/>
    <s v="Research &amp; Development"/>
    <n v="11"/>
    <n v="4"/>
    <s v="Life Sciences"/>
    <n v="1"/>
    <n v="813"/>
    <n v="4"/>
    <x v="0"/>
    <n v="82"/>
    <n v="3"/>
    <x v="0"/>
    <x v="2"/>
    <x v="2"/>
    <s v="Married"/>
    <n v="3149"/>
    <n v="21821"/>
    <n v="8"/>
    <s v="Y"/>
    <s v="No"/>
    <n v="20"/>
    <n v="4"/>
    <n v="2"/>
    <n v="80"/>
    <n v="1"/>
    <n v="9"/>
    <n v="3"/>
    <n v="3"/>
    <x v="8"/>
    <n v="2"/>
    <n v="1"/>
    <n v="4"/>
    <x v="1"/>
    <n v="0"/>
    <n v="0"/>
    <x v="0"/>
    <n v="1"/>
    <m/>
    <m/>
  </r>
  <r>
    <n v="50"/>
    <x v="1"/>
    <s v="Travel_Rarely"/>
    <n v="691"/>
    <s v="Research &amp; Development"/>
    <n v="2"/>
    <n v="3"/>
    <s v="Medical"/>
    <n v="1"/>
    <n v="815"/>
    <n v="3"/>
    <x v="1"/>
    <n v="64"/>
    <n v="3"/>
    <x v="3"/>
    <x v="7"/>
    <x v="2"/>
    <s v="Married"/>
    <n v="17639"/>
    <n v="6881"/>
    <n v="5"/>
    <s v="Y"/>
    <s v="No"/>
    <n v="16"/>
    <n v="3"/>
    <n v="4"/>
    <n v="80"/>
    <n v="0"/>
    <n v="30"/>
    <n v="3"/>
    <n v="3"/>
    <x v="9"/>
    <n v="3"/>
    <n v="0"/>
    <n v="3"/>
    <x v="1"/>
    <n v="0"/>
    <n v="0"/>
    <x v="3"/>
    <n v="1"/>
    <m/>
    <m/>
  </r>
  <r>
    <n v="29"/>
    <x v="0"/>
    <s v="Travel_Rarely"/>
    <n v="805"/>
    <s v="Research &amp; Development"/>
    <n v="1"/>
    <n v="2"/>
    <s v="Life Sciences"/>
    <n v="1"/>
    <n v="816"/>
    <n v="2"/>
    <x v="0"/>
    <n v="36"/>
    <n v="2"/>
    <x v="1"/>
    <x v="2"/>
    <x v="3"/>
    <s v="Married"/>
    <n v="2319"/>
    <n v="6689"/>
    <n v="1"/>
    <s v="Y"/>
    <s v="Yes"/>
    <n v="11"/>
    <n v="3"/>
    <n v="4"/>
    <n v="80"/>
    <n v="1"/>
    <n v="1"/>
    <n v="1"/>
    <n v="3"/>
    <x v="6"/>
    <n v="0"/>
    <n v="0"/>
    <n v="0"/>
    <x v="1"/>
    <n v="1"/>
    <n v="41742"/>
    <x v="1"/>
    <n v="1"/>
    <m/>
    <m/>
  </r>
  <r>
    <n v="33"/>
    <x v="1"/>
    <s v="Travel_Rarely"/>
    <n v="213"/>
    <s v="Research &amp; Development"/>
    <n v="7"/>
    <n v="3"/>
    <s v="Medical"/>
    <n v="1"/>
    <n v="817"/>
    <n v="3"/>
    <x v="1"/>
    <n v="49"/>
    <n v="3"/>
    <x v="2"/>
    <x v="7"/>
    <x v="2"/>
    <s v="Married"/>
    <n v="11691"/>
    <n v="25995"/>
    <n v="0"/>
    <s v="Y"/>
    <s v="No"/>
    <n v="11"/>
    <n v="3"/>
    <n v="4"/>
    <n v="80"/>
    <n v="0"/>
    <n v="14"/>
    <n v="3"/>
    <n v="4"/>
    <x v="20"/>
    <n v="9"/>
    <n v="3"/>
    <n v="7"/>
    <x v="1"/>
    <n v="0"/>
    <n v="0"/>
    <x v="2"/>
    <n v="1"/>
    <m/>
    <m/>
  </r>
  <r>
    <n v="33"/>
    <x v="0"/>
    <s v="Travel_Rarely"/>
    <n v="118"/>
    <s v="Sales"/>
    <n v="16"/>
    <n v="3"/>
    <s v="Marketing"/>
    <n v="1"/>
    <n v="819"/>
    <n v="1"/>
    <x v="0"/>
    <n v="69"/>
    <n v="3"/>
    <x v="0"/>
    <x v="0"/>
    <x v="3"/>
    <s v="Single"/>
    <n v="5324"/>
    <n v="26507"/>
    <n v="5"/>
    <s v="Y"/>
    <s v="No"/>
    <n v="15"/>
    <n v="3"/>
    <n v="3"/>
    <n v="80"/>
    <n v="0"/>
    <n v="6"/>
    <n v="3"/>
    <n v="3"/>
    <x v="11"/>
    <n v="2"/>
    <n v="0"/>
    <n v="2"/>
    <x v="0"/>
    <n v="1"/>
    <n v="95832"/>
    <x v="0"/>
    <n v="1"/>
    <m/>
    <m/>
  </r>
  <r>
    <n v="47"/>
    <x v="1"/>
    <s v="Travel_Rarely"/>
    <n v="202"/>
    <s v="Research &amp; Development"/>
    <n v="2"/>
    <n v="2"/>
    <s v="Other"/>
    <n v="1"/>
    <n v="820"/>
    <n v="3"/>
    <x v="0"/>
    <n v="33"/>
    <n v="3"/>
    <x v="3"/>
    <x v="5"/>
    <x v="0"/>
    <s v="Married"/>
    <n v="16752"/>
    <n v="12982"/>
    <n v="1"/>
    <s v="Y"/>
    <s v="Yes"/>
    <n v="11"/>
    <n v="3"/>
    <n v="3"/>
    <n v="80"/>
    <n v="1"/>
    <n v="26"/>
    <n v="3"/>
    <n v="2"/>
    <x v="34"/>
    <n v="14"/>
    <n v="3"/>
    <n v="0"/>
    <x v="4"/>
    <n v="0"/>
    <n v="0"/>
    <x v="3"/>
    <n v="1"/>
    <m/>
    <m/>
  </r>
  <r>
    <n v="36"/>
    <x v="1"/>
    <s v="Travel_Rarely"/>
    <n v="676"/>
    <s v="Research &amp; Development"/>
    <n v="1"/>
    <n v="3"/>
    <s v="Other"/>
    <n v="1"/>
    <n v="823"/>
    <n v="3"/>
    <x v="0"/>
    <n v="35"/>
    <n v="3"/>
    <x v="0"/>
    <x v="3"/>
    <x v="1"/>
    <s v="Married"/>
    <n v="5228"/>
    <n v="23361"/>
    <n v="0"/>
    <s v="Y"/>
    <s v="No"/>
    <n v="15"/>
    <n v="3"/>
    <n v="1"/>
    <n v="80"/>
    <n v="1"/>
    <n v="10"/>
    <n v="2"/>
    <n v="3"/>
    <x v="7"/>
    <n v="7"/>
    <n v="0"/>
    <n v="5"/>
    <x v="2"/>
    <n v="0"/>
    <n v="0"/>
    <x v="0"/>
    <n v="1"/>
    <m/>
    <m/>
  </r>
  <r>
    <n v="29"/>
    <x v="1"/>
    <s v="Travel_Rarely"/>
    <n v="1252"/>
    <s v="Research &amp; Development"/>
    <n v="23"/>
    <n v="2"/>
    <s v="Life Sciences"/>
    <n v="1"/>
    <n v="824"/>
    <n v="3"/>
    <x v="1"/>
    <n v="81"/>
    <n v="4"/>
    <x v="1"/>
    <x v="1"/>
    <x v="2"/>
    <s v="Married"/>
    <n v="2700"/>
    <n v="23779"/>
    <n v="1"/>
    <s v="Y"/>
    <s v="No"/>
    <n v="24"/>
    <n v="4"/>
    <n v="3"/>
    <n v="80"/>
    <n v="1"/>
    <n v="10"/>
    <n v="3"/>
    <n v="3"/>
    <x v="1"/>
    <n v="7"/>
    <n v="0"/>
    <n v="7"/>
    <x v="1"/>
    <n v="0"/>
    <n v="0"/>
    <x v="1"/>
    <n v="1"/>
    <m/>
    <m/>
  </r>
  <r>
    <n v="58"/>
    <x v="0"/>
    <s v="Travel_Rarely"/>
    <n v="286"/>
    <s v="Research &amp; Development"/>
    <n v="2"/>
    <n v="4"/>
    <s v="Life Sciences"/>
    <n v="1"/>
    <n v="825"/>
    <n v="4"/>
    <x v="1"/>
    <n v="31"/>
    <n v="3"/>
    <x v="4"/>
    <x v="7"/>
    <x v="1"/>
    <s v="Single"/>
    <n v="19246"/>
    <n v="25761"/>
    <n v="7"/>
    <s v="Y"/>
    <s v="Yes"/>
    <n v="12"/>
    <n v="3"/>
    <n v="4"/>
    <n v="80"/>
    <n v="0"/>
    <n v="40"/>
    <n v="2"/>
    <n v="3"/>
    <x v="31"/>
    <n v="15"/>
    <n v="13"/>
    <n v="8"/>
    <x v="1"/>
    <n v="1"/>
    <n v="346428"/>
    <x v="3"/>
    <n v="1"/>
    <m/>
    <m/>
  </r>
  <r>
    <n v="35"/>
    <x v="1"/>
    <s v="Travel_Rarely"/>
    <n v="1258"/>
    <s v="Research &amp; Development"/>
    <n v="1"/>
    <n v="4"/>
    <s v="Life Sciences"/>
    <n v="1"/>
    <n v="826"/>
    <n v="4"/>
    <x v="0"/>
    <n v="40"/>
    <n v="4"/>
    <x v="1"/>
    <x v="1"/>
    <x v="2"/>
    <s v="Single"/>
    <n v="2506"/>
    <n v="13301"/>
    <n v="3"/>
    <s v="Y"/>
    <s v="No"/>
    <n v="13"/>
    <n v="3"/>
    <n v="3"/>
    <n v="80"/>
    <n v="0"/>
    <n v="7"/>
    <n v="0"/>
    <n v="3"/>
    <x v="4"/>
    <n v="2"/>
    <n v="2"/>
    <n v="2"/>
    <x v="1"/>
    <n v="0"/>
    <n v="0"/>
    <x v="1"/>
    <n v="1"/>
    <m/>
    <m/>
  </r>
  <r>
    <n v="42"/>
    <x v="1"/>
    <s v="Travel_Rarely"/>
    <n v="932"/>
    <s v="Research &amp; Development"/>
    <n v="1"/>
    <n v="2"/>
    <s v="Life Sciences"/>
    <n v="1"/>
    <n v="827"/>
    <n v="4"/>
    <x v="0"/>
    <n v="43"/>
    <n v="2"/>
    <x v="0"/>
    <x v="3"/>
    <x v="0"/>
    <s v="Married"/>
    <n v="6062"/>
    <n v="4051"/>
    <n v="9"/>
    <s v="Y"/>
    <s v="Yes"/>
    <n v="13"/>
    <n v="3"/>
    <n v="4"/>
    <n v="80"/>
    <n v="1"/>
    <n v="8"/>
    <n v="4"/>
    <n v="3"/>
    <x v="9"/>
    <n v="3"/>
    <n v="0"/>
    <n v="2"/>
    <x v="2"/>
    <n v="0"/>
    <n v="0"/>
    <x v="4"/>
    <n v="1"/>
    <m/>
    <m/>
  </r>
  <r>
    <n v="28"/>
    <x v="0"/>
    <s v="Travel_Rarely"/>
    <n v="890"/>
    <s v="Research &amp; Development"/>
    <n v="2"/>
    <n v="4"/>
    <s v="Medical"/>
    <n v="1"/>
    <n v="828"/>
    <n v="3"/>
    <x v="1"/>
    <n v="46"/>
    <n v="3"/>
    <x v="1"/>
    <x v="1"/>
    <x v="2"/>
    <s v="Single"/>
    <n v="4382"/>
    <n v="16374"/>
    <n v="6"/>
    <s v="Y"/>
    <s v="No"/>
    <n v="17"/>
    <n v="3"/>
    <n v="4"/>
    <n v="80"/>
    <n v="0"/>
    <n v="5"/>
    <n v="3"/>
    <n v="2"/>
    <x v="4"/>
    <n v="2"/>
    <n v="2"/>
    <n v="1"/>
    <x v="1"/>
    <n v="1"/>
    <n v="78876"/>
    <x v="0"/>
    <n v="1"/>
    <m/>
    <m/>
  </r>
  <r>
    <n v="36"/>
    <x v="1"/>
    <s v="Travel_Rarely"/>
    <n v="1041"/>
    <s v="Human Resources"/>
    <n v="13"/>
    <n v="3"/>
    <s v="Human Resources"/>
    <n v="1"/>
    <n v="829"/>
    <n v="3"/>
    <x v="1"/>
    <n v="36"/>
    <n v="3"/>
    <x v="1"/>
    <x v="8"/>
    <x v="1"/>
    <s v="Married"/>
    <n v="2143"/>
    <n v="25527"/>
    <n v="4"/>
    <s v="Y"/>
    <s v="No"/>
    <n v="13"/>
    <n v="3"/>
    <n v="2"/>
    <n v="80"/>
    <n v="1"/>
    <n v="8"/>
    <n v="2"/>
    <n v="3"/>
    <x v="8"/>
    <n v="2"/>
    <n v="0"/>
    <n v="4"/>
    <x v="5"/>
    <n v="0"/>
    <n v="0"/>
    <x v="1"/>
    <n v="1"/>
    <m/>
    <m/>
  </r>
  <r>
    <n v="32"/>
    <x v="1"/>
    <s v="Travel_Rarely"/>
    <n v="859"/>
    <s v="Research &amp; Development"/>
    <n v="4"/>
    <n v="3"/>
    <s v="Life Sciences"/>
    <n v="1"/>
    <n v="830"/>
    <n v="3"/>
    <x v="0"/>
    <n v="98"/>
    <n v="2"/>
    <x v="0"/>
    <x v="3"/>
    <x v="2"/>
    <s v="Married"/>
    <n v="6162"/>
    <n v="19124"/>
    <n v="1"/>
    <s v="Y"/>
    <s v="No"/>
    <n v="12"/>
    <n v="3"/>
    <n v="3"/>
    <n v="80"/>
    <n v="1"/>
    <n v="14"/>
    <n v="3"/>
    <n v="3"/>
    <x v="13"/>
    <n v="13"/>
    <n v="6"/>
    <n v="8"/>
    <x v="2"/>
    <n v="0"/>
    <n v="0"/>
    <x v="4"/>
    <n v="1"/>
    <m/>
    <m/>
  </r>
  <r>
    <n v="40"/>
    <x v="1"/>
    <s v="Travel_Frequently"/>
    <n v="720"/>
    <s v="Research &amp; Development"/>
    <n v="16"/>
    <n v="4"/>
    <s v="Medical"/>
    <n v="1"/>
    <n v="832"/>
    <n v="1"/>
    <x v="1"/>
    <n v="51"/>
    <n v="2"/>
    <x v="0"/>
    <x v="2"/>
    <x v="2"/>
    <s v="Single"/>
    <n v="5094"/>
    <n v="11983"/>
    <n v="6"/>
    <s v="Y"/>
    <s v="No"/>
    <n v="14"/>
    <n v="3"/>
    <n v="4"/>
    <n v="80"/>
    <n v="0"/>
    <n v="10"/>
    <n v="6"/>
    <n v="3"/>
    <x v="6"/>
    <n v="0"/>
    <n v="0"/>
    <n v="0"/>
    <x v="1"/>
    <n v="0"/>
    <n v="0"/>
    <x v="0"/>
    <n v="1"/>
    <m/>
    <m/>
  </r>
  <r>
    <n v="30"/>
    <x v="1"/>
    <s v="Travel_Rarely"/>
    <n v="946"/>
    <s v="Research &amp; Development"/>
    <n v="2"/>
    <n v="3"/>
    <s v="Medical"/>
    <n v="1"/>
    <n v="833"/>
    <n v="3"/>
    <x v="0"/>
    <n v="52"/>
    <n v="2"/>
    <x v="0"/>
    <x v="3"/>
    <x v="0"/>
    <s v="Single"/>
    <n v="6877"/>
    <n v="20234"/>
    <n v="5"/>
    <s v="Y"/>
    <s v="Yes"/>
    <n v="24"/>
    <n v="4"/>
    <n v="2"/>
    <n v="80"/>
    <n v="0"/>
    <n v="12"/>
    <n v="4"/>
    <n v="2"/>
    <x v="2"/>
    <n v="0"/>
    <n v="0"/>
    <n v="0"/>
    <x v="2"/>
    <n v="0"/>
    <n v="0"/>
    <x v="4"/>
    <n v="1"/>
    <m/>
    <m/>
  </r>
  <r>
    <n v="45"/>
    <x v="1"/>
    <s v="Travel_Rarely"/>
    <n v="252"/>
    <s v="Research &amp; Development"/>
    <n v="2"/>
    <n v="3"/>
    <s v="Life Sciences"/>
    <n v="1"/>
    <n v="834"/>
    <n v="2"/>
    <x v="0"/>
    <n v="95"/>
    <n v="2"/>
    <x v="1"/>
    <x v="1"/>
    <x v="2"/>
    <s v="Single"/>
    <n v="2274"/>
    <n v="6153"/>
    <n v="1"/>
    <s v="Y"/>
    <s v="No"/>
    <n v="14"/>
    <n v="3"/>
    <n v="4"/>
    <n v="80"/>
    <n v="0"/>
    <n v="1"/>
    <n v="3"/>
    <n v="3"/>
    <x v="6"/>
    <n v="0"/>
    <n v="0"/>
    <n v="0"/>
    <x v="1"/>
    <n v="0"/>
    <n v="0"/>
    <x v="1"/>
    <n v="1"/>
    <m/>
    <m/>
  </r>
  <r>
    <n v="42"/>
    <x v="1"/>
    <s v="Travel_Rarely"/>
    <n v="933"/>
    <s v="Research &amp; Development"/>
    <n v="29"/>
    <n v="3"/>
    <s v="Life Sciences"/>
    <n v="1"/>
    <n v="836"/>
    <n v="2"/>
    <x v="1"/>
    <n v="98"/>
    <n v="3"/>
    <x v="0"/>
    <x v="3"/>
    <x v="1"/>
    <s v="Married"/>
    <n v="4434"/>
    <n v="11806"/>
    <n v="1"/>
    <s v="Y"/>
    <s v="No"/>
    <n v="13"/>
    <n v="3"/>
    <n v="4"/>
    <n v="80"/>
    <n v="1"/>
    <n v="10"/>
    <n v="3"/>
    <n v="2"/>
    <x v="7"/>
    <n v="8"/>
    <n v="7"/>
    <n v="8"/>
    <x v="2"/>
    <n v="0"/>
    <n v="0"/>
    <x v="0"/>
    <n v="1"/>
    <m/>
    <m/>
  </r>
  <r>
    <n v="38"/>
    <x v="1"/>
    <s v="Travel_Frequently"/>
    <n v="471"/>
    <s v="Research &amp; Development"/>
    <n v="12"/>
    <n v="3"/>
    <s v="Life Sciences"/>
    <n v="1"/>
    <n v="837"/>
    <n v="1"/>
    <x v="1"/>
    <n v="45"/>
    <n v="2"/>
    <x v="0"/>
    <x v="4"/>
    <x v="3"/>
    <s v="Divorced"/>
    <n v="6288"/>
    <n v="4284"/>
    <n v="2"/>
    <s v="Y"/>
    <s v="No"/>
    <n v="15"/>
    <n v="3"/>
    <n v="3"/>
    <n v="80"/>
    <n v="1"/>
    <n v="13"/>
    <n v="3"/>
    <n v="2"/>
    <x v="9"/>
    <n v="3"/>
    <n v="1"/>
    <n v="2"/>
    <x v="3"/>
    <n v="0"/>
    <n v="0"/>
    <x v="4"/>
    <n v="1"/>
    <m/>
    <m/>
  </r>
  <r>
    <n v="34"/>
    <x v="1"/>
    <s v="Travel_Frequently"/>
    <n v="702"/>
    <s v="Research &amp; Development"/>
    <n v="16"/>
    <n v="4"/>
    <s v="Life Sciences"/>
    <n v="1"/>
    <n v="838"/>
    <n v="3"/>
    <x v="0"/>
    <n v="100"/>
    <n v="2"/>
    <x v="1"/>
    <x v="1"/>
    <x v="0"/>
    <s v="Single"/>
    <n v="2553"/>
    <n v="8306"/>
    <n v="1"/>
    <s v="Y"/>
    <s v="No"/>
    <n v="16"/>
    <n v="3"/>
    <n v="3"/>
    <n v="80"/>
    <n v="0"/>
    <n v="6"/>
    <n v="3"/>
    <n v="3"/>
    <x v="8"/>
    <n v="2"/>
    <n v="1"/>
    <n v="3"/>
    <x v="1"/>
    <n v="0"/>
    <n v="0"/>
    <x v="1"/>
    <n v="1"/>
    <m/>
    <m/>
  </r>
  <r>
    <n v="49"/>
    <x v="0"/>
    <s v="Travel_Rarely"/>
    <n v="1184"/>
    <s v="Sales"/>
    <n v="11"/>
    <n v="3"/>
    <s v="Marketing"/>
    <n v="1"/>
    <n v="840"/>
    <n v="3"/>
    <x v="0"/>
    <n v="43"/>
    <n v="3"/>
    <x v="2"/>
    <x v="0"/>
    <x v="0"/>
    <s v="Married"/>
    <n v="7654"/>
    <n v="5860"/>
    <n v="1"/>
    <s v="Y"/>
    <s v="No"/>
    <n v="18"/>
    <n v="3"/>
    <n v="1"/>
    <n v="80"/>
    <n v="2"/>
    <n v="9"/>
    <n v="3"/>
    <n v="4"/>
    <x v="7"/>
    <n v="8"/>
    <n v="7"/>
    <n v="7"/>
    <x v="0"/>
    <n v="1"/>
    <n v="137772"/>
    <x v="4"/>
    <n v="1"/>
    <m/>
    <m/>
  </r>
  <r>
    <n v="55"/>
    <x v="0"/>
    <s v="Travel_Rarely"/>
    <n v="436"/>
    <s v="Sales"/>
    <n v="2"/>
    <n v="1"/>
    <s v="Medical"/>
    <n v="1"/>
    <n v="842"/>
    <n v="3"/>
    <x v="1"/>
    <n v="37"/>
    <n v="3"/>
    <x v="0"/>
    <x v="0"/>
    <x v="0"/>
    <s v="Single"/>
    <n v="5160"/>
    <n v="21519"/>
    <n v="4"/>
    <s v="Y"/>
    <s v="No"/>
    <n v="16"/>
    <n v="3"/>
    <n v="3"/>
    <n v="80"/>
    <n v="0"/>
    <n v="12"/>
    <n v="3"/>
    <n v="2"/>
    <x v="7"/>
    <n v="7"/>
    <n v="7"/>
    <n v="3"/>
    <x v="0"/>
    <n v="1"/>
    <n v="92880"/>
    <x v="0"/>
    <n v="1"/>
    <m/>
    <m/>
  </r>
  <r>
    <n v="43"/>
    <x v="1"/>
    <s v="Travel_Rarely"/>
    <n v="589"/>
    <s v="Research &amp; Development"/>
    <n v="14"/>
    <n v="2"/>
    <s v="Life Sciences"/>
    <n v="1"/>
    <n v="843"/>
    <n v="2"/>
    <x v="1"/>
    <n v="94"/>
    <n v="3"/>
    <x v="3"/>
    <x v="7"/>
    <x v="3"/>
    <s v="Married"/>
    <n v="17159"/>
    <n v="5200"/>
    <n v="6"/>
    <s v="Y"/>
    <s v="No"/>
    <n v="24"/>
    <n v="4"/>
    <n v="3"/>
    <n v="80"/>
    <n v="1"/>
    <n v="22"/>
    <n v="3"/>
    <n v="3"/>
    <x v="9"/>
    <n v="1"/>
    <n v="1"/>
    <n v="0"/>
    <x v="1"/>
    <n v="0"/>
    <n v="0"/>
    <x v="3"/>
    <n v="1"/>
    <m/>
    <m/>
  </r>
  <r>
    <n v="27"/>
    <x v="1"/>
    <s v="Travel_Rarely"/>
    <n v="269"/>
    <s v="Research &amp; Development"/>
    <n v="5"/>
    <n v="1"/>
    <s v="Technical Degree"/>
    <n v="1"/>
    <n v="844"/>
    <n v="3"/>
    <x v="1"/>
    <n v="42"/>
    <n v="2"/>
    <x v="2"/>
    <x v="7"/>
    <x v="0"/>
    <s v="Divorced"/>
    <n v="12808"/>
    <n v="8842"/>
    <n v="1"/>
    <s v="Y"/>
    <s v="Yes"/>
    <n v="16"/>
    <n v="3"/>
    <n v="2"/>
    <n v="80"/>
    <n v="1"/>
    <n v="9"/>
    <n v="3"/>
    <n v="3"/>
    <x v="7"/>
    <n v="8"/>
    <n v="0"/>
    <n v="8"/>
    <x v="1"/>
    <n v="0"/>
    <n v="0"/>
    <x v="3"/>
    <n v="1"/>
    <m/>
    <m/>
  </r>
  <r>
    <n v="35"/>
    <x v="1"/>
    <s v="Travel_Rarely"/>
    <n v="950"/>
    <s v="Research &amp; Development"/>
    <n v="7"/>
    <n v="3"/>
    <s v="Other"/>
    <n v="1"/>
    <n v="845"/>
    <n v="3"/>
    <x v="1"/>
    <n v="59"/>
    <n v="3"/>
    <x v="2"/>
    <x v="3"/>
    <x v="2"/>
    <s v="Single"/>
    <n v="10221"/>
    <n v="18869"/>
    <n v="3"/>
    <s v="Y"/>
    <s v="No"/>
    <n v="21"/>
    <n v="4"/>
    <n v="2"/>
    <n v="80"/>
    <n v="0"/>
    <n v="17"/>
    <n v="3"/>
    <n v="4"/>
    <x v="3"/>
    <n v="5"/>
    <n v="1"/>
    <n v="6"/>
    <x v="2"/>
    <n v="0"/>
    <n v="0"/>
    <x v="2"/>
    <n v="1"/>
    <m/>
    <m/>
  </r>
  <r>
    <n v="28"/>
    <x v="1"/>
    <s v="Travel_Rarely"/>
    <n v="760"/>
    <s v="Sales"/>
    <n v="2"/>
    <n v="4"/>
    <s v="Marketing"/>
    <n v="1"/>
    <n v="846"/>
    <n v="2"/>
    <x v="0"/>
    <n v="81"/>
    <n v="3"/>
    <x v="0"/>
    <x v="0"/>
    <x v="1"/>
    <s v="Married"/>
    <n v="4779"/>
    <n v="3698"/>
    <n v="1"/>
    <s v="Y"/>
    <s v="Yes"/>
    <n v="20"/>
    <n v="4"/>
    <n v="1"/>
    <n v="80"/>
    <n v="0"/>
    <n v="8"/>
    <n v="2"/>
    <n v="3"/>
    <x v="3"/>
    <n v="7"/>
    <n v="7"/>
    <n v="5"/>
    <x v="0"/>
    <n v="0"/>
    <n v="0"/>
    <x v="0"/>
    <n v="1"/>
    <m/>
    <m/>
  </r>
  <r>
    <n v="34"/>
    <x v="1"/>
    <s v="Travel_Rarely"/>
    <n v="829"/>
    <s v="Human Resources"/>
    <n v="3"/>
    <n v="2"/>
    <s v="Human Resources"/>
    <n v="1"/>
    <n v="847"/>
    <n v="3"/>
    <x v="1"/>
    <n v="88"/>
    <n v="3"/>
    <x v="1"/>
    <x v="8"/>
    <x v="0"/>
    <s v="Married"/>
    <n v="3737"/>
    <n v="2243"/>
    <n v="0"/>
    <s v="Y"/>
    <s v="No"/>
    <n v="19"/>
    <n v="3"/>
    <n v="3"/>
    <n v="80"/>
    <n v="1"/>
    <n v="4"/>
    <n v="1"/>
    <n v="1"/>
    <x v="11"/>
    <n v="2"/>
    <n v="0"/>
    <n v="2"/>
    <x v="5"/>
    <n v="0"/>
    <n v="0"/>
    <x v="0"/>
    <n v="1"/>
    <m/>
    <m/>
  </r>
  <r>
    <n v="26"/>
    <x v="0"/>
    <s v="Travel_Frequently"/>
    <n v="887"/>
    <s v="Research &amp; Development"/>
    <n v="5"/>
    <n v="2"/>
    <s v="Medical"/>
    <n v="1"/>
    <n v="848"/>
    <n v="3"/>
    <x v="0"/>
    <n v="88"/>
    <n v="2"/>
    <x v="1"/>
    <x v="1"/>
    <x v="2"/>
    <s v="Married"/>
    <n v="2366"/>
    <n v="20898"/>
    <n v="1"/>
    <s v="Y"/>
    <s v="Yes"/>
    <n v="14"/>
    <n v="3"/>
    <n v="1"/>
    <n v="80"/>
    <n v="1"/>
    <n v="8"/>
    <n v="2"/>
    <n v="3"/>
    <x v="3"/>
    <n v="7"/>
    <n v="1"/>
    <n v="7"/>
    <x v="1"/>
    <n v="1"/>
    <n v="42588"/>
    <x v="1"/>
    <n v="1"/>
    <m/>
    <m/>
  </r>
  <r>
    <n v="27"/>
    <x v="1"/>
    <s v="Non-Travel"/>
    <n v="443"/>
    <s v="Research &amp; Development"/>
    <n v="3"/>
    <n v="3"/>
    <s v="Medical"/>
    <n v="1"/>
    <n v="850"/>
    <n v="4"/>
    <x v="1"/>
    <n v="50"/>
    <n v="3"/>
    <x v="1"/>
    <x v="1"/>
    <x v="0"/>
    <s v="Married"/>
    <n v="1706"/>
    <n v="16571"/>
    <n v="1"/>
    <s v="Y"/>
    <s v="No"/>
    <n v="11"/>
    <n v="3"/>
    <n v="3"/>
    <n v="80"/>
    <n v="3"/>
    <n v="0"/>
    <n v="6"/>
    <n v="2"/>
    <x v="2"/>
    <n v="0"/>
    <n v="0"/>
    <n v="0"/>
    <x v="1"/>
    <n v="0"/>
    <n v="0"/>
    <x v="1"/>
    <n v="1"/>
    <m/>
    <m/>
  </r>
  <r>
    <n v="51"/>
    <x v="1"/>
    <s v="Travel_Rarely"/>
    <n v="1318"/>
    <s v="Sales"/>
    <n v="26"/>
    <n v="4"/>
    <s v="Marketing"/>
    <n v="1"/>
    <n v="851"/>
    <n v="1"/>
    <x v="0"/>
    <n v="66"/>
    <n v="3"/>
    <x v="3"/>
    <x v="5"/>
    <x v="2"/>
    <s v="Married"/>
    <n v="16307"/>
    <n v="5594"/>
    <n v="2"/>
    <s v="Y"/>
    <s v="No"/>
    <n v="14"/>
    <n v="3"/>
    <n v="3"/>
    <n v="80"/>
    <n v="1"/>
    <n v="29"/>
    <n v="2"/>
    <n v="2"/>
    <x v="23"/>
    <n v="6"/>
    <n v="4"/>
    <n v="17"/>
    <x v="4"/>
    <n v="0"/>
    <n v="0"/>
    <x v="3"/>
    <n v="1"/>
    <m/>
    <m/>
  </r>
  <r>
    <n v="44"/>
    <x v="1"/>
    <s v="Travel_Rarely"/>
    <n v="625"/>
    <s v="Research &amp; Development"/>
    <n v="4"/>
    <n v="3"/>
    <s v="Medical"/>
    <n v="1"/>
    <n v="852"/>
    <n v="4"/>
    <x v="1"/>
    <n v="50"/>
    <n v="3"/>
    <x v="0"/>
    <x v="4"/>
    <x v="1"/>
    <s v="Single"/>
    <n v="5933"/>
    <n v="5197"/>
    <n v="9"/>
    <s v="Y"/>
    <s v="No"/>
    <n v="12"/>
    <n v="3"/>
    <n v="4"/>
    <n v="80"/>
    <n v="0"/>
    <n v="10"/>
    <n v="2"/>
    <n v="2"/>
    <x v="8"/>
    <n v="2"/>
    <n v="2"/>
    <n v="3"/>
    <x v="3"/>
    <n v="0"/>
    <n v="0"/>
    <x v="0"/>
    <n v="1"/>
    <m/>
    <m/>
  </r>
  <r>
    <n v="25"/>
    <x v="1"/>
    <s v="Travel_Rarely"/>
    <n v="180"/>
    <s v="Research &amp; Development"/>
    <n v="2"/>
    <n v="1"/>
    <s v="Medical"/>
    <n v="1"/>
    <n v="854"/>
    <n v="1"/>
    <x v="1"/>
    <n v="65"/>
    <n v="4"/>
    <x v="1"/>
    <x v="1"/>
    <x v="3"/>
    <s v="Single"/>
    <n v="3424"/>
    <n v="21632"/>
    <n v="7"/>
    <s v="Y"/>
    <s v="No"/>
    <n v="13"/>
    <n v="3"/>
    <n v="3"/>
    <n v="80"/>
    <n v="0"/>
    <n v="6"/>
    <n v="3"/>
    <n v="2"/>
    <x v="9"/>
    <n v="3"/>
    <n v="0"/>
    <n v="1"/>
    <x v="1"/>
    <n v="0"/>
    <n v="0"/>
    <x v="0"/>
    <n v="1"/>
    <m/>
    <m/>
  </r>
  <r>
    <n v="33"/>
    <x v="1"/>
    <s v="Travel_Rarely"/>
    <n v="586"/>
    <s v="Sales"/>
    <n v="1"/>
    <n v="3"/>
    <s v="Medical"/>
    <n v="1"/>
    <n v="855"/>
    <n v="1"/>
    <x v="1"/>
    <n v="48"/>
    <n v="4"/>
    <x v="0"/>
    <x v="0"/>
    <x v="3"/>
    <s v="Divorced"/>
    <n v="4037"/>
    <n v="21816"/>
    <n v="1"/>
    <s v="Y"/>
    <s v="No"/>
    <n v="22"/>
    <n v="4"/>
    <n v="1"/>
    <n v="80"/>
    <n v="1"/>
    <n v="9"/>
    <n v="5"/>
    <n v="3"/>
    <x v="7"/>
    <n v="8"/>
    <n v="0"/>
    <n v="8"/>
    <x v="0"/>
    <n v="0"/>
    <n v="0"/>
    <x v="0"/>
    <n v="1"/>
    <m/>
    <m/>
  </r>
  <r>
    <n v="35"/>
    <x v="1"/>
    <s v="Travel_Rarely"/>
    <n v="1343"/>
    <s v="Research &amp; Development"/>
    <n v="27"/>
    <n v="1"/>
    <s v="Medical"/>
    <n v="1"/>
    <n v="856"/>
    <n v="3"/>
    <x v="0"/>
    <n v="53"/>
    <n v="2"/>
    <x v="1"/>
    <x v="1"/>
    <x v="3"/>
    <s v="Single"/>
    <n v="2559"/>
    <n v="17852"/>
    <n v="1"/>
    <s v="Y"/>
    <s v="No"/>
    <n v="11"/>
    <n v="3"/>
    <n v="4"/>
    <n v="80"/>
    <n v="0"/>
    <n v="6"/>
    <n v="3"/>
    <n v="2"/>
    <x v="0"/>
    <n v="5"/>
    <n v="1"/>
    <n v="1"/>
    <x v="1"/>
    <n v="0"/>
    <n v="0"/>
    <x v="1"/>
    <n v="1"/>
    <m/>
    <m/>
  </r>
  <r>
    <n v="36"/>
    <x v="1"/>
    <s v="Travel_Rarely"/>
    <n v="928"/>
    <s v="Sales"/>
    <n v="1"/>
    <n v="2"/>
    <s v="Life Sciences"/>
    <n v="1"/>
    <n v="857"/>
    <n v="2"/>
    <x v="1"/>
    <n v="56"/>
    <n v="3"/>
    <x v="0"/>
    <x v="0"/>
    <x v="0"/>
    <s v="Married"/>
    <n v="6201"/>
    <n v="2823"/>
    <n v="1"/>
    <s v="Y"/>
    <s v="Yes"/>
    <n v="14"/>
    <n v="3"/>
    <n v="4"/>
    <n v="80"/>
    <n v="1"/>
    <n v="18"/>
    <n v="1"/>
    <n v="2"/>
    <x v="29"/>
    <n v="14"/>
    <n v="4"/>
    <n v="11"/>
    <x v="0"/>
    <n v="0"/>
    <n v="0"/>
    <x v="4"/>
    <n v="1"/>
    <m/>
    <m/>
  </r>
  <r>
    <n v="32"/>
    <x v="1"/>
    <s v="Travel_Rarely"/>
    <n v="117"/>
    <s v="Sales"/>
    <n v="13"/>
    <n v="4"/>
    <s v="Life Sciences"/>
    <n v="1"/>
    <n v="859"/>
    <n v="2"/>
    <x v="1"/>
    <n v="73"/>
    <n v="3"/>
    <x v="0"/>
    <x v="0"/>
    <x v="0"/>
    <s v="Divorced"/>
    <n v="4403"/>
    <n v="9250"/>
    <n v="2"/>
    <s v="Y"/>
    <s v="No"/>
    <n v="11"/>
    <n v="3"/>
    <n v="3"/>
    <n v="80"/>
    <n v="1"/>
    <n v="8"/>
    <n v="3"/>
    <n v="2"/>
    <x v="8"/>
    <n v="2"/>
    <n v="0"/>
    <n v="3"/>
    <x v="0"/>
    <n v="0"/>
    <n v="0"/>
    <x v="0"/>
    <n v="1"/>
    <m/>
    <m/>
  </r>
  <r>
    <n v="30"/>
    <x v="1"/>
    <s v="Travel_Frequently"/>
    <n v="1012"/>
    <s v="Research &amp; Development"/>
    <n v="5"/>
    <n v="4"/>
    <s v="Life Sciences"/>
    <n v="1"/>
    <n v="861"/>
    <n v="2"/>
    <x v="1"/>
    <n v="75"/>
    <n v="2"/>
    <x v="1"/>
    <x v="1"/>
    <x v="0"/>
    <s v="Divorced"/>
    <n v="3761"/>
    <n v="2373"/>
    <n v="9"/>
    <s v="Y"/>
    <s v="No"/>
    <n v="12"/>
    <n v="3"/>
    <n v="2"/>
    <n v="80"/>
    <n v="1"/>
    <n v="10"/>
    <n v="3"/>
    <n v="2"/>
    <x v="8"/>
    <n v="4"/>
    <n v="0"/>
    <n v="3"/>
    <x v="1"/>
    <n v="0"/>
    <n v="0"/>
    <x v="0"/>
    <n v="1"/>
    <m/>
    <m/>
  </r>
  <r>
    <n v="53"/>
    <x v="1"/>
    <s v="Travel_Rarely"/>
    <n v="661"/>
    <s v="Sales"/>
    <n v="7"/>
    <n v="2"/>
    <s v="Marketing"/>
    <n v="1"/>
    <n v="862"/>
    <n v="1"/>
    <x v="0"/>
    <n v="78"/>
    <n v="2"/>
    <x v="2"/>
    <x v="0"/>
    <x v="0"/>
    <s v="Married"/>
    <n v="10934"/>
    <n v="20715"/>
    <n v="7"/>
    <s v="Y"/>
    <s v="Yes"/>
    <n v="18"/>
    <n v="3"/>
    <n v="4"/>
    <n v="80"/>
    <n v="1"/>
    <n v="35"/>
    <n v="3"/>
    <n v="3"/>
    <x v="8"/>
    <n v="2"/>
    <n v="0"/>
    <n v="4"/>
    <x v="0"/>
    <n v="0"/>
    <n v="0"/>
    <x v="2"/>
    <n v="1"/>
    <m/>
    <m/>
  </r>
  <r>
    <n v="45"/>
    <x v="1"/>
    <s v="Travel_Rarely"/>
    <n v="930"/>
    <s v="Sales"/>
    <n v="9"/>
    <n v="3"/>
    <s v="Marketing"/>
    <n v="1"/>
    <n v="864"/>
    <n v="4"/>
    <x v="1"/>
    <n v="74"/>
    <n v="3"/>
    <x v="2"/>
    <x v="0"/>
    <x v="3"/>
    <s v="Divorced"/>
    <n v="10761"/>
    <n v="19239"/>
    <n v="4"/>
    <s v="Y"/>
    <s v="Yes"/>
    <n v="12"/>
    <n v="3"/>
    <n v="3"/>
    <n v="80"/>
    <n v="1"/>
    <n v="18"/>
    <n v="2"/>
    <n v="3"/>
    <x v="8"/>
    <n v="4"/>
    <n v="0"/>
    <n v="2"/>
    <x v="0"/>
    <n v="0"/>
    <n v="0"/>
    <x v="2"/>
    <n v="1"/>
    <m/>
    <m/>
  </r>
  <r>
    <n v="32"/>
    <x v="1"/>
    <s v="Travel_Rarely"/>
    <n v="638"/>
    <s v="Research &amp; Development"/>
    <n v="8"/>
    <n v="2"/>
    <s v="Medical"/>
    <n v="1"/>
    <n v="865"/>
    <n v="3"/>
    <x v="0"/>
    <n v="91"/>
    <n v="4"/>
    <x v="0"/>
    <x v="1"/>
    <x v="2"/>
    <s v="Married"/>
    <n v="5175"/>
    <n v="22162"/>
    <n v="5"/>
    <s v="Y"/>
    <s v="No"/>
    <n v="12"/>
    <n v="3"/>
    <n v="3"/>
    <n v="80"/>
    <n v="1"/>
    <n v="9"/>
    <n v="3"/>
    <n v="2"/>
    <x v="8"/>
    <n v="3"/>
    <n v="1"/>
    <n v="3"/>
    <x v="1"/>
    <n v="0"/>
    <n v="0"/>
    <x v="0"/>
    <n v="1"/>
    <m/>
    <m/>
  </r>
  <r>
    <n v="52"/>
    <x v="1"/>
    <s v="Travel_Frequently"/>
    <n v="890"/>
    <s v="Research &amp; Development"/>
    <n v="25"/>
    <n v="4"/>
    <s v="Medical"/>
    <n v="1"/>
    <n v="867"/>
    <n v="3"/>
    <x v="0"/>
    <n v="81"/>
    <n v="2"/>
    <x v="3"/>
    <x v="3"/>
    <x v="0"/>
    <s v="Married"/>
    <n v="13826"/>
    <n v="19028"/>
    <n v="3"/>
    <s v="Y"/>
    <s v="No"/>
    <n v="22"/>
    <n v="4"/>
    <n v="3"/>
    <n v="80"/>
    <n v="0"/>
    <n v="31"/>
    <n v="3"/>
    <n v="3"/>
    <x v="7"/>
    <n v="8"/>
    <n v="0"/>
    <n v="0"/>
    <x v="2"/>
    <n v="0"/>
    <n v="0"/>
    <x v="3"/>
    <n v="1"/>
    <m/>
    <m/>
  </r>
  <r>
    <n v="37"/>
    <x v="1"/>
    <s v="Travel_Rarely"/>
    <n v="342"/>
    <s v="Sales"/>
    <n v="16"/>
    <n v="4"/>
    <s v="Marketing"/>
    <n v="1"/>
    <n v="868"/>
    <n v="4"/>
    <x v="1"/>
    <n v="66"/>
    <n v="2"/>
    <x v="0"/>
    <x v="0"/>
    <x v="2"/>
    <s v="Divorced"/>
    <n v="6334"/>
    <n v="24558"/>
    <n v="4"/>
    <s v="Y"/>
    <s v="No"/>
    <n v="19"/>
    <n v="3"/>
    <n v="4"/>
    <n v="80"/>
    <n v="2"/>
    <n v="9"/>
    <n v="2"/>
    <n v="3"/>
    <x v="6"/>
    <n v="0"/>
    <n v="0"/>
    <n v="0"/>
    <x v="0"/>
    <n v="0"/>
    <n v="0"/>
    <x v="4"/>
    <n v="1"/>
    <m/>
    <m/>
  </r>
  <r>
    <n v="28"/>
    <x v="1"/>
    <s v="Travel_Rarely"/>
    <n v="1169"/>
    <s v="Human Resources"/>
    <n v="8"/>
    <n v="2"/>
    <s v="Medical"/>
    <n v="1"/>
    <n v="869"/>
    <n v="2"/>
    <x v="1"/>
    <n v="63"/>
    <n v="2"/>
    <x v="1"/>
    <x v="8"/>
    <x v="0"/>
    <s v="Divorced"/>
    <n v="4936"/>
    <n v="23965"/>
    <n v="1"/>
    <s v="Y"/>
    <s v="No"/>
    <n v="13"/>
    <n v="3"/>
    <n v="4"/>
    <n v="80"/>
    <n v="1"/>
    <n v="6"/>
    <n v="6"/>
    <n v="3"/>
    <x v="8"/>
    <n v="1"/>
    <n v="0"/>
    <n v="4"/>
    <x v="5"/>
    <n v="0"/>
    <n v="0"/>
    <x v="0"/>
    <n v="1"/>
    <m/>
    <m/>
  </r>
  <r>
    <n v="22"/>
    <x v="1"/>
    <s v="Travel_Rarely"/>
    <n v="1230"/>
    <s v="Research &amp; Development"/>
    <n v="1"/>
    <n v="2"/>
    <s v="Life Sciences"/>
    <n v="1"/>
    <n v="872"/>
    <n v="4"/>
    <x v="1"/>
    <n v="33"/>
    <n v="2"/>
    <x v="0"/>
    <x v="3"/>
    <x v="0"/>
    <s v="Married"/>
    <n v="4775"/>
    <n v="19146"/>
    <n v="6"/>
    <s v="Y"/>
    <s v="No"/>
    <n v="22"/>
    <n v="4"/>
    <n v="1"/>
    <n v="80"/>
    <n v="2"/>
    <n v="4"/>
    <n v="2"/>
    <n v="1"/>
    <x v="4"/>
    <n v="2"/>
    <n v="2"/>
    <n v="2"/>
    <x v="2"/>
    <n v="0"/>
    <n v="0"/>
    <x v="0"/>
    <n v="1"/>
    <m/>
    <m/>
  </r>
  <r>
    <n v="44"/>
    <x v="1"/>
    <s v="Travel_Rarely"/>
    <n v="986"/>
    <s v="Research &amp; Development"/>
    <n v="8"/>
    <n v="4"/>
    <s v="Life Sciences"/>
    <n v="1"/>
    <n v="874"/>
    <n v="1"/>
    <x v="1"/>
    <n v="62"/>
    <n v="4"/>
    <x v="1"/>
    <x v="2"/>
    <x v="0"/>
    <s v="Married"/>
    <n v="2818"/>
    <n v="5044"/>
    <n v="2"/>
    <s v="Y"/>
    <s v="Yes"/>
    <n v="24"/>
    <n v="4"/>
    <n v="3"/>
    <n v="80"/>
    <n v="1"/>
    <n v="10"/>
    <n v="2"/>
    <n v="2"/>
    <x v="11"/>
    <n v="2"/>
    <n v="0"/>
    <n v="2"/>
    <x v="1"/>
    <n v="0"/>
    <n v="0"/>
    <x v="1"/>
    <n v="1"/>
    <m/>
    <m/>
  </r>
  <r>
    <n v="42"/>
    <x v="1"/>
    <s v="Travel_Frequently"/>
    <n v="1271"/>
    <s v="Research &amp; Development"/>
    <n v="2"/>
    <n v="1"/>
    <s v="Medical"/>
    <n v="1"/>
    <n v="875"/>
    <n v="2"/>
    <x v="1"/>
    <n v="35"/>
    <n v="3"/>
    <x v="1"/>
    <x v="1"/>
    <x v="0"/>
    <s v="Single"/>
    <n v="2515"/>
    <n v="9068"/>
    <n v="5"/>
    <s v="Y"/>
    <s v="Yes"/>
    <n v="14"/>
    <n v="3"/>
    <n v="4"/>
    <n v="80"/>
    <n v="0"/>
    <n v="8"/>
    <n v="2"/>
    <n v="3"/>
    <x v="4"/>
    <n v="1"/>
    <n v="2"/>
    <n v="2"/>
    <x v="1"/>
    <n v="0"/>
    <n v="0"/>
    <x v="1"/>
    <n v="1"/>
    <m/>
    <m/>
  </r>
  <r>
    <n v="36"/>
    <x v="1"/>
    <s v="Travel_Rarely"/>
    <n v="1278"/>
    <s v="Human Resources"/>
    <n v="8"/>
    <n v="3"/>
    <s v="Life Sciences"/>
    <n v="1"/>
    <n v="878"/>
    <n v="1"/>
    <x v="1"/>
    <n v="77"/>
    <n v="2"/>
    <x v="1"/>
    <x v="8"/>
    <x v="3"/>
    <s v="Married"/>
    <n v="2342"/>
    <n v="8635"/>
    <n v="0"/>
    <s v="Y"/>
    <s v="No"/>
    <n v="21"/>
    <n v="4"/>
    <n v="3"/>
    <n v="80"/>
    <n v="0"/>
    <n v="6"/>
    <n v="3"/>
    <n v="3"/>
    <x v="8"/>
    <n v="4"/>
    <n v="0"/>
    <n v="3"/>
    <x v="5"/>
    <n v="0"/>
    <n v="0"/>
    <x v="1"/>
    <n v="1"/>
    <m/>
    <m/>
  </r>
  <r>
    <n v="25"/>
    <x v="1"/>
    <s v="Travel_Rarely"/>
    <n v="141"/>
    <s v="Sales"/>
    <n v="3"/>
    <n v="1"/>
    <s v="Other"/>
    <n v="1"/>
    <n v="879"/>
    <n v="3"/>
    <x v="1"/>
    <n v="98"/>
    <n v="3"/>
    <x v="0"/>
    <x v="0"/>
    <x v="3"/>
    <s v="Married"/>
    <n v="4194"/>
    <n v="14363"/>
    <n v="1"/>
    <s v="Y"/>
    <s v="Yes"/>
    <n v="18"/>
    <n v="3"/>
    <n v="4"/>
    <n v="80"/>
    <n v="0"/>
    <n v="5"/>
    <n v="3"/>
    <n v="3"/>
    <x v="8"/>
    <n v="3"/>
    <n v="0"/>
    <n v="3"/>
    <x v="0"/>
    <n v="0"/>
    <n v="0"/>
    <x v="0"/>
    <n v="1"/>
    <m/>
    <m/>
  </r>
  <r>
    <n v="35"/>
    <x v="1"/>
    <s v="Travel_Rarely"/>
    <n v="607"/>
    <s v="Research &amp; Development"/>
    <n v="9"/>
    <n v="3"/>
    <s v="Life Sciences"/>
    <n v="1"/>
    <n v="880"/>
    <n v="4"/>
    <x v="0"/>
    <n v="66"/>
    <n v="2"/>
    <x v="2"/>
    <x v="3"/>
    <x v="2"/>
    <s v="Married"/>
    <n v="10685"/>
    <n v="23457"/>
    <n v="1"/>
    <s v="Y"/>
    <s v="Yes"/>
    <n v="20"/>
    <n v="4"/>
    <n v="2"/>
    <n v="80"/>
    <n v="1"/>
    <n v="17"/>
    <n v="2"/>
    <n v="3"/>
    <x v="18"/>
    <n v="14"/>
    <n v="5"/>
    <n v="15"/>
    <x v="2"/>
    <n v="0"/>
    <n v="0"/>
    <x v="2"/>
    <n v="1"/>
    <m/>
    <m/>
  </r>
  <r>
    <n v="35"/>
    <x v="0"/>
    <s v="Travel_Frequently"/>
    <n v="130"/>
    <s v="Research &amp; Development"/>
    <n v="25"/>
    <n v="4"/>
    <s v="Life Sciences"/>
    <n v="1"/>
    <n v="881"/>
    <n v="4"/>
    <x v="0"/>
    <n v="96"/>
    <n v="3"/>
    <x v="1"/>
    <x v="1"/>
    <x v="1"/>
    <s v="Divorced"/>
    <n v="2022"/>
    <n v="16612"/>
    <n v="1"/>
    <s v="Y"/>
    <s v="Yes"/>
    <n v="19"/>
    <n v="3"/>
    <n v="1"/>
    <n v="80"/>
    <n v="1"/>
    <n v="10"/>
    <n v="3"/>
    <n v="2"/>
    <x v="1"/>
    <n v="2"/>
    <n v="7"/>
    <n v="8"/>
    <x v="1"/>
    <n v="1"/>
    <n v="36396"/>
    <x v="1"/>
    <n v="1"/>
    <m/>
    <m/>
  </r>
  <r>
    <n v="32"/>
    <x v="1"/>
    <s v="Non-Travel"/>
    <n v="300"/>
    <s v="Research &amp; Development"/>
    <n v="1"/>
    <n v="3"/>
    <s v="Life Sciences"/>
    <n v="1"/>
    <n v="882"/>
    <n v="4"/>
    <x v="1"/>
    <n v="61"/>
    <n v="3"/>
    <x v="1"/>
    <x v="2"/>
    <x v="0"/>
    <s v="Divorced"/>
    <n v="2314"/>
    <n v="9148"/>
    <n v="0"/>
    <s v="Y"/>
    <s v="No"/>
    <n v="12"/>
    <n v="3"/>
    <n v="2"/>
    <n v="80"/>
    <n v="1"/>
    <n v="4"/>
    <n v="2"/>
    <n v="3"/>
    <x v="11"/>
    <n v="0"/>
    <n v="0"/>
    <n v="2"/>
    <x v="1"/>
    <n v="0"/>
    <n v="0"/>
    <x v="1"/>
    <n v="1"/>
    <m/>
    <m/>
  </r>
  <r>
    <n v="25"/>
    <x v="1"/>
    <s v="Travel_Rarely"/>
    <n v="583"/>
    <s v="Sales"/>
    <n v="4"/>
    <n v="1"/>
    <s v="Marketing"/>
    <n v="1"/>
    <n v="885"/>
    <n v="3"/>
    <x v="1"/>
    <n v="87"/>
    <n v="2"/>
    <x v="0"/>
    <x v="0"/>
    <x v="3"/>
    <s v="Married"/>
    <n v="4256"/>
    <n v="18154"/>
    <n v="1"/>
    <s v="Y"/>
    <s v="No"/>
    <n v="12"/>
    <n v="3"/>
    <n v="1"/>
    <n v="80"/>
    <n v="0"/>
    <n v="5"/>
    <n v="1"/>
    <n v="4"/>
    <x v="8"/>
    <n v="2"/>
    <n v="0"/>
    <n v="3"/>
    <x v="0"/>
    <n v="0"/>
    <n v="0"/>
    <x v="0"/>
    <n v="1"/>
    <m/>
    <m/>
  </r>
  <r>
    <n v="49"/>
    <x v="1"/>
    <s v="Travel_Rarely"/>
    <n v="1418"/>
    <s v="Research &amp; Development"/>
    <n v="1"/>
    <n v="3"/>
    <s v="Technical Degree"/>
    <n v="1"/>
    <n v="887"/>
    <n v="3"/>
    <x v="0"/>
    <n v="36"/>
    <n v="3"/>
    <x v="1"/>
    <x v="1"/>
    <x v="3"/>
    <s v="Married"/>
    <n v="3580"/>
    <n v="10554"/>
    <n v="2"/>
    <s v="Y"/>
    <s v="No"/>
    <n v="16"/>
    <n v="3"/>
    <n v="2"/>
    <n v="80"/>
    <n v="1"/>
    <n v="7"/>
    <n v="2"/>
    <n v="3"/>
    <x v="9"/>
    <n v="2"/>
    <n v="0"/>
    <n v="2"/>
    <x v="1"/>
    <n v="0"/>
    <n v="0"/>
    <x v="0"/>
    <n v="1"/>
    <m/>
    <m/>
  </r>
  <r>
    <n v="24"/>
    <x v="1"/>
    <s v="Non-Travel"/>
    <n v="1269"/>
    <s v="Research &amp; Development"/>
    <n v="4"/>
    <n v="1"/>
    <s v="Life Sciences"/>
    <n v="1"/>
    <n v="888"/>
    <n v="1"/>
    <x v="1"/>
    <n v="46"/>
    <n v="2"/>
    <x v="1"/>
    <x v="2"/>
    <x v="0"/>
    <s v="Married"/>
    <n v="3162"/>
    <n v="10778"/>
    <n v="0"/>
    <s v="Y"/>
    <s v="No"/>
    <n v="17"/>
    <n v="3"/>
    <n v="4"/>
    <n v="80"/>
    <n v="0"/>
    <n v="6"/>
    <n v="2"/>
    <n v="2"/>
    <x v="8"/>
    <n v="2"/>
    <n v="3"/>
    <n v="4"/>
    <x v="1"/>
    <n v="0"/>
    <n v="0"/>
    <x v="0"/>
    <n v="1"/>
    <m/>
    <m/>
  </r>
  <r>
    <n v="32"/>
    <x v="1"/>
    <s v="Travel_Frequently"/>
    <n v="379"/>
    <s v="Sales"/>
    <n v="5"/>
    <n v="2"/>
    <s v="Life Sciences"/>
    <n v="1"/>
    <n v="889"/>
    <n v="2"/>
    <x v="1"/>
    <n v="48"/>
    <n v="3"/>
    <x v="0"/>
    <x v="0"/>
    <x v="1"/>
    <s v="Married"/>
    <n v="6524"/>
    <n v="8891"/>
    <n v="1"/>
    <s v="Y"/>
    <s v="No"/>
    <n v="14"/>
    <n v="3"/>
    <n v="4"/>
    <n v="80"/>
    <n v="1"/>
    <n v="10"/>
    <n v="3"/>
    <n v="3"/>
    <x v="1"/>
    <n v="8"/>
    <n v="5"/>
    <n v="3"/>
    <x v="0"/>
    <n v="0"/>
    <n v="0"/>
    <x v="4"/>
    <n v="1"/>
    <m/>
    <m/>
  </r>
  <r>
    <n v="38"/>
    <x v="1"/>
    <s v="Travel_Rarely"/>
    <n v="395"/>
    <s v="Sales"/>
    <n v="9"/>
    <n v="3"/>
    <s v="Marketing"/>
    <n v="1"/>
    <n v="893"/>
    <n v="2"/>
    <x v="1"/>
    <n v="98"/>
    <n v="2"/>
    <x v="1"/>
    <x v="6"/>
    <x v="1"/>
    <s v="Married"/>
    <n v="2899"/>
    <n v="12102"/>
    <n v="0"/>
    <s v="Y"/>
    <s v="No"/>
    <n v="19"/>
    <n v="3"/>
    <n v="4"/>
    <n v="80"/>
    <n v="1"/>
    <n v="3"/>
    <n v="3"/>
    <n v="3"/>
    <x v="4"/>
    <n v="2"/>
    <n v="1"/>
    <n v="2"/>
    <x v="0"/>
    <n v="0"/>
    <n v="0"/>
    <x v="1"/>
    <n v="1"/>
    <m/>
    <m/>
  </r>
  <r>
    <n v="42"/>
    <x v="1"/>
    <s v="Travel_Rarely"/>
    <n v="1265"/>
    <s v="Research &amp; Development"/>
    <n v="3"/>
    <n v="3"/>
    <s v="Life Sciences"/>
    <n v="1"/>
    <n v="894"/>
    <n v="3"/>
    <x v="0"/>
    <n v="95"/>
    <n v="4"/>
    <x v="0"/>
    <x v="2"/>
    <x v="0"/>
    <s v="Married"/>
    <n v="5231"/>
    <n v="23726"/>
    <n v="2"/>
    <s v="Y"/>
    <s v="Yes"/>
    <n v="13"/>
    <n v="3"/>
    <n v="2"/>
    <n v="80"/>
    <n v="1"/>
    <n v="17"/>
    <n v="1"/>
    <n v="2"/>
    <x v="8"/>
    <n v="3"/>
    <n v="1"/>
    <n v="3"/>
    <x v="1"/>
    <n v="0"/>
    <n v="0"/>
    <x v="0"/>
    <n v="1"/>
    <m/>
    <m/>
  </r>
  <r>
    <n v="31"/>
    <x v="1"/>
    <s v="Travel_Rarely"/>
    <n v="1222"/>
    <s v="Research &amp; Development"/>
    <n v="11"/>
    <n v="4"/>
    <s v="Life Sciences"/>
    <n v="1"/>
    <n v="895"/>
    <n v="4"/>
    <x v="1"/>
    <n v="48"/>
    <n v="3"/>
    <x v="1"/>
    <x v="1"/>
    <x v="0"/>
    <s v="Married"/>
    <n v="2356"/>
    <n v="14871"/>
    <n v="3"/>
    <s v="Y"/>
    <s v="Yes"/>
    <n v="19"/>
    <n v="3"/>
    <n v="2"/>
    <n v="80"/>
    <n v="1"/>
    <n v="8"/>
    <n v="2"/>
    <n v="3"/>
    <x v="0"/>
    <n v="4"/>
    <n v="0"/>
    <n v="2"/>
    <x v="1"/>
    <n v="0"/>
    <n v="0"/>
    <x v="1"/>
    <n v="1"/>
    <m/>
    <m/>
  </r>
  <r>
    <n v="29"/>
    <x v="0"/>
    <s v="Travel_Rarely"/>
    <n v="341"/>
    <s v="Sales"/>
    <n v="1"/>
    <n v="3"/>
    <s v="Medical"/>
    <n v="1"/>
    <n v="896"/>
    <n v="2"/>
    <x v="0"/>
    <n v="48"/>
    <n v="2"/>
    <x v="1"/>
    <x v="6"/>
    <x v="2"/>
    <s v="Divorced"/>
    <n v="2800"/>
    <n v="23522"/>
    <n v="6"/>
    <s v="Y"/>
    <s v="Yes"/>
    <n v="19"/>
    <n v="3"/>
    <n v="3"/>
    <n v="80"/>
    <n v="3"/>
    <n v="5"/>
    <n v="3"/>
    <n v="3"/>
    <x v="11"/>
    <n v="2"/>
    <n v="0"/>
    <n v="2"/>
    <x v="0"/>
    <n v="1"/>
    <n v="50400"/>
    <x v="1"/>
    <n v="1"/>
    <m/>
    <m/>
  </r>
  <r>
    <n v="53"/>
    <x v="1"/>
    <s v="Travel_Rarely"/>
    <n v="868"/>
    <s v="Sales"/>
    <n v="8"/>
    <n v="3"/>
    <s v="Marketing"/>
    <n v="1"/>
    <n v="897"/>
    <n v="1"/>
    <x v="1"/>
    <n v="73"/>
    <n v="3"/>
    <x v="3"/>
    <x v="0"/>
    <x v="0"/>
    <s v="Married"/>
    <n v="11836"/>
    <n v="22789"/>
    <n v="5"/>
    <s v="Y"/>
    <s v="No"/>
    <n v="14"/>
    <n v="3"/>
    <n v="3"/>
    <n v="80"/>
    <n v="1"/>
    <n v="28"/>
    <n v="3"/>
    <n v="3"/>
    <x v="4"/>
    <n v="0"/>
    <n v="2"/>
    <n v="2"/>
    <x v="0"/>
    <n v="0"/>
    <n v="0"/>
    <x v="2"/>
    <n v="1"/>
    <m/>
    <m/>
  </r>
  <r>
    <n v="35"/>
    <x v="1"/>
    <s v="Travel_Rarely"/>
    <n v="672"/>
    <s v="Research &amp; Development"/>
    <n v="25"/>
    <n v="3"/>
    <s v="Technical Degree"/>
    <n v="1"/>
    <n v="899"/>
    <n v="4"/>
    <x v="1"/>
    <n v="78"/>
    <n v="2"/>
    <x v="2"/>
    <x v="3"/>
    <x v="1"/>
    <s v="Married"/>
    <n v="10903"/>
    <n v="9129"/>
    <n v="3"/>
    <s v="Y"/>
    <s v="No"/>
    <n v="16"/>
    <n v="3"/>
    <n v="1"/>
    <n v="80"/>
    <n v="0"/>
    <n v="16"/>
    <n v="2"/>
    <n v="3"/>
    <x v="20"/>
    <n v="10"/>
    <n v="4"/>
    <n v="8"/>
    <x v="2"/>
    <n v="0"/>
    <n v="0"/>
    <x v="2"/>
    <n v="1"/>
    <m/>
    <m/>
  </r>
  <r>
    <n v="37"/>
    <x v="1"/>
    <s v="Travel_Frequently"/>
    <n v="1231"/>
    <s v="Sales"/>
    <n v="21"/>
    <n v="2"/>
    <s v="Medical"/>
    <n v="1"/>
    <n v="900"/>
    <n v="3"/>
    <x v="0"/>
    <n v="54"/>
    <n v="3"/>
    <x v="1"/>
    <x v="6"/>
    <x v="0"/>
    <s v="Married"/>
    <n v="2973"/>
    <n v="21222"/>
    <n v="5"/>
    <s v="Y"/>
    <s v="No"/>
    <n v="15"/>
    <n v="3"/>
    <n v="2"/>
    <n v="80"/>
    <n v="1"/>
    <n v="10"/>
    <n v="3"/>
    <n v="3"/>
    <x v="8"/>
    <n v="4"/>
    <n v="0"/>
    <n v="0"/>
    <x v="0"/>
    <n v="0"/>
    <n v="0"/>
    <x v="1"/>
    <n v="1"/>
    <m/>
    <m/>
  </r>
  <r>
    <n v="53"/>
    <x v="1"/>
    <s v="Travel_Rarely"/>
    <n v="102"/>
    <s v="Research &amp; Development"/>
    <n v="23"/>
    <n v="4"/>
    <s v="Life Sciences"/>
    <n v="1"/>
    <n v="901"/>
    <n v="4"/>
    <x v="0"/>
    <n v="72"/>
    <n v="3"/>
    <x v="3"/>
    <x v="7"/>
    <x v="0"/>
    <s v="Single"/>
    <n v="14275"/>
    <n v="20206"/>
    <n v="6"/>
    <s v="Y"/>
    <s v="No"/>
    <n v="18"/>
    <n v="3"/>
    <n v="3"/>
    <n v="80"/>
    <n v="0"/>
    <n v="33"/>
    <n v="0"/>
    <n v="3"/>
    <x v="12"/>
    <n v="9"/>
    <n v="3"/>
    <n v="8"/>
    <x v="1"/>
    <n v="0"/>
    <n v="0"/>
    <x v="3"/>
    <n v="1"/>
    <m/>
    <m/>
  </r>
  <r>
    <n v="43"/>
    <x v="1"/>
    <s v="Travel_Frequently"/>
    <n v="422"/>
    <s v="Research &amp; Development"/>
    <n v="1"/>
    <n v="3"/>
    <s v="Life Sciences"/>
    <n v="1"/>
    <n v="902"/>
    <n v="4"/>
    <x v="0"/>
    <n v="33"/>
    <n v="3"/>
    <x v="0"/>
    <x v="4"/>
    <x v="0"/>
    <s v="Married"/>
    <n v="5562"/>
    <n v="21782"/>
    <n v="4"/>
    <s v="Y"/>
    <s v="No"/>
    <n v="13"/>
    <n v="3"/>
    <n v="2"/>
    <n v="80"/>
    <n v="1"/>
    <n v="12"/>
    <n v="2"/>
    <n v="2"/>
    <x v="8"/>
    <n v="2"/>
    <n v="2"/>
    <n v="2"/>
    <x v="3"/>
    <n v="0"/>
    <n v="0"/>
    <x v="0"/>
    <n v="1"/>
    <m/>
    <m/>
  </r>
  <r>
    <n v="47"/>
    <x v="1"/>
    <s v="Travel_Rarely"/>
    <n v="249"/>
    <s v="Sales"/>
    <n v="2"/>
    <n v="2"/>
    <s v="Marketing"/>
    <n v="1"/>
    <n v="903"/>
    <n v="3"/>
    <x v="0"/>
    <n v="35"/>
    <n v="3"/>
    <x v="0"/>
    <x v="0"/>
    <x v="0"/>
    <s v="Married"/>
    <n v="4537"/>
    <n v="17783"/>
    <n v="0"/>
    <s v="Y"/>
    <s v="Yes"/>
    <n v="22"/>
    <n v="4"/>
    <n v="1"/>
    <n v="80"/>
    <n v="1"/>
    <n v="8"/>
    <n v="2"/>
    <n v="3"/>
    <x v="5"/>
    <n v="6"/>
    <n v="7"/>
    <n v="7"/>
    <x v="0"/>
    <n v="0"/>
    <n v="0"/>
    <x v="0"/>
    <n v="1"/>
    <m/>
    <m/>
  </r>
  <r>
    <n v="37"/>
    <x v="1"/>
    <s v="Non-Travel"/>
    <n v="1252"/>
    <s v="Sales"/>
    <n v="19"/>
    <n v="2"/>
    <s v="Medical"/>
    <n v="1"/>
    <n v="904"/>
    <n v="1"/>
    <x v="1"/>
    <n v="32"/>
    <n v="3"/>
    <x v="2"/>
    <x v="0"/>
    <x v="1"/>
    <s v="Single"/>
    <n v="7642"/>
    <n v="4814"/>
    <n v="1"/>
    <s v="Y"/>
    <s v="Yes"/>
    <n v="13"/>
    <n v="3"/>
    <n v="4"/>
    <n v="80"/>
    <n v="0"/>
    <n v="10"/>
    <n v="2"/>
    <n v="3"/>
    <x v="1"/>
    <n v="0"/>
    <n v="0"/>
    <n v="9"/>
    <x v="0"/>
    <n v="0"/>
    <n v="0"/>
    <x v="4"/>
    <n v="1"/>
    <m/>
    <m/>
  </r>
  <r>
    <n v="50"/>
    <x v="1"/>
    <s v="Non-Travel"/>
    <n v="881"/>
    <s v="Research &amp; Development"/>
    <n v="2"/>
    <n v="4"/>
    <s v="Life Sciences"/>
    <n v="1"/>
    <n v="905"/>
    <n v="1"/>
    <x v="1"/>
    <n v="98"/>
    <n v="3"/>
    <x v="3"/>
    <x v="5"/>
    <x v="3"/>
    <s v="Divorced"/>
    <n v="17924"/>
    <n v="4544"/>
    <n v="1"/>
    <s v="Y"/>
    <s v="No"/>
    <n v="11"/>
    <n v="3"/>
    <n v="4"/>
    <n v="80"/>
    <n v="1"/>
    <n v="31"/>
    <n v="3"/>
    <n v="3"/>
    <x v="31"/>
    <n v="6"/>
    <n v="14"/>
    <n v="7"/>
    <x v="4"/>
    <n v="0"/>
    <n v="0"/>
    <x v="3"/>
    <n v="1"/>
    <m/>
    <m/>
  </r>
  <r>
    <n v="39"/>
    <x v="1"/>
    <s v="Travel_Rarely"/>
    <n v="1383"/>
    <s v="Human Resources"/>
    <n v="2"/>
    <n v="3"/>
    <s v="Life Sciences"/>
    <n v="1"/>
    <n v="909"/>
    <n v="4"/>
    <x v="0"/>
    <n v="42"/>
    <n v="2"/>
    <x v="0"/>
    <x v="8"/>
    <x v="0"/>
    <s v="Married"/>
    <n v="5204"/>
    <n v="7790"/>
    <n v="8"/>
    <s v="Y"/>
    <s v="No"/>
    <n v="11"/>
    <n v="3"/>
    <n v="3"/>
    <n v="80"/>
    <n v="2"/>
    <n v="13"/>
    <n v="2"/>
    <n v="3"/>
    <x v="8"/>
    <n v="4"/>
    <n v="0"/>
    <n v="4"/>
    <x v="5"/>
    <n v="0"/>
    <n v="0"/>
    <x v="0"/>
    <n v="1"/>
    <m/>
    <m/>
  </r>
  <r>
    <n v="33"/>
    <x v="1"/>
    <s v="Travel_Rarely"/>
    <n v="1075"/>
    <s v="Human Resources"/>
    <n v="3"/>
    <n v="2"/>
    <s v="Human Resources"/>
    <n v="1"/>
    <n v="910"/>
    <n v="4"/>
    <x v="1"/>
    <n v="57"/>
    <n v="3"/>
    <x v="1"/>
    <x v="8"/>
    <x v="1"/>
    <s v="Divorced"/>
    <n v="2277"/>
    <n v="22650"/>
    <n v="3"/>
    <s v="Y"/>
    <s v="Yes"/>
    <n v="11"/>
    <n v="3"/>
    <n v="3"/>
    <n v="80"/>
    <n v="1"/>
    <n v="7"/>
    <n v="4"/>
    <n v="4"/>
    <x v="9"/>
    <n v="3"/>
    <n v="0"/>
    <n v="3"/>
    <x v="5"/>
    <n v="0"/>
    <n v="0"/>
    <x v="1"/>
    <n v="1"/>
    <m/>
    <m/>
  </r>
  <r>
    <n v="32"/>
    <x v="0"/>
    <s v="Travel_Rarely"/>
    <n v="374"/>
    <s v="Research &amp; Development"/>
    <n v="25"/>
    <n v="4"/>
    <s v="Life Sciences"/>
    <n v="1"/>
    <n v="911"/>
    <n v="1"/>
    <x v="1"/>
    <n v="87"/>
    <n v="3"/>
    <x v="1"/>
    <x v="2"/>
    <x v="0"/>
    <s v="Single"/>
    <n v="2795"/>
    <n v="18016"/>
    <n v="1"/>
    <s v="Y"/>
    <s v="Yes"/>
    <n v="24"/>
    <n v="4"/>
    <n v="3"/>
    <n v="80"/>
    <n v="0"/>
    <n v="1"/>
    <n v="2"/>
    <n v="1"/>
    <x v="6"/>
    <n v="0"/>
    <n v="0"/>
    <n v="1"/>
    <x v="1"/>
    <n v="1"/>
    <n v="50310"/>
    <x v="1"/>
    <n v="1"/>
    <m/>
    <m/>
  </r>
  <r>
    <n v="29"/>
    <x v="1"/>
    <s v="Travel_Rarely"/>
    <n v="1086"/>
    <s v="Research &amp; Development"/>
    <n v="7"/>
    <n v="1"/>
    <s v="Medical"/>
    <n v="1"/>
    <n v="912"/>
    <n v="1"/>
    <x v="0"/>
    <n v="62"/>
    <n v="2"/>
    <x v="1"/>
    <x v="2"/>
    <x v="0"/>
    <s v="Divorced"/>
    <n v="2532"/>
    <n v="6054"/>
    <n v="6"/>
    <s v="Y"/>
    <s v="No"/>
    <n v="14"/>
    <n v="3"/>
    <n v="3"/>
    <n v="80"/>
    <n v="3"/>
    <n v="8"/>
    <n v="5"/>
    <n v="3"/>
    <x v="9"/>
    <n v="3"/>
    <n v="0"/>
    <n v="3"/>
    <x v="1"/>
    <n v="0"/>
    <n v="0"/>
    <x v="1"/>
    <n v="1"/>
    <m/>
    <m/>
  </r>
  <r>
    <n v="44"/>
    <x v="1"/>
    <s v="Travel_Rarely"/>
    <n v="661"/>
    <s v="Research &amp; Development"/>
    <n v="9"/>
    <n v="2"/>
    <s v="Life Sciences"/>
    <n v="1"/>
    <n v="913"/>
    <n v="2"/>
    <x v="1"/>
    <n v="61"/>
    <n v="3"/>
    <x v="1"/>
    <x v="1"/>
    <x v="3"/>
    <s v="Married"/>
    <n v="2559"/>
    <n v="7508"/>
    <n v="1"/>
    <s v="Y"/>
    <s v="Yes"/>
    <n v="13"/>
    <n v="3"/>
    <n v="4"/>
    <n v="80"/>
    <n v="0"/>
    <n v="8"/>
    <n v="0"/>
    <n v="3"/>
    <x v="3"/>
    <n v="7"/>
    <n v="7"/>
    <n v="1"/>
    <x v="1"/>
    <n v="0"/>
    <n v="0"/>
    <x v="1"/>
    <n v="1"/>
    <m/>
    <m/>
  </r>
  <r>
    <n v="28"/>
    <x v="1"/>
    <s v="Travel_Rarely"/>
    <n v="821"/>
    <s v="Sales"/>
    <n v="5"/>
    <n v="4"/>
    <s v="Medical"/>
    <n v="1"/>
    <n v="916"/>
    <n v="1"/>
    <x v="1"/>
    <n v="98"/>
    <n v="3"/>
    <x v="0"/>
    <x v="0"/>
    <x v="0"/>
    <s v="Single"/>
    <n v="4908"/>
    <n v="24252"/>
    <n v="1"/>
    <s v="Y"/>
    <s v="No"/>
    <n v="14"/>
    <n v="3"/>
    <n v="2"/>
    <n v="80"/>
    <n v="0"/>
    <n v="4"/>
    <n v="3"/>
    <n v="3"/>
    <x v="9"/>
    <n v="2"/>
    <n v="0"/>
    <n v="2"/>
    <x v="0"/>
    <n v="0"/>
    <n v="0"/>
    <x v="0"/>
    <n v="1"/>
    <m/>
    <m/>
  </r>
  <r>
    <n v="58"/>
    <x v="0"/>
    <s v="Travel_Frequently"/>
    <n v="781"/>
    <s v="Research &amp; Development"/>
    <n v="2"/>
    <n v="1"/>
    <s v="Life Sciences"/>
    <n v="1"/>
    <n v="918"/>
    <n v="4"/>
    <x v="1"/>
    <n v="57"/>
    <n v="2"/>
    <x v="1"/>
    <x v="2"/>
    <x v="0"/>
    <s v="Divorced"/>
    <n v="2380"/>
    <n v="13384"/>
    <n v="9"/>
    <s v="Y"/>
    <s v="Yes"/>
    <n v="14"/>
    <n v="3"/>
    <n v="4"/>
    <n v="80"/>
    <n v="1"/>
    <n v="3"/>
    <n v="3"/>
    <n v="2"/>
    <x v="6"/>
    <n v="0"/>
    <n v="0"/>
    <n v="0"/>
    <x v="1"/>
    <n v="1"/>
    <n v="42840"/>
    <x v="1"/>
    <n v="1"/>
    <m/>
    <m/>
  </r>
  <r>
    <n v="43"/>
    <x v="1"/>
    <s v="Travel_Rarely"/>
    <n v="177"/>
    <s v="Research &amp; Development"/>
    <n v="8"/>
    <n v="3"/>
    <s v="Life Sciences"/>
    <n v="1"/>
    <n v="920"/>
    <n v="1"/>
    <x v="0"/>
    <n v="55"/>
    <n v="3"/>
    <x v="0"/>
    <x v="3"/>
    <x v="1"/>
    <s v="Divorced"/>
    <n v="4765"/>
    <n v="23814"/>
    <n v="4"/>
    <s v="Y"/>
    <s v="No"/>
    <n v="21"/>
    <n v="4"/>
    <n v="3"/>
    <n v="80"/>
    <n v="1"/>
    <n v="4"/>
    <n v="2"/>
    <n v="4"/>
    <x v="6"/>
    <n v="0"/>
    <n v="0"/>
    <n v="0"/>
    <x v="2"/>
    <n v="0"/>
    <n v="0"/>
    <x v="0"/>
    <n v="1"/>
    <m/>
    <m/>
  </r>
  <r>
    <n v="20"/>
    <x v="0"/>
    <s v="Travel_Rarely"/>
    <n v="500"/>
    <s v="Sales"/>
    <n v="2"/>
    <n v="3"/>
    <s v="Medical"/>
    <n v="1"/>
    <n v="922"/>
    <n v="3"/>
    <x v="0"/>
    <n v="49"/>
    <n v="2"/>
    <x v="1"/>
    <x v="6"/>
    <x v="2"/>
    <s v="Single"/>
    <n v="2044"/>
    <n v="22052"/>
    <n v="1"/>
    <s v="Y"/>
    <s v="No"/>
    <n v="13"/>
    <n v="3"/>
    <n v="4"/>
    <n v="80"/>
    <n v="0"/>
    <n v="2"/>
    <n v="3"/>
    <n v="2"/>
    <x v="4"/>
    <n v="2"/>
    <n v="0"/>
    <n v="2"/>
    <x v="0"/>
    <n v="1"/>
    <n v="36792"/>
    <x v="1"/>
    <n v="1"/>
    <m/>
    <m/>
  </r>
  <r>
    <n v="21"/>
    <x v="0"/>
    <s v="Travel_Rarely"/>
    <n v="1427"/>
    <s v="Research &amp; Development"/>
    <n v="18"/>
    <n v="1"/>
    <s v="Other"/>
    <n v="1"/>
    <n v="923"/>
    <n v="4"/>
    <x v="0"/>
    <n v="65"/>
    <n v="3"/>
    <x v="1"/>
    <x v="1"/>
    <x v="0"/>
    <s v="Single"/>
    <n v="2693"/>
    <n v="8870"/>
    <n v="1"/>
    <s v="Y"/>
    <s v="No"/>
    <n v="19"/>
    <n v="3"/>
    <n v="1"/>
    <n v="80"/>
    <n v="0"/>
    <n v="1"/>
    <n v="3"/>
    <n v="2"/>
    <x v="6"/>
    <n v="0"/>
    <n v="0"/>
    <n v="0"/>
    <x v="1"/>
    <n v="1"/>
    <n v="48474"/>
    <x v="1"/>
    <n v="1"/>
    <m/>
    <m/>
  </r>
  <r>
    <n v="36"/>
    <x v="1"/>
    <s v="Travel_Rarely"/>
    <n v="1425"/>
    <s v="Research &amp; Development"/>
    <n v="14"/>
    <n v="1"/>
    <s v="Life Sciences"/>
    <n v="1"/>
    <n v="924"/>
    <n v="3"/>
    <x v="1"/>
    <n v="68"/>
    <n v="3"/>
    <x v="0"/>
    <x v="4"/>
    <x v="0"/>
    <s v="Married"/>
    <n v="6586"/>
    <n v="4821"/>
    <n v="0"/>
    <s v="Y"/>
    <s v="Yes"/>
    <n v="17"/>
    <n v="3"/>
    <n v="1"/>
    <n v="80"/>
    <n v="1"/>
    <n v="17"/>
    <n v="2"/>
    <n v="2"/>
    <x v="22"/>
    <n v="8"/>
    <n v="4"/>
    <n v="11"/>
    <x v="3"/>
    <n v="0"/>
    <n v="0"/>
    <x v="4"/>
    <n v="1"/>
    <m/>
    <m/>
  </r>
  <r>
    <n v="47"/>
    <x v="1"/>
    <s v="Travel_Rarely"/>
    <n v="1454"/>
    <s v="Sales"/>
    <n v="2"/>
    <n v="4"/>
    <s v="Life Sciences"/>
    <n v="1"/>
    <n v="925"/>
    <n v="4"/>
    <x v="0"/>
    <n v="65"/>
    <n v="2"/>
    <x v="1"/>
    <x v="6"/>
    <x v="0"/>
    <s v="Single"/>
    <n v="3294"/>
    <n v="13137"/>
    <n v="1"/>
    <s v="Y"/>
    <s v="Yes"/>
    <n v="18"/>
    <n v="3"/>
    <n v="1"/>
    <n v="80"/>
    <n v="0"/>
    <n v="3"/>
    <n v="3"/>
    <n v="2"/>
    <x v="11"/>
    <n v="2"/>
    <n v="1"/>
    <n v="2"/>
    <x v="0"/>
    <n v="0"/>
    <n v="0"/>
    <x v="0"/>
    <n v="1"/>
    <m/>
    <m/>
  </r>
  <r>
    <n v="22"/>
    <x v="0"/>
    <s v="Travel_Rarely"/>
    <n v="617"/>
    <s v="Research &amp; Development"/>
    <n v="3"/>
    <n v="1"/>
    <s v="Life Sciences"/>
    <n v="1"/>
    <n v="926"/>
    <n v="2"/>
    <x v="0"/>
    <n v="34"/>
    <n v="3"/>
    <x v="0"/>
    <x v="3"/>
    <x v="2"/>
    <s v="Married"/>
    <n v="4171"/>
    <n v="10022"/>
    <n v="0"/>
    <s v="Y"/>
    <s v="Yes"/>
    <n v="19"/>
    <n v="3"/>
    <n v="1"/>
    <n v="80"/>
    <n v="1"/>
    <n v="4"/>
    <n v="3"/>
    <n v="4"/>
    <x v="11"/>
    <n v="2"/>
    <n v="0"/>
    <n v="2"/>
    <x v="2"/>
    <n v="1"/>
    <n v="75078"/>
    <x v="0"/>
    <n v="1"/>
    <m/>
    <m/>
  </r>
  <r>
    <n v="41"/>
    <x v="0"/>
    <s v="Travel_Rarely"/>
    <n v="1085"/>
    <s v="Research &amp; Development"/>
    <n v="2"/>
    <n v="4"/>
    <s v="Life Sciences"/>
    <n v="1"/>
    <n v="927"/>
    <n v="2"/>
    <x v="0"/>
    <n v="57"/>
    <n v="1"/>
    <x v="1"/>
    <x v="2"/>
    <x v="0"/>
    <s v="Divorced"/>
    <n v="2778"/>
    <n v="17725"/>
    <n v="4"/>
    <s v="Y"/>
    <s v="Yes"/>
    <n v="13"/>
    <n v="3"/>
    <n v="3"/>
    <n v="80"/>
    <n v="1"/>
    <n v="10"/>
    <n v="1"/>
    <n v="2"/>
    <x v="5"/>
    <n v="7"/>
    <n v="1"/>
    <n v="0"/>
    <x v="1"/>
    <n v="1"/>
    <n v="50004"/>
    <x v="1"/>
    <n v="1"/>
    <m/>
    <m/>
  </r>
  <r>
    <n v="28"/>
    <x v="1"/>
    <s v="Travel_Rarely"/>
    <n v="995"/>
    <s v="Research &amp; Development"/>
    <n v="9"/>
    <n v="3"/>
    <s v="Medical"/>
    <n v="1"/>
    <n v="930"/>
    <n v="3"/>
    <x v="0"/>
    <n v="77"/>
    <n v="3"/>
    <x v="1"/>
    <x v="1"/>
    <x v="2"/>
    <s v="Divorced"/>
    <n v="2377"/>
    <n v="9834"/>
    <n v="5"/>
    <s v="Y"/>
    <s v="No"/>
    <n v="18"/>
    <n v="3"/>
    <n v="2"/>
    <n v="80"/>
    <n v="1"/>
    <n v="6"/>
    <n v="2"/>
    <n v="3"/>
    <x v="4"/>
    <n v="2"/>
    <n v="2"/>
    <n v="2"/>
    <x v="1"/>
    <n v="0"/>
    <n v="0"/>
    <x v="1"/>
    <n v="1"/>
    <m/>
    <m/>
  </r>
  <r>
    <n v="39"/>
    <x v="0"/>
    <s v="Travel_Rarely"/>
    <n v="1122"/>
    <s v="Research &amp; Development"/>
    <n v="6"/>
    <n v="3"/>
    <s v="Medical"/>
    <n v="1"/>
    <n v="932"/>
    <n v="4"/>
    <x v="1"/>
    <n v="70"/>
    <n v="3"/>
    <x v="1"/>
    <x v="2"/>
    <x v="3"/>
    <s v="Married"/>
    <n v="2404"/>
    <n v="4303"/>
    <n v="7"/>
    <s v="Y"/>
    <s v="Yes"/>
    <n v="21"/>
    <n v="4"/>
    <n v="4"/>
    <n v="80"/>
    <n v="0"/>
    <n v="8"/>
    <n v="2"/>
    <n v="1"/>
    <x v="4"/>
    <n v="2"/>
    <n v="2"/>
    <n v="2"/>
    <x v="1"/>
    <n v="1"/>
    <n v="43272"/>
    <x v="1"/>
    <n v="1"/>
    <m/>
    <m/>
  </r>
  <r>
    <n v="27"/>
    <x v="1"/>
    <s v="Travel_Rarely"/>
    <n v="618"/>
    <s v="Research &amp; Development"/>
    <n v="4"/>
    <n v="3"/>
    <s v="Life Sciences"/>
    <n v="1"/>
    <n v="933"/>
    <n v="2"/>
    <x v="0"/>
    <n v="76"/>
    <n v="3"/>
    <x v="1"/>
    <x v="1"/>
    <x v="2"/>
    <s v="Single"/>
    <n v="2318"/>
    <n v="17808"/>
    <n v="1"/>
    <s v="Y"/>
    <s v="No"/>
    <n v="19"/>
    <n v="3"/>
    <n v="3"/>
    <n v="80"/>
    <n v="0"/>
    <n v="1"/>
    <n v="2"/>
    <n v="3"/>
    <x v="6"/>
    <n v="1"/>
    <n v="0"/>
    <n v="0"/>
    <x v="1"/>
    <n v="0"/>
    <n v="0"/>
    <x v="1"/>
    <n v="1"/>
    <m/>
    <m/>
  </r>
  <r>
    <n v="34"/>
    <x v="1"/>
    <s v="Travel_Rarely"/>
    <n v="546"/>
    <s v="Research &amp; Development"/>
    <n v="10"/>
    <n v="3"/>
    <s v="Life Sciences"/>
    <n v="1"/>
    <n v="934"/>
    <n v="2"/>
    <x v="1"/>
    <n v="83"/>
    <n v="3"/>
    <x v="1"/>
    <x v="2"/>
    <x v="1"/>
    <s v="Divorced"/>
    <n v="2008"/>
    <n v="6896"/>
    <n v="1"/>
    <s v="Y"/>
    <s v="No"/>
    <n v="14"/>
    <n v="3"/>
    <n v="2"/>
    <n v="80"/>
    <n v="2"/>
    <n v="1"/>
    <n v="3"/>
    <n v="3"/>
    <x v="6"/>
    <n v="0"/>
    <n v="1"/>
    <n v="0"/>
    <x v="1"/>
    <n v="0"/>
    <n v="0"/>
    <x v="1"/>
    <n v="1"/>
    <m/>
    <m/>
  </r>
  <r>
    <n v="42"/>
    <x v="1"/>
    <s v="Travel_Rarely"/>
    <n v="462"/>
    <s v="Sales"/>
    <n v="14"/>
    <n v="2"/>
    <s v="Medical"/>
    <n v="1"/>
    <n v="936"/>
    <n v="3"/>
    <x v="0"/>
    <n v="68"/>
    <n v="2"/>
    <x v="0"/>
    <x v="0"/>
    <x v="2"/>
    <s v="Single"/>
    <n v="6244"/>
    <n v="7824"/>
    <n v="7"/>
    <s v="Y"/>
    <s v="No"/>
    <n v="17"/>
    <n v="3"/>
    <n v="1"/>
    <n v="80"/>
    <n v="0"/>
    <n v="10"/>
    <n v="6"/>
    <n v="3"/>
    <x v="8"/>
    <n v="4"/>
    <n v="0"/>
    <n v="3"/>
    <x v="0"/>
    <n v="0"/>
    <n v="0"/>
    <x v="4"/>
    <n v="1"/>
    <m/>
    <m/>
  </r>
  <r>
    <n v="33"/>
    <x v="1"/>
    <s v="Travel_Rarely"/>
    <n v="1198"/>
    <s v="Research &amp; Development"/>
    <n v="1"/>
    <n v="4"/>
    <s v="Other"/>
    <n v="1"/>
    <n v="939"/>
    <n v="3"/>
    <x v="1"/>
    <n v="100"/>
    <n v="2"/>
    <x v="1"/>
    <x v="1"/>
    <x v="3"/>
    <s v="Single"/>
    <n v="2799"/>
    <n v="3339"/>
    <n v="3"/>
    <s v="Y"/>
    <s v="Yes"/>
    <n v="11"/>
    <n v="3"/>
    <n v="2"/>
    <n v="80"/>
    <n v="0"/>
    <n v="6"/>
    <n v="1"/>
    <n v="3"/>
    <x v="11"/>
    <n v="2"/>
    <n v="0"/>
    <n v="2"/>
    <x v="1"/>
    <n v="0"/>
    <n v="0"/>
    <x v="1"/>
    <n v="1"/>
    <m/>
    <m/>
  </r>
  <r>
    <n v="58"/>
    <x v="1"/>
    <s v="Travel_Rarely"/>
    <n v="1272"/>
    <s v="Research &amp; Development"/>
    <n v="5"/>
    <n v="3"/>
    <s v="Technical Degree"/>
    <n v="1"/>
    <n v="940"/>
    <n v="3"/>
    <x v="0"/>
    <n v="37"/>
    <n v="2"/>
    <x v="2"/>
    <x v="4"/>
    <x v="1"/>
    <s v="Divorced"/>
    <n v="10552"/>
    <n v="9255"/>
    <n v="2"/>
    <s v="Y"/>
    <s v="Yes"/>
    <n v="13"/>
    <n v="3"/>
    <n v="4"/>
    <n v="80"/>
    <n v="1"/>
    <n v="24"/>
    <n v="3"/>
    <n v="3"/>
    <x v="0"/>
    <n v="0"/>
    <n v="0"/>
    <n v="4"/>
    <x v="3"/>
    <n v="0"/>
    <n v="0"/>
    <x v="2"/>
    <n v="1"/>
    <m/>
    <m/>
  </r>
  <r>
    <n v="31"/>
    <x v="1"/>
    <s v="Travel_Rarely"/>
    <n v="154"/>
    <s v="Sales"/>
    <n v="7"/>
    <n v="4"/>
    <s v="Life Sciences"/>
    <n v="1"/>
    <n v="941"/>
    <n v="2"/>
    <x v="1"/>
    <n v="41"/>
    <n v="2"/>
    <x v="1"/>
    <x v="6"/>
    <x v="2"/>
    <s v="Married"/>
    <n v="2329"/>
    <n v="11737"/>
    <n v="3"/>
    <s v="Y"/>
    <s v="No"/>
    <n v="15"/>
    <n v="3"/>
    <n v="2"/>
    <n v="80"/>
    <n v="0"/>
    <n v="13"/>
    <n v="2"/>
    <n v="4"/>
    <x v="5"/>
    <n v="7"/>
    <n v="5"/>
    <n v="2"/>
    <x v="0"/>
    <n v="0"/>
    <n v="0"/>
    <x v="1"/>
    <n v="1"/>
    <m/>
    <m/>
  </r>
  <r>
    <n v="35"/>
    <x v="1"/>
    <s v="Travel_Rarely"/>
    <n v="1137"/>
    <s v="Research &amp; Development"/>
    <n v="21"/>
    <n v="1"/>
    <s v="Life Sciences"/>
    <n v="1"/>
    <n v="942"/>
    <n v="4"/>
    <x v="0"/>
    <n v="51"/>
    <n v="3"/>
    <x v="0"/>
    <x v="4"/>
    <x v="0"/>
    <s v="Married"/>
    <n v="4014"/>
    <n v="19170"/>
    <n v="1"/>
    <s v="Y"/>
    <s v="Yes"/>
    <n v="25"/>
    <n v="4"/>
    <n v="4"/>
    <n v="80"/>
    <n v="1"/>
    <n v="10"/>
    <n v="2"/>
    <n v="1"/>
    <x v="1"/>
    <n v="6"/>
    <n v="0"/>
    <n v="7"/>
    <x v="3"/>
    <n v="0"/>
    <n v="0"/>
    <x v="0"/>
    <n v="1"/>
    <m/>
    <m/>
  </r>
  <r>
    <n v="49"/>
    <x v="1"/>
    <s v="Travel_Rarely"/>
    <n v="527"/>
    <s v="Research &amp; Development"/>
    <n v="8"/>
    <n v="2"/>
    <s v="Other"/>
    <n v="1"/>
    <n v="944"/>
    <n v="1"/>
    <x v="0"/>
    <n v="51"/>
    <n v="3"/>
    <x v="2"/>
    <x v="2"/>
    <x v="1"/>
    <s v="Married"/>
    <n v="7403"/>
    <n v="22477"/>
    <n v="4"/>
    <s v="Y"/>
    <s v="No"/>
    <n v="11"/>
    <n v="3"/>
    <n v="3"/>
    <n v="80"/>
    <n v="1"/>
    <n v="29"/>
    <n v="3"/>
    <n v="2"/>
    <x v="34"/>
    <n v="9"/>
    <n v="1"/>
    <n v="7"/>
    <x v="1"/>
    <n v="0"/>
    <n v="0"/>
    <x v="4"/>
    <n v="1"/>
    <m/>
    <m/>
  </r>
  <r>
    <n v="48"/>
    <x v="1"/>
    <s v="Travel_Rarely"/>
    <n v="1469"/>
    <s v="Research &amp; Development"/>
    <n v="20"/>
    <n v="4"/>
    <s v="Medical"/>
    <n v="1"/>
    <n v="945"/>
    <n v="4"/>
    <x v="1"/>
    <n v="51"/>
    <n v="3"/>
    <x v="1"/>
    <x v="1"/>
    <x v="2"/>
    <s v="Married"/>
    <n v="2259"/>
    <n v="5543"/>
    <n v="4"/>
    <s v="Y"/>
    <s v="No"/>
    <n v="17"/>
    <n v="3"/>
    <n v="1"/>
    <n v="80"/>
    <n v="2"/>
    <n v="13"/>
    <n v="2"/>
    <n v="2"/>
    <x v="2"/>
    <n v="0"/>
    <n v="0"/>
    <n v="0"/>
    <x v="1"/>
    <n v="0"/>
    <n v="0"/>
    <x v="1"/>
    <n v="1"/>
    <m/>
    <m/>
  </r>
  <r>
    <n v="31"/>
    <x v="1"/>
    <s v="Non-Travel"/>
    <n v="1188"/>
    <s v="Sales"/>
    <n v="20"/>
    <n v="2"/>
    <s v="Marketing"/>
    <n v="1"/>
    <n v="947"/>
    <n v="4"/>
    <x v="0"/>
    <n v="45"/>
    <n v="3"/>
    <x v="0"/>
    <x v="0"/>
    <x v="2"/>
    <s v="Married"/>
    <n v="6932"/>
    <n v="24406"/>
    <n v="1"/>
    <s v="Y"/>
    <s v="No"/>
    <n v="13"/>
    <n v="3"/>
    <n v="4"/>
    <n v="80"/>
    <n v="1"/>
    <n v="9"/>
    <n v="2"/>
    <n v="2"/>
    <x v="7"/>
    <n v="8"/>
    <n v="0"/>
    <n v="0"/>
    <x v="0"/>
    <n v="0"/>
    <n v="0"/>
    <x v="4"/>
    <n v="1"/>
    <m/>
    <m/>
  </r>
  <r>
    <n v="36"/>
    <x v="1"/>
    <s v="Travel_Rarely"/>
    <n v="188"/>
    <s v="Research &amp; Development"/>
    <n v="7"/>
    <n v="4"/>
    <s v="Other"/>
    <n v="1"/>
    <n v="949"/>
    <n v="2"/>
    <x v="1"/>
    <n v="65"/>
    <n v="3"/>
    <x v="1"/>
    <x v="1"/>
    <x v="0"/>
    <s v="Single"/>
    <n v="4678"/>
    <n v="23293"/>
    <n v="2"/>
    <s v="Y"/>
    <s v="No"/>
    <n v="18"/>
    <n v="3"/>
    <n v="3"/>
    <n v="80"/>
    <n v="0"/>
    <n v="8"/>
    <n v="6"/>
    <n v="3"/>
    <x v="0"/>
    <n v="2"/>
    <n v="0"/>
    <n v="1"/>
    <x v="1"/>
    <n v="0"/>
    <n v="0"/>
    <x v="0"/>
    <n v="1"/>
    <m/>
    <m/>
  </r>
  <r>
    <n v="38"/>
    <x v="1"/>
    <s v="Travel_Rarely"/>
    <n v="1333"/>
    <s v="Research &amp; Development"/>
    <n v="1"/>
    <n v="3"/>
    <s v="Technical Degree"/>
    <n v="1"/>
    <n v="950"/>
    <n v="4"/>
    <x v="0"/>
    <n v="80"/>
    <n v="3"/>
    <x v="2"/>
    <x v="7"/>
    <x v="3"/>
    <s v="Married"/>
    <n v="13582"/>
    <n v="16292"/>
    <n v="1"/>
    <s v="Y"/>
    <s v="No"/>
    <n v="13"/>
    <n v="3"/>
    <n v="2"/>
    <n v="80"/>
    <n v="1"/>
    <n v="15"/>
    <n v="3"/>
    <n v="3"/>
    <x v="15"/>
    <n v="12"/>
    <n v="5"/>
    <n v="11"/>
    <x v="1"/>
    <n v="0"/>
    <n v="0"/>
    <x v="3"/>
    <n v="1"/>
    <m/>
    <m/>
  </r>
  <r>
    <n v="32"/>
    <x v="1"/>
    <s v="Non-Travel"/>
    <n v="1184"/>
    <s v="Research &amp; Development"/>
    <n v="1"/>
    <n v="3"/>
    <s v="Life Sciences"/>
    <n v="1"/>
    <n v="951"/>
    <n v="3"/>
    <x v="0"/>
    <n v="70"/>
    <n v="2"/>
    <x v="1"/>
    <x v="2"/>
    <x v="1"/>
    <s v="Married"/>
    <n v="2332"/>
    <n v="3974"/>
    <n v="6"/>
    <s v="Y"/>
    <s v="No"/>
    <n v="20"/>
    <n v="4"/>
    <n v="3"/>
    <n v="80"/>
    <n v="0"/>
    <n v="5"/>
    <n v="3"/>
    <n v="3"/>
    <x v="11"/>
    <n v="0"/>
    <n v="0"/>
    <n v="2"/>
    <x v="1"/>
    <n v="0"/>
    <n v="0"/>
    <x v="1"/>
    <n v="1"/>
    <m/>
    <m/>
  </r>
  <r>
    <n v="25"/>
    <x v="0"/>
    <s v="Travel_Rarely"/>
    <n v="867"/>
    <s v="Sales"/>
    <n v="19"/>
    <n v="2"/>
    <s v="Marketing"/>
    <n v="1"/>
    <n v="952"/>
    <n v="3"/>
    <x v="1"/>
    <n v="36"/>
    <n v="2"/>
    <x v="1"/>
    <x v="6"/>
    <x v="1"/>
    <s v="Married"/>
    <n v="2413"/>
    <n v="18798"/>
    <n v="1"/>
    <s v="Y"/>
    <s v="Yes"/>
    <n v="18"/>
    <n v="3"/>
    <n v="3"/>
    <n v="80"/>
    <n v="3"/>
    <n v="1"/>
    <n v="2"/>
    <n v="3"/>
    <x v="6"/>
    <n v="0"/>
    <n v="0"/>
    <n v="0"/>
    <x v="0"/>
    <n v="1"/>
    <n v="43434"/>
    <x v="1"/>
    <n v="1"/>
    <m/>
    <m/>
  </r>
  <r>
    <n v="40"/>
    <x v="1"/>
    <s v="Travel_Rarely"/>
    <n v="658"/>
    <s v="Sales"/>
    <n v="10"/>
    <n v="4"/>
    <s v="Marketing"/>
    <n v="1"/>
    <n v="954"/>
    <n v="1"/>
    <x v="1"/>
    <n v="67"/>
    <n v="2"/>
    <x v="2"/>
    <x v="0"/>
    <x v="1"/>
    <s v="Divorced"/>
    <n v="9705"/>
    <n v="20652"/>
    <n v="2"/>
    <s v="Y"/>
    <s v="No"/>
    <n v="12"/>
    <n v="3"/>
    <n v="2"/>
    <n v="80"/>
    <n v="1"/>
    <n v="11"/>
    <n v="2"/>
    <n v="2"/>
    <x v="6"/>
    <n v="0"/>
    <n v="0"/>
    <n v="0"/>
    <x v="0"/>
    <n v="0"/>
    <n v="0"/>
    <x v="2"/>
    <n v="1"/>
    <m/>
    <m/>
  </r>
  <r>
    <n v="26"/>
    <x v="1"/>
    <s v="Travel_Frequently"/>
    <n v="1283"/>
    <s v="Sales"/>
    <n v="1"/>
    <n v="3"/>
    <s v="Medical"/>
    <n v="1"/>
    <n v="956"/>
    <n v="3"/>
    <x v="1"/>
    <n v="52"/>
    <n v="2"/>
    <x v="0"/>
    <x v="0"/>
    <x v="3"/>
    <s v="Single"/>
    <n v="4294"/>
    <n v="11148"/>
    <n v="1"/>
    <s v="Y"/>
    <s v="No"/>
    <n v="12"/>
    <n v="3"/>
    <n v="2"/>
    <n v="80"/>
    <n v="0"/>
    <n v="7"/>
    <n v="2"/>
    <n v="3"/>
    <x v="5"/>
    <n v="7"/>
    <n v="0"/>
    <n v="7"/>
    <x v="0"/>
    <n v="0"/>
    <n v="0"/>
    <x v="0"/>
    <n v="1"/>
    <m/>
    <m/>
  </r>
  <r>
    <n v="41"/>
    <x v="1"/>
    <s v="Travel_Rarely"/>
    <n v="263"/>
    <s v="Research &amp; Development"/>
    <n v="6"/>
    <n v="3"/>
    <s v="Medical"/>
    <n v="1"/>
    <n v="957"/>
    <n v="4"/>
    <x v="1"/>
    <n v="59"/>
    <n v="3"/>
    <x v="1"/>
    <x v="2"/>
    <x v="3"/>
    <s v="Single"/>
    <n v="4721"/>
    <n v="3119"/>
    <n v="2"/>
    <s v="Y"/>
    <s v="Yes"/>
    <n v="13"/>
    <n v="3"/>
    <n v="3"/>
    <n v="80"/>
    <n v="0"/>
    <n v="20"/>
    <n v="3"/>
    <n v="3"/>
    <x v="29"/>
    <n v="13"/>
    <n v="2"/>
    <n v="17"/>
    <x v="1"/>
    <n v="0"/>
    <n v="0"/>
    <x v="0"/>
    <n v="1"/>
    <m/>
    <m/>
  </r>
  <r>
    <n v="36"/>
    <x v="1"/>
    <s v="Travel_Rarely"/>
    <n v="938"/>
    <s v="Research &amp; Development"/>
    <n v="2"/>
    <n v="4"/>
    <s v="Medical"/>
    <n v="1"/>
    <n v="958"/>
    <n v="3"/>
    <x v="1"/>
    <n v="79"/>
    <n v="3"/>
    <x v="1"/>
    <x v="2"/>
    <x v="2"/>
    <s v="Single"/>
    <n v="2519"/>
    <n v="12287"/>
    <n v="4"/>
    <s v="Y"/>
    <s v="No"/>
    <n v="21"/>
    <n v="4"/>
    <n v="3"/>
    <n v="80"/>
    <n v="0"/>
    <n v="16"/>
    <n v="6"/>
    <n v="3"/>
    <x v="19"/>
    <n v="8"/>
    <n v="3"/>
    <n v="9"/>
    <x v="1"/>
    <n v="0"/>
    <n v="0"/>
    <x v="1"/>
    <n v="1"/>
    <m/>
    <m/>
  </r>
  <r>
    <n v="19"/>
    <x v="0"/>
    <s v="Travel_Rarely"/>
    <n v="419"/>
    <s v="Sales"/>
    <n v="21"/>
    <n v="3"/>
    <s v="Other"/>
    <n v="1"/>
    <n v="959"/>
    <n v="4"/>
    <x v="1"/>
    <n v="37"/>
    <n v="2"/>
    <x v="1"/>
    <x v="6"/>
    <x v="1"/>
    <s v="Single"/>
    <n v="2121"/>
    <n v="9947"/>
    <n v="1"/>
    <s v="Y"/>
    <s v="Yes"/>
    <n v="13"/>
    <n v="3"/>
    <n v="2"/>
    <n v="80"/>
    <n v="0"/>
    <n v="1"/>
    <n v="3"/>
    <n v="4"/>
    <x v="6"/>
    <n v="0"/>
    <n v="0"/>
    <n v="0"/>
    <x v="0"/>
    <n v="1"/>
    <n v="38178"/>
    <x v="1"/>
    <n v="1"/>
    <m/>
    <m/>
  </r>
  <r>
    <n v="20"/>
    <x v="0"/>
    <s v="Travel_Rarely"/>
    <n v="129"/>
    <s v="Research &amp; Development"/>
    <n v="4"/>
    <n v="3"/>
    <s v="Technical Degree"/>
    <n v="1"/>
    <n v="960"/>
    <n v="1"/>
    <x v="1"/>
    <n v="84"/>
    <n v="3"/>
    <x v="1"/>
    <x v="2"/>
    <x v="3"/>
    <s v="Single"/>
    <n v="2973"/>
    <n v="13008"/>
    <n v="1"/>
    <s v="Y"/>
    <s v="No"/>
    <n v="19"/>
    <n v="3"/>
    <n v="2"/>
    <n v="80"/>
    <n v="0"/>
    <n v="1"/>
    <n v="2"/>
    <n v="3"/>
    <x v="6"/>
    <n v="0"/>
    <n v="0"/>
    <n v="0"/>
    <x v="1"/>
    <n v="1"/>
    <n v="53514"/>
    <x v="1"/>
    <n v="1"/>
    <m/>
    <m/>
  </r>
  <r>
    <n v="31"/>
    <x v="1"/>
    <s v="Travel_Rarely"/>
    <n v="616"/>
    <s v="Research &amp; Development"/>
    <n v="12"/>
    <n v="3"/>
    <s v="Medical"/>
    <n v="1"/>
    <n v="961"/>
    <n v="4"/>
    <x v="0"/>
    <n v="41"/>
    <n v="3"/>
    <x v="0"/>
    <x v="4"/>
    <x v="0"/>
    <s v="Married"/>
    <n v="5855"/>
    <n v="17369"/>
    <n v="0"/>
    <s v="Y"/>
    <s v="Yes"/>
    <n v="11"/>
    <n v="3"/>
    <n v="3"/>
    <n v="80"/>
    <n v="2"/>
    <n v="10"/>
    <n v="2"/>
    <n v="1"/>
    <x v="7"/>
    <n v="7"/>
    <n v="8"/>
    <n v="5"/>
    <x v="3"/>
    <n v="0"/>
    <n v="0"/>
    <x v="0"/>
    <n v="1"/>
    <m/>
    <m/>
  </r>
  <r>
    <n v="40"/>
    <x v="1"/>
    <s v="Travel_Frequently"/>
    <n v="1469"/>
    <s v="Research &amp; Development"/>
    <n v="9"/>
    <n v="4"/>
    <s v="Medical"/>
    <n v="1"/>
    <n v="964"/>
    <n v="4"/>
    <x v="1"/>
    <n v="35"/>
    <n v="3"/>
    <x v="1"/>
    <x v="1"/>
    <x v="1"/>
    <s v="Divorced"/>
    <n v="3617"/>
    <n v="25063"/>
    <n v="8"/>
    <s v="Y"/>
    <s v="Yes"/>
    <n v="14"/>
    <n v="3"/>
    <n v="4"/>
    <n v="80"/>
    <n v="1"/>
    <n v="3"/>
    <n v="2"/>
    <n v="3"/>
    <x v="6"/>
    <n v="1"/>
    <n v="0"/>
    <n v="0"/>
    <x v="1"/>
    <n v="0"/>
    <n v="0"/>
    <x v="0"/>
    <n v="1"/>
    <m/>
    <m/>
  </r>
  <r>
    <n v="32"/>
    <x v="1"/>
    <s v="Travel_Rarely"/>
    <n v="498"/>
    <s v="Research &amp; Development"/>
    <n v="3"/>
    <n v="4"/>
    <s v="Medical"/>
    <n v="1"/>
    <n v="966"/>
    <n v="3"/>
    <x v="0"/>
    <n v="93"/>
    <n v="3"/>
    <x v="0"/>
    <x v="3"/>
    <x v="3"/>
    <s v="Married"/>
    <n v="6725"/>
    <n v="13554"/>
    <n v="1"/>
    <s v="Y"/>
    <s v="No"/>
    <n v="12"/>
    <n v="3"/>
    <n v="3"/>
    <n v="80"/>
    <n v="1"/>
    <n v="8"/>
    <n v="2"/>
    <n v="4"/>
    <x v="3"/>
    <n v="7"/>
    <n v="6"/>
    <n v="3"/>
    <x v="2"/>
    <n v="0"/>
    <n v="0"/>
    <x v="4"/>
    <n v="1"/>
    <m/>
    <m/>
  </r>
  <r>
    <n v="36"/>
    <x v="0"/>
    <s v="Travel_Rarely"/>
    <n v="530"/>
    <s v="Sales"/>
    <n v="3"/>
    <n v="1"/>
    <s v="Life Sciences"/>
    <n v="1"/>
    <n v="967"/>
    <n v="3"/>
    <x v="1"/>
    <n v="51"/>
    <n v="2"/>
    <x v="2"/>
    <x v="0"/>
    <x v="0"/>
    <s v="Married"/>
    <n v="10325"/>
    <n v="5518"/>
    <n v="1"/>
    <s v="Y"/>
    <s v="Yes"/>
    <n v="11"/>
    <n v="3"/>
    <n v="1"/>
    <n v="80"/>
    <n v="1"/>
    <n v="16"/>
    <n v="6"/>
    <n v="3"/>
    <x v="22"/>
    <n v="7"/>
    <n v="3"/>
    <n v="7"/>
    <x v="0"/>
    <n v="1"/>
    <n v="185850"/>
    <x v="2"/>
    <n v="1"/>
    <m/>
    <m/>
  </r>
  <r>
    <n v="33"/>
    <x v="1"/>
    <s v="Travel_Rarely"/>
    <n v="1069"/>
    <s v="Research &amp; Development"/>
    <n v="1"/>
    <n v="3"/>
    <s v="Life Sciences"/>
    <n v="1"/>
    <n v="969"/>
    <n v="2"/>
    <x v="0"/>
    <n v="42"/>
    <n v="2"/>
    <x v="0"/>
    <x v="4"/>
    <x v="0"/>
    <s v="Single"/>
    <n v="6949"/>
    <n v="12291"/>
    <n v="0"/>
    <s v="Y"/>
    <s v="No"/>
    <n v="14"/>
    <n v="3"/>
    <n v="1"/>
    <n v="80"/>
    <n v="0"/>
    <n v="6"/>
    <n v="3"/>
    <n v="3"/>
    <x v="8"/>
    <n v="0"/>
    <n v="1"/>
    <n v="4"/>
    <x v="3"/>
    <n v="0"/>
    <n v="0"/>
    <x v="4"/>
    <n v="1"/>
    <m/>
    <m/>
  </r>
  <r>
    <n v="37"/>
    <x v="0"/>
    <s v="Travel_Rarely"/>
    <n v="625"/>
    <s v="Sales"/>
    <n v="1"/>
    <n v="4"/>
    <s v="Life Sciences"/>
    <n v="1"/>
    <n v="970"/>
    <n v="1"/>
    <x v="1"/>
    <n v="46"/>
    <n v="2"/>
    <x v="2"/>
    <x v="0"/>
    <x v="2"/>
    <s v="Married"/>
    <n v="10609"/>
    <n v="14922"/>
    <n v="5"/>
    <s v="Y"/>
    <s v="No"/>
    <n v="11"/>
    <n v="3"/>
    <n v="3"/>
    <n v="80"/>
    <n v="0"/>
    <n v="17"/>
    <n v="2"/>
    <n v="1"/>
    <x v="13"/>
    <n v="1"/>
    <n v="11"/>
    <n v="7"/>
    <x v="0"/>
    <n v="1"/>
    <n v="190962"/>
    <x v="2"/>
    <n v="1"/>
    <m/>
    <m/>
  </r>
  <r>
    <n v="45"/>
    <x v="1"/>
    <s v="Non-Travel"/>
    <n v="805"/>
    <s v="Research &amp; Development"/>
    <n v="4"/>
    <n v="2"/>
    <s v="Life Sciences"/>
    <n v="1"/>
    <n v="972"/>
    <n v="3"/>
    <x v="1"/>
    <n v="57"/>
    <n v="3"/>
    <x v="0"/>
    <x v="2"/>
    <x v="1"/>
    <s v="Married"/>
    <n v="4447"/>
    <n v="23163"/>
    <n v="1"/>
    <s v="Y"/>
    <s v="No"/>
    <n v="12"/>
    <n v="3"/>
    <n v="2"/>
    <n v="80"/>
    <n v="0"/>
    <n v="9"/>
    <n v="5"/>
    <n v="2"/>
    <x v="7"/>
    <n v="7"/>
    <n v="0"/>
    <n v="8"/>
    <x v="1"/>
    <n v="0"/>
    <n v="0"/>
    <x v="0"/>
    <n v="1"/>
    <m/>
    <m/>
  </r>
  <r>
    <n v="29"/>
    <x v="1"/>
    <s v="Travel_Frequently"/>
    <n v="1404"/>
    <s v="Sales"/>
    <n v="20"/>
    <n v="3"/>
    <s v="Technical Degree"/>
    <n v="1"/>
    <n v="974"/>
    <n v="3"/>
    <x v="0"/>
    <n v="84"/>
    <n v="3"/>
    <x v="1"/>
    <x v="6"/>
    <x v="0"/>
    <s v="Married"/>
    <n v="2157"/>
    <n v="18203"/>
    <n v="1"/>
    <s v="Y"/>
    <s v="No"/>
    <n v="15"/>
    <n v="3"/>
    <n v="2"/>
    <n v="80"/>
    <n v="1"/>
    <n v="3"/>
    <n v="5"/>
    <n v="3"/>
    <x v="11"/>
    <n v="1"/>
    <n v="0"/>
    <n v="2"/>
    <x v="0"/>
    <n v="0"/>
    <n v="0"/>
    <x v="1"/>
    <n v="1"/>
    <m/>
    <m/>
  </r>
  <r>
    <n v="35"/>
    <x v="1"/>
    <s v="Travel_Rarely"/>
    <n v="1219"/>
    <s v="Sales"/>
    <n v="18"/>
    <n v="3"/>
    <s v="Medical"/>
    <n v="1"/>
    <n v="975"/>
    <n v="3"/>
    <x v="0"/>
    <n v="86"/>
    <n v="3"/>
    <x v="0"/>
    <x v="0"/>
    <x v="2"/>
    <s v="Married"/>
    <n v="4601"/>
    <n v="6179"/>
    <n v="1"/>
    <s v="Y"/>
    <s v="No"/>
    <n v="16"/>
    <n v="3"/>
    <n v="2"/>
    <n v="80"/>
    <n v="0"/>
    <n v="5"/>
    <n v="3"/>
    <n v="3"/>
    <x v="8"/>
    <n v="2"/>
    <n v="1"/>
    <n v="0"/>
    <x v="0"/>
    <n v="0"/>
    <n v="0"/>
    <x v="0"/>
    <n v="1"/>
    <m/>
    <m/>
  </r>
  <r>
    <n v="52"/>
    <x v="1"/>
    <s v="Travel_Rarely"/>
    <n v="1053"/>
    <s v="Research &amp; Development"/>
    <n v="1"/>
    <n v="2"/>
    <s v="Life Sciences"/>
    <n v="1"/>
    <n v="976"/>
    <n v="4"/>
    <x v="1"/>
    <n v="70"/>
    <n v="3"/>
    <x v="3"/>
    <x v="5"/>
    <x v="0"/>
    <s v="Married"/>
    <n v="17099"/>
    <n v="13829"/>
    <n v="2"/>
    <s v="Y"/>
    <s v="No"/>
    <n v="15"/>
    <n v="3"/>
    <n v="2"/>
    <n v="80"/>
    <n v="1"/>
    <n v="26"/>
    <n v="2"/>
    <n v="2"/>
    <x v="7"/>
    <n v="8"/>
    <n v="7"/>
    <n v="8"/>
    <x v="4"/>
    <n v="0"/>
    <n v="0"/>
    <x v="3"/>
    <n v="1"/>
    <m/>
    <m/>
  </r>
  <r>
    <n v="58"/>
    <x v="0"/>
    <s v="Travel_Rarely"/>
    <n v="289"/>
    <s v="Research &amp; Development"/>
    <n v="2"/>
    <n v="3"/>
    <s v="Technical Degree"/>
    <n v="1"/>
    <n v="977"/>
    <n v="4"/>
    <x v="1"/>
    <n v="51"/>
    <n v="3"/>
    <x v="1"/>
    <x v="1"/>
    <x v="2"/>
    <s v="Single"/>
    <n v="2479"/>
    <n v="26227"/>
    <n v="4"/>
    <s v="Y"/>
    <s v="No"/>
    <n v="24"/>
    <n v="4"/>
    <n v="1"/>
    <n v="80"/>
    <n v="0"/>
    <n v="7"/>
    <n v="4"/>
    <n v="3"/>
    <x v="6"/>
    <n v="0"/>
    <n v="0"/>
    <n v="0"/>
    <x v="1"/>
    <n v="1"/>
    <n v="44622"/>
    <x v="1"/>
    <n v="1"/>
    <m/>
    <m/>
  </r>
  <r>
    <n v="53"/>
    <x v="1"/>
    <s v="Travel_Rarely"/>
    <n v="1376"/>
    <s v="Sales"/>
    <n v="2"/>
    <n v="2"/>
    <s v="Medical"/>
    <n v="1"/>
    <n v="981"/>
    <n v="3"/>
    <x v="1"/>
    <n v="45"/>
    <n v="3"/>
    <x v="3"/>
    <x v="5"/>
    <x v="2"/>
    <s v="Divorced"/>
    <n v="14852"/>
    <n v="13938"/>
    <n v="6"/>
    <s v="Y"/>
    <s v="No"/>
    <n v="13"/>
    <n v="3"/>
    <n v="3"/>
    <n v="80"/>
    <n v="1"/>
    <n v="22"/>
    <n v="3"/>
    <n v="4"/>
    <x v="18"/>
    <n v="13"/>
    <n v="15"/>
    <n v="2"/>
    <x v="4"/>
    <n v="0"/>
    <n v="0"/>
    <x v="3"/>
    <n v="1"/>
    <m/>
    <m/>
  </r>
  <r>
    <n v="30"/>
    <x v="1"/>
    <s v="Travel_Rarely"/>
    <n v="231"/>
    <s v="Sales"/>
    <n v="8"/>
    <n v="2"/>
    <s v="Other"/>
    <n v="1"/>
    <n v="982"/>
    <n v="3"/>
    <x v="1"/>
    <n v="62"/>
    <n v="3"/>
    <x v="2"/>
    <x v="0"/>
    <x v="2"/>
    <s v="Divorced"/>
    <n v="7264"/>
    <n v="9977"/>
    <n v="5"/>
    <s v="Y"/>
    <s v="No"/>
    <n v="11"/>
    <n v="3"/>
    <n v="1"/>
    <n v="80"/>
    <n v="1"/>
    <n v="10"/>
    <n v="2"/>
    <n v="4"/>
    <x v="3"/>
    <n v="4"/>
    <n v="7"/>
    <n v="7"/>
    <x v="0"/>
    <n v="0"/>
    <n v="0"/>
    <x v="4"/>
    <n v="1"/>
    <m/>
    <m/>
  </r>
  <r>
    <n v="38"/>
    <x v="1"/>
    <s v="Non-Travel"/>
    <n v="152"/>
    <s v="Sales"/>
    <n v="10"/>
    <n v="3"/>
    <s v="Technical Degree"/>
    <n v="1"/>
    <n v="983"/>
    <n v="3"/>
    <x v="0"/>
    <n v="85"/>
    <n v="3"/>
    <x v="0"/>
    <x v="0"/>
    <x v="0"/>
    <s v="Single"/>
    <n v="5666"/>
    <n v="19899"/>
    <n v="1"/>
    <s v="Y"/>
    <s v="Yes"/>
    <n v="13"/>
    <n v="3"/>
    <n v="2"/>
    <n v="80"/>
    <n v="0"/>
    <n v="6"/>
    <n v="1"/>
    <n v="3"/>
    <x v="8"/>
    <n v="3"/>
    <n v="1"/>
    <n v="3"/>
    <x v="0"/>
    <n v="0"/>
    <n v="0"/>
    <x v="0"/>
    <n v="1"/>
    <m/>
    <m/>
  </r>
  <r>
    <n v="35"/>
    <x v="1"/>
    <s v="Travel_Rarely"/>
    <n v="882"/>
    <s v="Sales"/>
    <n v="3"/>
    <n v="4"/>
    <s v="Life Sciences"/>
    <n v="1"/>
    <n v="984"/>
    <n v="4"/>
    <x v="1"/>
    <n v="92"/>
    <n v="3"/>
    <x v="2"/>
    <x v="0"/>
    <x v="0"/>
    <s v="Divorced"/>
    <n v="7823"/>
    <n v="6812"/>
    <n v="6"/>
    <s v="Y"/>
    <s v="No"/>
    <n v="13"/>
    <n v="3"/>
    <n v="2"/>
    <n v="80"/>
    <n v="1"/>
    <n v="12"/>
    <n v="2"/>
    <n v="3"/>
    <x v="1"/>
    <n v="9"/>
    <n v="0"/>
    <n v="8"/>
    <x v="0"/>
    <n v="0"/>
    <n v="0"/>
    <x v="4"/>
    <n v="1"/>
    <m/>
    <m/>
  </r>
  <r>
    <n v="39"/>
    <x v="1"/>
    <s v="Travel_Rarely"/>
    <n v="903"/>
    <s v="Sales"/>
    <n v="2"/>
    <n v="5"/>
    <s v="Life Sciences"/>
    <n v="1"/>
    <n v="985"/>
    <n v="1"/>
    <x v="1"/>
    <n v="41"/>
    <n v="4"/>
    <x v="2"/>
    <x v="0"/>
    <x v="2"/>
    <s v="Single"/>
    <n v="7880"/>
    <n v="2560"/>
    <n v="0"/>
    <s v="Y"/>
    <s v="No"/>
    <n v="18"/>
    <n v="3"/>
    <n v="4"/>
    <n v="80"/>
    <n v="0"/>
    <n v="9"/>
    <n v="3"/>
    <n v="3"/>
    <x v="3"/>
    <n v="7"/>
    <n v="0"/>
    <n v="7"/>
    <x v="0"/>
    <n v="0"/>
    <n v="0"/>
    <x v="4"/>
    <n v="1"/>
    <m/>
    <m/>
  </r>
  <r>
    <n v="40"/>
    <x v="0"/>
    <s v="Non-Travel"/>
    <n v="1479"/>
    <s v="Sales"/>
    <n v="24"/>
    <n v="3"/>
    <s v="Life Sciences"/>
    <n v="1"/>
    <n v="986"/>
    <n v="2"/>
    <x v="0"/>
    <n v="100"/>
    <n v="4"/>
    <x v="3"/>
    <x v="0"/>
    <x v="1"/>
    <s v="Single"/>
    <n v="13194"/>
    <n v="17071"/>
    <n v="4"/>
    <s v="Y"/>
    <s v="Yes"/>
    <n v="16"/>
    <n v="3"/>
    <n v="4"/>
    <n v="80"/>
    <n v="0"/>
    <n v="22"/>
    <n v="2"/>
    <n v="2"/>
    <x v="6"/>
    <n v="0"/>
    <n v="0"/>
    <n v="0"/>
    <x v="0"/>
    <n v="1"/>
    <n v="237492"/>
    <x v="3"/>
    <n v="1"/>
    <m/>
    <m/>
  </r>
  <r>
    <n v="47"/>
    <x v="1"/>
    <s v="Travel_Frequently"/>
    <n v="1379"/>
    <s v="Research &amp; Development"/>
    <n v="16"/>
    <n v="4"/>
    <s v="Medical"/>
    <n v="1"/>
    <n v="987"/>
    <n v="3"/>
    <x v="1"/>
    <n v="64"/>
    <n v="4"/>
    <x v="0"/>
    <x v="3"/>
    <x v="2"/>
    <s v="Divorced"/>
    <n v="5067"/>
    <n v="6759"/>
    <n v="1"/>
    <s v="Y"/>
    <s v="Yes"/>
    <n v="19"/>
    <n v="3"/>
    <n v="3"/>
    <n v="80"/>
    <n v="0"/>
    <n v="20"/>
    <n v="3"/>
    <n v="4"/>
    <x v="27"/>
    <n v="10"/>
    <n v="2"/>
    <n v="7"/>
    <x v="2"/>
    <n v="0"/>
    <n v="0"/>
    <x v="0"/>
    <n v="1"/>
    <m/>
    <m/>
  </r>
  <r>
    <n v="36"/>
    <x v="1"/>
    <s v="Non-Travel"/>
    <n v="1229"/>
    <s v="Sales"/>
    <n v="8"/>
    <n v="4"/>
    <s v="Technical Degree"/>
    <n v="1"/>
    <n v="990"/>
    <n v="1"/>
    <x v="1"/>
    <n v="84"/>
    <n v="3"/>
    <x v="0"/>
    <x v="0"/>
    <x v="0"/>
    <s v="Divorced"/>
    <n v="5079"/>
    <n v="25952"/>
    <n v="4"/>
    <s v="Y"/>
    <s v="No"/>
    <n v="13"/>
    <n v="3"/>
    <n v="4"/>
    <n v="80"/>
    <n v="2"/>
    <n v="12"/>
    <n v="3"/>
    <n v="3"/>
    <x v="5"/>
    <n v="7"/>
    <n v="0"/>
    <n v="7"/>
    <x v="0"/>
    <n v="0"/>
    <n v="0"/>
    <x v="0"/>
    <n v="1"/>
    <m/>
    <m/>
  </r>
  <r>
    <n v="31"/>
    <x v="0"/>
    <s v="Non-Travel"/>
    <n v="335"/>
    <s v="Research &amp; Development"/>
    <n v="9"/>
    <n v="2"/>
    <s v="Medical"/>
    <n v="1"/>
    <n v="991"/>
    <n v="3"/>
    <x v="1"/>
    <n v="46"/>
    <n v="2"/>
    <x v="1"/>
    <x v="1"/>
    <x v="3"/>
    <s v="Single"/>
    <n v="2321"/>
    <n v="10322"/>
    <n v="0"/>
    <s v="Y"/>
    <s v="Yes"/>
    <n v="22"/>
    <n v="4"/>
    <n v="1"/>
    <n v="80"/>
    <n v="0"/>
    <n v="4"/>
    <n v="0"/>
    <n v="3"/>
    <x v="11"/>
    <n v="2"/>
    <n v="1"/>
    <n v="2"/>
    <x v="1"/>
    <n v="1"/>
    <n v="41778"/>
    <x v="1"/>
    <n v="1"/>
    <m/>
    <m/>
  </r>
  <r>
    <n v="33"/>
    <x v="1"/>
    <s v="Non-Travel"/>
    <n v="722"/>
    <s v="Sales"/>
    <n v="17"/>
    <n v="3"/>
    <s v="Life Sciences"/>
    <n v="1"/>
    <n v="992"/>
    <n v="4"/>
    <x v="1"/>
    <n v="38"/>
    <n v="3"/>
    <x v="3"/>
    <x v="5"/>
    <x v="2"/>
    <s v="Single"/>
    <n v="17444"/>
    <n v="20489"/>
    <n v="1"/>
    <s v="Y"/>
    <s v="No"/>
    <n v="11"/>
    <n v="3"/>
    <n v="4"/>
    <n v="80"/>
    <n v="0"/>
    <n v="10"/>
    <n v="2"/>
    <n v="3"/>
    <x v="1"/>
    <n v="8"/>
    <n v="6"/>
    <n v="0"/>
    <x v="4"/>
    <n v="0"/>
    <n v="0"/>
    <x v="3"/>
    <n v="1"/>
    <m/>
    <m/>
  </r>
  <r>
    <n v="29"/>
    <x v="0"/>
    <s v="Travel_Rarely"/>
    <n v="906"/>
    <s v="Research &amp; Development"/>
    <n v="10"/>
    <n v="3"/>
    <s v="Life Sciences"/>
    <n v="1"/>
    <n v="994"/>
    <n v="4"/>
    <x v="0"/>
    <n v="92"/>
    <n v="2"/>
    <x v="1"/>
    <x v="1"/>
    <x v="3"/>
    <s v="Single"/>
    <n v="2404"/>
    <n v="11479"/>
    <n v="6"/>
    <s v="Y"/>
    <s v="Yes"/>
    <n v="20"/>
    <n v="4"/>
    <n v="3"/>
    <n v="80"/>
    <n v="0"/>
    <n v="3"/>
    <n v="5"/>
    <n v="3"/>
    <x v="2"/>
    <n v="0"/>
    <n v="0"/>
    <n v="0"/>
    <x v="1"/>
    <n v="1"/>
    <n v="43272"/>
    <x v="1"/>
    <n v="1"/>
    <m/>
    <m/>
  </r>
  <r>
    <n v="33"/>
    <x v="1"/>
    <s v="Travel_Rarely"/>
    <n v="461"/>
    <s v="Research &amp; Development"/>
    <n v="13"/>
    <n v="1"/>
    <s v="Life Sciences"/>
    <n v="1"/>
    <n v="995"/>
    <n v="2"/>
    <x v="0"/>
    <n v="53"/>
    <n v="3"/>
    <x v="1"/>
    <x v="1"/>
    <x v="0"/>
    <s v="Single"/>
    <n v="3452"/>
    <n v="17241"/>
    <n v="3"/>
    <s v="Y"/>
    <s v="No"/>
    <n v="18"/>
    <n v="3"/>
    <n v="1"/>
    <n v="80"/>
    <n v="0"/>
    <n v="5"/>
    <n v="4"/>
    <n v="3"/>
    <x v="11"/>
    <n v="2"/>
    <n v="0"/>
    <n v="2"/>
    <x v="1"/>
    <n v="0"/>
    <n v="0"/>
    <x v="0"/>
    <n v="1"/>
    <m/>
    <m/>
  </r>
  <r>
    <n v="45"/>
    <x v="1"/>
    <s v="Travel_Rarely"/>
    <n v="974"/>
    <s v="Research &amp; Development"/>
    <n v="1"/>
    <n v="4"/>
    <s v="Medical"/>
    <n v="1"/>
    <n v="996"/>
    <n v="4"/>
    <x v="0"/>
    <n v="91"/>
    <n v="3"/>
    <x v="1"/>
    <x v="2"/>
    <x v="0"/>
    <s v="Divorced"/>
    <n v="2270"/>
    <n v="11005"/>
    <n v="3"/>
    <s v="Y"/>
    <s v="No"/>
    <n v="14"/>
    <n v="3"/>
    <n v="4"/>
    <n v="80"/>
    <n v="2"/>
    <n v="8"/>
    <n v="2"/>
    <n v="3"/>
    <x v="8"/>
    <n v="3"/>
    <n v="0"/>
    <n v="2"/>
    <x v="1"/>
    <n v="0"/>
    <n v="0"/>
    <x v="1"/>
    <n v="1"/>
    <m/>
    <m/>
  </r>
  <r>
    <n v="50"/>
    <x v="1"/>
    <s v="Travel_Rarely"/>
    <n v="1126"/>
    <s v="Research &amp; Development"/>
    <n v="1"/>
    <n v="2"/>
    <s v="Medical"/>
    <n v="1"/>
    <n v="997"/>
    <n v="4"/>
    <x v="1"/>
    <n v="66"/>
    <n v="3"/>
    <x v="3"/>
    <x v="7"/>
    <x v="0"/>
    <s v="Divorced"/>
    <n v="17399"/>
    <n v="6615"/>
    <n v="9"/>
    <s v="Y"/>
    <s v="No"/>
    <n v="22"/>
    <n v="4"/>
    <n v="3"/>
    <n v="80"/>
    <n v="1"/>
    <n v="32"/>
    <n v="1"/>
    <n v="2"/>
    <x v="8"/>
    <n v="4"/>
    <n v="1"/>
    <n v="3"/>
    <x v="1"/>
    <n v="0"/>
    <n v="0"/>
    <x v="3"/>
    <n v="1"/>
    <m/>
    <m/>
  </r>
  <r>
    <n v="33"/>
    <x v="1"/>
    <s v="Travel_Frequently"/>
    <n v="827"/>
    <s v="Research &amp; Development"/>
    <n v="1"/>
    <n v="4"/>
    <s v="Other"/>
    <n v="1"/>
    <n v="998"/>
    <n v="3"/>
    <x v="0"/>
    <n v="84"/>
    <n v="4"/>
    <x v="0"/>
    <x v="4"/>
    <x v="1"/>
    <s v="Married"/>
    <n v="5488"/>
    <n v="20161"/>
    <n v="1"/>
    <s v="Y"/>
    <s v="Yes"/>
    <n v="13"/>
    <n v="3"/>
    <n v="1"/>
    <n v="80"/>
    <n v="1"/>
    <n v="6"/>
    <n v="2"/>
    <n v="3"/>
    <x v="0"/>
    <n v="5"/>
    <n v="1"/>
    <n v="2"/>
    <x v="3"/>
    <n v="0"/>
    <n v="0"/>
    <x v="0"/>
    <n v="1"/>
    <m/>
    <m/>
  </r>
  <r>
    <n v="41"/>
    <x v="1"/>
    <s v="Travel_Frequently"/>
    <n v="840"/>
    <s v="Research &amp; Development"/>
    <n v="9"/>
    <n v="3"/>
    <s v="Medical"/>
    <n v="1"/>
    <n v="999"/>
    <n v="1"/>
    <x v="1"/>
    <n v="64"/>
    <n v="3"/>
    <x v="4"/>
    <x v="7"/>
    <x v="2"/>
    <s v="Divorced"/>
    <n v="19419"/>
    <n v="3735"/>
    <n v="2"/>
    <s v="Y"/>
    <s v="No"/>
    <n v="17"/>
    <n v="3"/>
    <n v="2"/>
    <n v="80"/>
    <n v="1"/>
    <n v="21"/>
    <n v="2"/>
    <n v="4"/>
    <x v="29"/>
    <n v="16"/>
    <n v="0"/>
    <n v="11"/>
    <x v="1"/>
    <n v="0"/>
    <n v="0"/>
    <x v="3"/>
    <n v="1"/>
    <m/>
    <m/>
  </r>
  <r>
    <n v="27"/>
    <x v="1"/>
    <s v="Travel_Rarely"/>
    <n v="1134"/>
    <s v="Research &amp; Development"/>
    <n v="16"/>
    <n v="4"/>
    <s v="Technical Degree"/>
    <n v="1"/>
    <n v="1001"/>
    <n v="3"/>
    <x v="0"/>
    <n v="37"/>
    <n v="3"/>
    <x v="1"/>
    <x v="2"/>
    <x v="1"/>
    <s v="Married"/>
    <n v="2811"/>
    <n v="12086"/>
    <n v="9"/>
    <s v="Y"/>
    <s v="No"/>
    <n v="14"/>
    <n v="3"/>
    <n v="2"/>
    <n v="80"/>
    <n v="1"/>
    <n v="4"/>
    <n v="2"/>
    <n v="3"/>
    <x v="4"/>
    <n v="2"/>
    <n v="2"/>
    <n v="2"/>
    <x v="1"/>
    <n v="0"/>
    <n v="0"/>
    <x v="1"/>
    <n v="1"/>
    <m/>
    <m/>
  </r>
  <r>
    <n v="45"/>
    <x v="1"/>
    <s v="Non-Travel"/>
    <n v="248"/>
    <s v="Research &amp; Development"/>
    <n v="23"/>
    <n v="2"/>
    <s v="Life Sciences"/>
    <n v="1"/>
    <n v="1002"/>
    <n v="4"/>
    <x v="1"/>
    <n v="42"/>
    <n v="3"/>
    <x v="0"/>
    <x v="2"/>
    <x v="3"/>
    <s v="Married"/>
    <n v="3633"/>
    <n v="14039"/>
    <n v="1"/>
    <s v="Y"/>
    <s v="Yes"/>
    <n v="15"/>
    <n v="3"/>
    <n v="3"/>
    <n v="80"/>
    <n v="1"/>
    <n v="9"/>
    <n v="2"/>
    <n v="3"/>
    <x v="7"/>
    <n v="8"/>
    <n v="0"/>
    <n v="8"/>
    <x v="1"/>
    <n v="0"/>
    <n v="0"/>
    <x v="0"/>
    <n v="1"/>
    <m/>
    <m/>
  </r>
  <r>
    <n v="47"/>
    <x v="1"/>
    <s v="Travel_Rarely"/>
    <n v="955"/>
    <s v="Sales"/>
    <n v="4"/>
    <n v="2"/>
    <s v="Life Sciences"/>
    <n v="1"/>
    <n v="1003"/>
    <n v="4"/>
    <x v="0"/>
    <n v="83"/>
    <n v="3"/>
    <x v="0"/>
    <x v="0"/>
    <x v="0"/>
    <s v="Single"/>
    <n v="4163"/>
    <n v="8571"/>
    <n v="1"/>
    <s v="Y"/>
    <s v="Yes"/>
    <n v="17"/>
    <n v="3"/>
    <n v="3"/>
    <n v="80"/>
    <n v="0"/>
    <n v="9"/>
    <n v="0"/>
    <n v="3"/>
    <x v="7"/>
    <n v="0"/>
    <n v="0"/>
    <n v="7"/>
    <x v="0"/>
    <n v="0"/>
    <n v="0"/>
    <x v="0"/>
    <n v="1"/>
    <m/>
    <m/>
  </r>
  <r>
    <n v="30"/>
    <x v="0"/>
    <s v="Travel_Rarely"/>
    <n v="138"/>
    <s v="Research &amp; Development"/>
    <n v="22"/>
    <n v="3"/>
    <s v="Life Sciences"/>
    <n v="1"/>
    <n v="1004"/>
    <n v="1"/>
    <x v="0"/>
    <n v="48"/>
    <n v="3"/>
    <x v="1"/>
    <x v="1"/>
    <x v="2"/>
    <s v="Married"/>
    <n v="2132"/>
    <n v="11539"/>
    <n v="4"/>
    <s v="Y"/>
    <s v="Yes"/>
    <n v="11"/>
    <n v="3"/>
    <n v="2"/>
    <n v="80"/>
    <n v="0"/>
    <n v="7"/>
    <n v="2"/>
    <n v="3"/>
    <x v="8"/>
    <n v="2"/>
    <n v="0"/>
    <n v="1"/>
    <x v="1"/>
    <n v="1"/>
    <n v="38376"/>
    <x v="1"/>
    <n v="1"/>
    <m/>
    <m/>
  </r>
  <r>
    <n v="50"/>
    <x v="1"/>
    <s v="Travel_Rarely"/>
    <n v="939"/>
    <s v="Research &amp; Development"/>
    <n v="24"/>
    <n v="3"/>
    <s v="Life Sciences"/>
    <n v="1"/>
    <n v="1005"/>
    <n v="4"/>
    <x v="1"/>
    <n v="95"/>
    <n v="3"/>
    <x v="3"/>
    <x v="3"/>
    <x v="2"/>
    <s v="Married"/>
    <n v="13973"/>
    <n v="4161"/>
    <n v="3"/>
    <s v="Y"/>
    <s v="Yes"/>
    <n v="18"/>
    <n v="3"/>
    <n v="4"/>
    <n v="80"/>
    <n v="1"/>
    <n v="22"/>
    <n v="2"/>
    <n v="3"/>
    <x v="12"/>
    <n v="11"/>
    <n v="1"/>
    <n v="5"/>
    <x v="2"/>
    <n v="0"/>
    <n v="0"/>
    <x v="3"/>
    <n v="1"/>
    <m/>
    <m/>
  </r>
  <r>
    <n v="38"/>
    <x v="1"/>
    <s v="Travel_Frequently"/>
    <n v="1391"/>
    <s v="Research &amp; Development"/>
    <n v="10"/>
    <n v="1"/>
    <s v="Medical"/>
    <n v="1"/>
    <n v="1006"/>
    <n v="3"/>
    <x v="1"/>
    <n v="66"/>
    <n v="3"/>
    <x v="1"/>
    <x v="1"/>
    <x v="2"/>
    <s v="Married"/>
    <n v="2684"/>
    <n v="12127"/>
    <n v="0"/>
    <s v="Y"/>
    <s v="No"/>
    <n v="17"/>
    <n v="3"/>
    <n v="2"/>
    <n v="80"/>
    <n v="1"/>
    <n v="3"/>
    <n v="0"/>
    <n v="2"/>
    <x v="4"/>
    <n v="1"/>
    <n v="0"/>
    <n v="2"/>
    <x v="1"/>
    <n v="0"/>
    <n v="0"/>
    <x v="1"/>
    <n v="1"/>
    <m/>
    <m/>
  </r>
  <r>
    <n v="46"/>
    <x v="1"/>
    <s v="Travel_Rarely"/>
    <n v="566"/>
    <s v="Research &amp; Development"/>
    <n v="7"/>
    <n v="2"/>
    <s v="Medical"/>
    <n v="1"/>
    <n v="1007"/>
    <n v="4"/>
    <x v="1"/>
    <n v="75"/>
    <n v="3"/>
    <x v="2"/>
    <x v="3"/>
    <x v="2"/>
    <s v="Divorced"/>
    <n v="10845"/>
    <n v="24208"/>
    <n v="6"/>
    <s v="Y"/>
    <s v="No"/>
    <n v="13"/>
    <n v="3"/>
    <n v="2"/>
    <n v="80"/>
    <n v="1"/>
    <n v="13"/>
    <n v="3"/>
    <n v="3"/>
    <x v="3"/>
    <n v="7"/>
    <n v="0"/>
    <n v="7"/>
    <x v="2"/>
    <n v="0"/>
    <n v="0"/>
    <x v="2"/>
    <n v="1"/>
    <m/>
    <m/>
  </r>
  <r>
    <n v="24"/>
    <x v="1"/>
    <s v="Travel_Rarely"/>
    <n v="1206"/>
    <s v="Research &amp; Development"/>
    <n v="17"/>
    <n v="1"/>
    <s v="Medical"/>
    <n v="1"/>
    <n v="1009"/>
    <n v="4"/>
    <x v="0"/>
    <n v="41"/>
    <n v="2"/>
    <x v="0"/>
    <x v="3"/>
    <x v="2"/>
    <s v="Divorced"/>
    <n v="4377"/>
    <n v="24117"/>
    <n v="1"/>
    <s v="Y"/>
    <s v="No"/>
    <n v="15"/>
    <n v="3"/>
    <n v="2"/>
    <n v="80"/>
    <n v="2"/>
    <n v="5"/>
    <n v="6"/>
    <n v="3"/>
    <x v="9"/>
    <n v="2"/>
    <n v="3"/>
    <n v="2"/>
    <x v="2"/>
    <n v="0"/>
    <n v="0"/>
    <x v="0"/>
    <n v="1"/>
    <m/>
    <m/>
  </r>
  <r>
    <n v="35"/>
    <x v="0"/>
    <s v="Travel_Rarely"/>
    <n v="622"/>
    <s v="Research &amp; Development"/>
    <n v="14"/>
    <n v="4"/>
    <s v="Other"/>
    <n v="1"/>
    <n v="1010"/>
    <n v="3"/>
    <x v="1"/>
    <n v="39"/>
    <n v="2"/>
    <x v="1"/>
    <x v="2"/>
    <x v="1"/>
    <s v="Divorced"/>
    <n v="3743"/>
    <n v="10074"/>
    <n v="1"/>
    <s v="Y"/>
    <s v="Yes"/>
    <n v="24"/>
    <n v="4"/>
    <n v="4"/>
    <n v="80"/>
    <n v="1"/>
    <n v="5"/>
    <n v="2"/>
    <n v="1"/>
    <x v="9"/>
    <n v="2"/>
    <n v="0"/>
    <n v="2"/>
    <x v="1"/>
    <n v="1"/>
    <n v="67374"/>
    <x v="0"/>
    <n v="1"/>
    <m/>
    <m/>
  </r>
  <r>
    <n v="31"/>
    <x v="1"/>
    <s v="Travel_Frequently"/>
    <n v="853"/>
    <s v="Research &amp; Development"/>
    <n v="1"/>
    <n v="1"/>
    <s v="Life Sciences"/>
    <n v="1"/>
    <n v="1011"/>
    <n v="3"/>
    <x v="0"/>
    <n v="96"/>
    <n v="3"/>
    <x v="0"/>
    <x v="3"/>
    <x v="3"/>
    <s v="Married"/>
    <n v="4148"/>
    <n v="11275"/>
    <n v="1"/>
    <s v="Y"/>
    <s v="No"/>
    <n v="12"/>
    <n v="3"/>
    <n v="3"/>
    <n v="80"/>
    <n v="1"/>
    <n v="4"/>
    <n v="1"/>
    <n v="3"/>
    <x v="9"/>
    <n v="3"/>
    <n v="0"/>
    <n v="3"/>
    <x v="2"/>
    <n v="0"/>
    <n v="0"/>
    <x v="0"/>
    <n v="1"/>
    <m/>
    <m/>
  </r>
  <r>
    <n v="18"/>
    <x v="1"/>
    <s v="Non-Travel"/>
    <n v="287"/>
    <s v="Research &amp; Development"/>
    <n v="5"/>
    <n v="2"/>
    <s v="Life Sciences"/>
    <n v="1"/>
    <n v="1012"/>
    <n v="2"/>
    <x v="1"/>
    <n v="73"/>
    <n v="3"/>
    <x v="1"/>
    <x v="1"/>
    <x v="0"/>
    <s v="Single"/>
    <n v="1051"/>
    <n v="13493"/>
    <n v="1"/>
    <s v="Y"/>
    <s v="No"/>
    <n v="15"/>
    <n v="3"/>
    <n v="4"/>
    <n v="80"/>
    <n v="0"/>
    <n v="0"/>
    <n v="2"/>
    <n v="3"/>
    <x v="2"/>
    <n v="0"/>
    <n v="0"/>
    <n v="0"/>
    <x v="1"/>
    <n v="0"/>
    <n v="0"/>
    <x v="1"/>
    <n v="1"/>
    <m/>
    <m/>
  </r>
  <r>
    <n v="54"/>
    <x v="1"/>
    <s v="Travel_Rarely"/>
    <n v="1441"/>
    <s v="Research &amp; Development"/>
    <n v="17"/>
    <n v="3"/>
    <s v="Technical Degree"/>
    <n v="1"/>
    <n v="1013"/>
    <n v="3"/>
    <x v="0"/>
    <n v="56"/>
    <n v="3"/>
    <x v="2"/>
    <x v="3"/>
    <x v="2"/>
    <s v="Married"/>
    <n v="10739"/>
    <n v="13943"/>
    <n v="8"/>
    <s v="Y"/>
    <s v="No"/>
    <n v="11"/>
    <n v="3"/>
    <n v="3"/>
    <n v="80"/>
    <n v="1"/>
    <n v="22"/>
    <n v="2"/>
    <n v="3"/>
    <x v="1"/>
    <n v="7"/>
    <n v="0"/>
    <n v="8"/>
    <x v="2"/>
    <n v="0"/>
    <n v="0"/>
    <x v="2"/>
    <n v="1"/>
    <m/>
    <m/>
  </r>
  <r>
    <n v="35"/>
    <x v="1"/>
    <s v="Travel_Rarely"/>
    <n v="583"/>
    <s v="Research &amp; Development"/>
    <n v="25"/>
    <n v="4"/>
    <s v="Medical"/>
    <n v="1"/>
    <n v="1014"/>
    <n v="3"/>
    <x v="0"/>
    <n v="57"/>
    <n v="3"/>
    <x v="2"/>
    <x v="4"/>
    <x v="2"/>
    <s v="Divorced"/>
    <n v="10388"/>
    <n v="6975"/>
    <n v="1"/>
    <s v="Y"/>
    <s v="Yes"/>
    <n v="11"/>
    <n v="3"/>
    <n v="3"/>
    <n v="80"/>
    <n v="1"/>
    <n v="16"/>
    <n v="3"/>
    <n v="2"/>
    <x v="22"/>
    <n v="10"/>
    <n v="10"/>
    <n v="1"/>
    <x v="3"/>
    <n v="0"/>
    <n v="0"/>
    <x v="2"/>
    <n v="1"/>
    <m/>
    <m/>
  </r>
  <r>
    <n v="30"/>
    <x v="1"/>
    <s v="Travel_Rarely"/>
    <n v="153"/>
    <s v="Research &amp; Development"/>
    <n v="8"/>
    <n v="2"/>
    <s v="Life Sciences"/>
    <n v="1"/>
    <n v="1015"/>
    <n v="2"/>
    <x v="0"/>
    <n v="73"/>
    <n v="4"/>
    <x v="2"/>
    <x v="7"/>
    <x v="3"/>
    <s v="Married"/>
    <n v="11416"/>
    <n v="17802"/>
    <n v="0"/>
    <s v="Y"/>
    <s v="Yes"/>
    <n v="12"/>
    <n v="3"/>
    <n v="3"/>
    <n v="80"/>
    <n v="3"/>
    <n v="9"/>
    <n v="4"/>
    <n v="2"/>
    <x v="3"/>
    <n v="7"/>
    <n v="1"/>
    <n v="7"/>
    <x v="1"/>
    <n v="0"/>
    <n v="0"/>
    <x v="2"/>
    <n v="1"/>
    <m/>
    <m/>
  </r>
  <r>
    <n v="20"/>
    <x v="0"/>
    <s v="Travel_Rarely"/>
    <n v="1097"/>
    <s v="Research &amp; Development"/>
    <n v="11"/>
    <n v="3"/>
    <s v="Medical"/>
    <n v="1"/>
    <n v="1016"/>
    <n v="4"/>
    <x v="0"/>
    <n v="98"/>
    <n v="2"/>
    <x v="1"/>
    <x v="1"/>
    <x v="3"/>
    <s v="Single"/>
    <n v="2600"/>
    <n v="18275"/>
    <n v="1"/>
    <s v="Y"/>
    <s v="Yes"/>
    <n v="15"/>
    <n v="3"/>
    <n v="1"/>
    <n v="80"/>
    <n v="0"/>
    <n v="1"/>
    <n v="2"/>
    <n v="3"/>
    <x v="6"/>
    <n v="0"/>
    <n v="0"/>
    <n v="0"/>
    <x v="1"/>
    <n v="1"/>
    <n v="46800"/>
    <x v="1"/>
    <n v="1"/>
    <m/>
    <m/>
  </r>
  <r>
    <n v="30"/>
    <x v="0"/>
    <s v="Travel_Frequently"/>
    <n v="109"/>
    <s v="Research &amp; Development"/>
    <n v="5"/>
    <n v="3"/>
    <s v="Medical"/>
    <n v="1"/>
    <n v="1017"/>
    <n v="2"/>
    <x v="0"/>
    <n v="60"/>
    <n v="3"/>
    <x v="1"/>
    <x v="2"/>
    <x v="1"/>
    <s v="Single"/>
    <n v="2422"/>
    <n v="25725"/>
    <n v="0"/>
    <s v="Y"/>
    <s v="No"/>
    <n v="17"/>
    <n v="3"/>
    <n v="1"/>
    <n v="80"/>
    <n v="0"/>
    <n v="4"/>
    <n v="3"/>
    <n v="3"/>
    <x v="11"/>
    <n v="2"/>
    <n v="1"/>
    <n v="2"/>
    <x v="1"/>
    <n v="1"/>
    <n v="43596"/>
    <x v="1"/>
    <n v="1"/>
    <m/>
    <m/>
  </r>
  <r>
    <n v="26"/>
    <x v="1"/>
    <s v="Travel_Rarely"/>
    <n v="1066"/>
    <s v="Research &amp; Development"/>
    <n v="2"/>
    <n v="2"/>
    <s v="Medical"/>
    <n v="1"/>
    <n v="1018"/>
    <n v="4"/>
    <x v="1"/>
    <n v="32"/>
    <n v="4"/>
    <x v="0"/>
    <x v="3"/>
    <x v="0"/>
    <s v="Married"/>
    <n v="5472"/>
    <n v="3334"/>
    <n v="1"/>
    <s v="Y"/>
    <s v="No"/>
    <n v="12"/>
    <n v="3"/>
    <n v="2"/>
    <n v="80"/>
    <n v="0"/>
    <n v="8"/>
    <n v="2"/>
    <n v="3"/>
    <x v="3"/>
    <n v="7"/>
    <n v="1"/>
    <n v="3"/>
    <x v="2"/>
    <n v="0"/>
    <n v="0"/>
    <x v="0"/>
    <n v="1"/>
    <m/>
    <m/>
  </r>
  <r>
    <n v="22"/>
    <x v="1"/>
    <s v="Travel_Rarely"/>
    <n v="217"/>
    <s v="Research &amp; Development"/>
    <n v="8"/>
    <n v="1"/>
    <s v="Life Sciences"/>
    <n v="1"/>
    <n v="1019"/>
    <n v="2"/>
    <x v="1"/>
    <n v="94"/>
    <n v="1"/>
    <x v="1"/>
    <x v="2"/>
    <x v="3"/>
    <s v="Married"/>
    <n v="2451"/>
    <n v="6881"/>
    <n v="1"/>
    <s v="Y"/>
    <s v="No"/>
    <n v="15"/>
    <n v="3"/>
    <n v="1"/>
    <n v="80"/>
    <n v="1"/>
    <n v="4"/>
    <n v="3"/>
    <n v="2"/>
    <x v="9"/>
    <n v="3"/>
    <n v="1"/>
    <n v="1"/>
    <x v="1"/>
    <n v="0"/>
    <n v="0"/>
    <x v="1"/>
    <n v="1"/>
    <m/>
    <m/>
  </r>
  <r>
    <n v="48"/>
    <x v="1"/>
    <s v="Travel_Rarely"/>
    <n v="277"/>
    <s v="Research &amp; Development"/>
    <n v="6"/>
    <n v="3"/>
    <s v="Life Sciences"/>
    <n v="1"/>
    <n v="1022"/>
    <n v="1"/>
    <x v="1"/>
    <n v="97"/>
    <n v="2"/>
    <x v="0"/>
    <x v="4"/>
    <x v="2"/>
    <s v="Single"/>
    <n v="4240"/>
    <n v="13119"/>
    <n v="2"/>
    <s v="Y"/>
    <s v="No"/>
    <n v="13"/>
    <n v="3"/>
    <n v="4"/>
    <n v="80"/>
    <n v="0"/>
    <n v="19"/>
    <n v="0"/>
    <n v="3"/>
    <x v="4"/>
    <n v="2"/>
    <n v="2"/>
    <n v="2"/>
    <x v="3"/>
    <n v="0"/>
    <n v="0"/>
    <x v="0"/>
    <n v="1"/>
    <m/>
    <m/>
  </r>
  <r>
    <n v="48"/>
    <x v="1"/>
    <s v="Travel_Rarely"/>
    <n v="1355"/>
    <s v="Research &amp; Development"/>
    <n v="4"/>
    <n v="4"/>
    <s v="Life Sciences"/>
    <n v="1"/>
    <n v="1024"/>
    <n v="3"/>
    <x v="1"/>
    <n v="78"/>
    <n v="2"/>
    <x v="2"/>
    <x v="4"/>
    <x v="2"/>
    <s v="Single"/>
    <n v="10999"/>
    <n v="22245"/>
    <n v="7"/>
    <s v="Y"/>
    <s v="No"/>
    <n v="14"/>
    <n v="3"/>
    <n v="2"/>
    <n v="80"/>
    <n v="0"/>
    <n v="27"/>
    <n v="3"/>
    <n v="3"/>
    <x v="15"/>
    <n v="11"/>
    <n v="4"/>
    <n v="8"/>
    <x v="3"/>
    <n v="0"/>
    <n v="0"/>
    <x v="2"/>
    <n v="1"/>
    <m/>
    <m/>
  </r>
  <r>
    <n v="41"/>
    <x v="1"/>
    <s v="Travel_Rarely"/>
    <n v="549"/>
    <s v="Research &amp; Development"/>
    <n v="7"/>
    <n v="2"/>
    <s v="Medical"/>
    <n v="1"/>
    <n v="1025"/>
    <n v="4"/>
    <x v="0"/>
    <n v="42"/>
    <n v="3"/>
    <x v="0"/>
    <x v="3"/>
    <x v="2"/>
    <s v="Single"/>
    <n v="5003"/>
    <n v="23371"/>
    <n v="6"/>
    <s v="Y"/>
    <s v="No"/>
    <n v="14"/>
    <n v="3"/>
    <n v="2"/>
    <n v="80"/>
    <n v="0"/>
    <n v="8"/>
    <n v="6"/>
    <n v="3"/>
    <x v="4"/>
    <n v="2"/>
    <n v="2"/>
    <n v="1"/>
    <x v="2"/>
    <n v="0"/>
    <n v="0"/>
    <x v="0"/>
    <n v="1"/>
    <m/>
    <m/>
  </r>
  <r>
    <n v="39"/>
    <x v="1"/>
    <s v="Travel_Rarely"/>
    <n v="466"/>
    <s v="Research &amp; Development"/>
    <n v="1"/>
    <n v="1"/>
    <s v="Life Sciences"/>
    <n v="1"/>
    <n v="1026"/>
    <n v="4"/>
    <x v="0"/>
    <n v="65"/>
    <n v="2"/>
    <x v="3"/>
    <x v="3"/>
    <x v="0"/>
    <s v="Married"/>
    <n v="12742"/>
    <n v="7060"/>
    <n v="1"/>
    <s v="Y"/>
    <s v="No"/>
    <n v="16"/>
    <n v="3"/>
    <n v="3"/>
    <n v="80"/>
    <n v="1"/>
    <n v="21"/>
    <n v="3"/>
    <n v="3"/>
    <x v="17"/>
    <n v="6"/>
    <n v="11"/>
    <n v="8"/>
    <x v="2"/>
    <n v="0"/>
    <n v="0"/>
    <x v="3"/>
    <n v="1"/>
    <m/>
    <m/>
  </r>
  <r>
    <n v="27"/>
    <x v="1"/>
    <s v="Travel_Rarely"/>
    <n v="1055"/>
    <s v="Research &amp; Development"/>
    <n v="2"/>
    <n v="4"/>
    <s v="Life Sciences"/>
    <n v="1"/>
    <n v="1027"/>
    <n v="1"/>
    <x v="0"/>
    <n v="47"/>
    <n v="3"/>
    <x v="0"/>
    <x v="3"/>
    <x v="0"/>
    <s v="Married"/>
    <n v="4227"/>
    <n v="4658"/>
    <n v="0"/>
    <s v="Y"/>
    <s v="No"/>
    <n v="18"/>
    <n v="3"/>
    <n v="2"/>
    <n v="80"/>
    <n v="1"/>
    <n v="4"/>
    <n v="2"/>
    <n v="3"/>
    <x v="11"/>
    <n v="2"/>
    <n v="2"/>
    <n v="2"/>
    <x v="2"/>
    <n v="0"/>
    <n v="0"/>
    <x v="0"/>
    <n v="1"/>
    <m/>
    <m/>
  </r>
  <r>
    <n v="35"/>
    <x v="1"/>
    <s v="Travel_Rarely"/>
    <n v="802"/>
    <s v="Research &amp; Development"/>
    <n v="10"/>
    <n v="3"/>
    <s v="Other"/>
    <n v="1"/>
    <n v="1028"/>
    <n v="2"/>
    <x v="1"/>
    <n v="45"/>
    <n v="3"/>
    <x v="1"/>
    <x v="2"/>
    <x v="0"/>
    <s v="Divorced"/>
    <n v="3917"/>
    <n v="9541"/>
    <n v="1"/>
    <s v="Y"/>
    <s v="No"/>
    <n v="20"/>
    <n v="4"/>
    <n v="1"/>
    <n v="80"/>
    <n v="1"/>
    <n v="3"/>
    <n v="4"/>
    <n v="2"/>
    <x v="11"/>
    <n v="2"/>
    <n v="1"/>
    <n v="2"/>
    <x v="1"/>
    <n v="0"/>
    <n v="0"/>
    <x v="0"/>
    <n v="1"/>
    <m/>
    <m/>
  </r>
  <r>
    <n v="42"/>
    <x v="1"/>
    <s v="Travel_Rarely"/>
    <n v="265"/>
    <s v="Sales"/>
    <n v="5"/>
    <n v="2"/>
    <s v="Marketing"/>
    <n v="1"/>
    <n v="1029"/>
    <n v="4"/>
    <x v="1"/>
    <n v="90"/>
    <n v="3"/>
    <x v="4"/>
    <x v="5"/>
    <x v="2"/>
    <s v="Married"/>
    <n v="18303"/>
    <n v="7770"/>
    <n v="6"/>
    <s v="Y"/>
    <s v="No"/>
    <n v="13"/>
    <n v="3"/>
    <n v="2"/>
    <n v="80"/>
    <n v="0"/>
    <n v="21"/>
    <n v="3"/>
    <n v="4"/>
    <x v="6"/>
    <n v="0"/>
    <n v="0"/>
    <n v="0"/>
    <x v="4"/>
    <n v="0"/>
    <n v="0"/>
    <x v="3"/>
    <n v="1"/>
    <m/>
    <m/>
  </r>
  <r>
    <n v="50"/>
    <x v="1"/>
    <s v="Travel_Rarely"/>
    <n v="804"/>
    <s v="Research &amp; Development"/>
    <n v="9"/>
    <n v="3"/>
    <s v="Life Sciences"/>
    <n v="1"/>
    <n v="1030"/>
    <n v="1"/>
    <x v="1"/>
    <n v="64"/>
    <n v="3"/>
    <x v="1"/>
    <x v="2"/>
    <x v="0"/>
    <s v="Married"/>
    <n v="2380"/>
    <n v="20165"/>
    <n v="4"/>
    <s v="Y"/>
    <s v="No"/>
    <n v="18"/>
    <n v="3"/>
    <n v="2"/>
    <n v="80"/>
    <n v="0"/>
    <n v="8"/>
    <n v="5"/>
    <n v="3"/>
    <x v="6"/>
    <n v="0"/>
    <n v="0"/>
    <n v="0"/>
    <x v="1"/>
    <n v="0"/>
    <n v="0"/>
    <x v="1"/>
    <n v="1"/>
    <m/>
    <m/>
  </r>
  <r>
    <n v="59"/>
    <x v="1"/>
    <s v="Travel_Rarely"/>
    <n v="715"/>
    <s v="Research &amp; Development"/>
    <n v="2"/>
    <n v="3"/>
    <s v="Life Sciences"/>
    <n v="1"/>
    <n v="1032"/>
    <n v="3"/>
    <x v="0"/>
    <n v="69"/>
    <n v="2"/>
    <x v="3"/>
    <x v="3"/>
    <x v="0"/>
    <s v="Single"/>
    <n v="13726"/>
    <n v="21829"/>
    <n v="3"/>
    <s v="Y"/>
    <s v="Yes"/>
    <n v="13"/>
    <n v="3"/>
    <n v="1"/>
    <n v="80"/>
    <n v="0"/>
    <n v="30"/>
    <n v="4"/>
    <n v="3"/>
    <x v="8"/>
    <n v="3"/>
    <n v="4"/>
    <n v="3"/>
    <x v="2"/>
    <n v="0"/>
    <n v="0"/>
    <x v="3"/>
    <n v="1"/>
    <m/>
    <m/>
  </r>
  <r>
    <n v="37"/>
    <x v="0"/>
    <s v="Travel_Rarely"/>
    <n v="1141"/>
    <s v="Research &amp; Development"/>
    <n v="11"/>
    <n v="2"/>
    <s v="Medical"/>
    <n v="1"/>
    <n v="1033"/>
    <n v="1"/>
    <x v="0"/>
    <n v="61"/>
    <n v="1"/>
    <x v="0"/>
    <x v="4"/>
    <x v="1"/>
    <s v="Married"/>
    <n v="4777"/>
    <n v="14382"/>
    <n v="5"/>
    <s v="Y"/>
    <s v="No"/>
    <n v="15"/>
    <n v="3"/>
    <n v="1"/>
    <n v="80"/>
    <n v="0"/>
    <n v="15"/>
    <n v="2"/>
    <n v="1"/>
    <x v="6"/>
    <n v="0"/>
    <n v="0"/>
    <n v="0"/>
    <x v="3"/>
    <n v="1"/>
    <n v="85986"/>
    <x v="0"/>
    <n v="1"/>
    <m/>
    <m/>
  </r>
  <r>
    <n v="55"/>
    <x v="1"/>
    <s v="Travel_Frequently"/>
    <n v="135"/>
    <s v="Research &amp; Development"/>
    <n v="18"/>
    <n v="4"/>
    <s v="Medical"/>
    <n v="1"/>
    <n v="1034"/>
    <n v="3"/>
    <x v="1"/>
    <n v="62"/>
    <n v="3"/>
    <x v="0"/>
    <x v="4"/>
    <x v="1"/>
    <s v="Married"/>
    <n v="6385"/>
    <n v="12992"/>
    <n v="3"/>
    <s v="Y"/>
    <s v="Yes"/>
    <n v="14"/>
    <n v="3"/>
    <n v="4"/>
    <n v="80"/>
    <n v="2"/>
    <n v="17"/>
    <n v="3"/>
    <n v="3"/>
    <x v="3"/>
    <n v="7"/>
    <n v="6"/>
    <n v="7"/>
    <x v="3"/>
    <n v="0"/>
    <n v="0"/>
    <x v="4"/>
    <n v="1"/>
    <m/>
    <m/>
  </r>
  <r>
    <n v="41"/>
    <x v="1"/>
    <s v="Non-Travel"/>
    <n v="247"/>
    <s v="Research &amp; Development"/>
    <n v="7"/>
    <n v="1"/>
    <s v="Life Sciences"/>
    <n v="1"/>
    <n v="1035"/>
    <n v="2"/>
    <x v="0"/>
    <n v="55"/>
    <n v="1"/>
    <x v="4"/>
    <x v="7"/>
    <x v="2"/>
    <s v="Divorced"/>
    <n v="19973"/>
    <n v="20284"/>
    <n v="1"/>
    <s v="Y"/>
    <s v="No"/>
    <n v="22"/>
    <n v="4"/>
    <n v="2"/>
    <n v="80"/>
    <n v="2"/>
    <n v="21"/>
    <n v="3"/>
    <n v="3"/>
    <x v="17"/>
    <n v="16"/>
    <n v="5"/>
    <n v="10"/>
    <x v="1"/>
    <n v="0"/>
    <n v="0"/>
    <x v="3"/>
    <n v="1"/>
    <m/>
    <m/>
  </r>
  <r>
    <n v="38"/>
    <x v="1"/>
    <s v="Travel_Rarely"/>
    <n v="1035"/>
    <s v="Sales"/>
    <n v="3"/>
    <n v="4"/>
    <s v="Life Sciences"/>
    <n v="1"/>
    <n v="1036"/>
    <n v="2"/>
    <x v="1"/>
    <n v="42"/>
    <n v="3"/>
    <x v="0"/>
    <x v="0"/>
    <x v="0"/>
    <s v="Single"/>
    <n v="6861"/>
    <n v="4981"/>
    <n v="8"/>
    <s v="Y"/>
    <s v="Yes"/>
    <n v="12"/>
    <n v="3"/>
    <n v="3"/>
    <n v="80"/>
    <n v="0"/>
    <n v="19"/>
    <n v="1"/>
    <n v="3"/>
    <x v="6"/>
    <n v="0"/>
    <n v="0"/>
    <n v="0"/>
    <x v="0"/>
    <n v="0"/>
    <n v="0"/>
    <x v="4"/>
    <n v="1"/>
    <m/>
    <m/>
  </r>
  <r>
    <n v="26"/>
    <x v="0"/>
    <s v="Non-Travel"/>
    <n v="265"/>
    <s v="Sales"/>
    <n v="29"/>
    <n v="2"/>
    <s v="Medical"/>
    <n v="1"/>
    <n v="1037"/>
    <n v="2"/>
    <x v="1"/>
    <n v="79"/>
    <n v="1"/>
    <x v="0"/>
    <x v="0"/>
    <x v="3"/>
    <s v="Single"/>
    <n v="4969"/>
    <n v="21813"/>
    <n v="8"/>
    <s v="Y"/>
    <s v="No"/>
    <n v="18"/>
    <n v="3"/>
    <n v="4"/>
    <n v="80"/>
    <n v="0"/>
    <n v="7"/>
    <n v="6"/>
    <n v="3"/>
    <x v="4"/>
    <n v="2"/>
    <n v="2"/>
    <n v="2"/>
    <x v="0"/>
    <n v="1"/>
    <n v="89442"/>
    <x v="0"/>
    <n v="1"/>
    <m/>
    <m/>
  </r>
  <r>
    <n v="52"/>
    <x v="0"/>
    <s v="Travel_Rarely"/>
    <n v="266"/>
    <s v="Sales"/>
    <n v="2"/>
    <n v="1"/>
    <s v="Marketing"/>
    <n v="1"/>
    <n v="1038"/>
    <n v="1"/>
    <x v="0"/>
    <n v="57"/>
    <n v="1"/>
    <x v="4"/>
    <x v="5"/>
    <x v="0"/>
    <s v="Married"/>
    <n v="19845"/>
    <n v="25846"/>
    <n v="1"/>
    <s v="Y"/>
    <s v="No"/>
    <n v="15"/>
    <n v="3"/>
    <n v="4"/>
    <n v="80"/>
    <n v="1"/>
    <n v="33"/>
    <n v="3"/>
    <n v="3"/>
    <x v="32"/>
    <n v="14"/>
    <n v="6"/>
    <n v="9"/>
    <x v="4"/>
    <n v="1"/>
    <n v="357210"/>
    <x v="3"/>
    <n v="1"/>
    <m/>
    <m/>
  </r>
  <r>
    <n v="44"/>
    <x v="1"/>
    <s v="Travel_Rarely"/>
    <n v="1448"/>
    <s v="Sales"/>
    <n v="28"/>
    <n v="3"/>
    <s v="Medical"/>
    <n v="1"/>
    <n v="1039"/>
    <n v="4"/>
    <x v="0"/>
    <n v="53"/>
    <n v="4"/>
    <x v="3"/>
    <x v="0"/>
    <x v="0"/>
    <s v="Married"/>
    <n v="13320"/>
    <n v="11737"/>
    <n v="3"/>
    <s v="Y"/>
    <s v="Yes"/>
    <n v="18"/>
    <n v="3"/>
    <n v="3"/>
    <n v="80"/>
    <n v="1"/>
    <n v="23"/>
    <n v="2"/>
    <n v="3"/>
    <x v="12"/>
    <n v="11"/>
    <n v="11"/>
    <n v="11"/>
    <x v="0"/>
    <n v="0"/>
    <n v="0"/>
    <x v="3"/>
    <n v="1"/>
    <m/>
    <m/>
  </r>
  <r>
    <n v="50"/>
    <x v="1"/>
    <s v="Non-Travel"/>
    <n v="145"/>
    <s v="Sales"/>
    <n v="1"/>
    <n v="3"/>
    <s v="Life Sciences"/>
    <n v="1"/>
    <n v="1040"/>
    <n v="4"/>
    <x v="0"/>
    <n v="95"/>
    <n v="3"/>
    <x v="0"/>
    <x v="0"/>
    <x v="2"/>
    <s v="Married"/>
    <n v="6347"/>
    <n v="24920"/>
    <n v="0"/>
    <s v="Y"/>
    <s v="No"/>
    <n v="12"/>
    <n v="3"/>
    <n v="1"/>
    <n v="80"/>
    <n v="1"/>
    <n v="19"/>
    <n v="3"/>
    <n v="3"/>
    <x v="29"/>
    <n v="7"/>
    <n v="0"/>
    <n v="13"/>
    <x v="0"/>
    <n v="0"/>
    <n v="0"/>
    <x v="4"/>
    <n v="1"/>
    <m/>
    <m/>
  </r>
  <r>
    <n v="36"/>
    <x v="0"/>
    <s v="Travel_Rarely"/>
    <n v="885"/>
    <s v="Research &amp; Development"/>
    <n v="16"/>
    <n v="4"/>
    <s v="Life Sciences"/>
    <n v="1"/>
    <n v="1042"/>
    <n v="3"/>
    <x v="0"/>
    <n v="43"/>
    <n v="4"/>
    <x v="1"/>
    <x v="2"/>
    <x v="3"/>
    <s v="Single"/>
    <n v="2743"/>
    <n v="8269"/>
    <n v="1"/>
    <s v="Y"/>
    <s v="No"/>
    <n v="16"/>
    <n v="3"/>
    <n v="3"/>
    <n v="80"/>
    <n v="0"/>
    <n v="18"/>
    <n v="1"/>
    <n v="3"/>
    <x v="18"/>
    <n v="13"/>
    <n v="15"/>
    <n v="14"/>
    <x v="1"/>
    <n v="1"/>
    <n v="49374"/>
    <x v="1"/>
    <n v="1"/>
    <m/>
    <m/>
  </r>
  <r>
    <n v="39"/>
    <x v="1"/>
    <s v="Travel_Frequently"/>
    <n v="945"/>
    <s v="Research &amp; Development"/>
    <n v="22"/>
    <n v="3"/>
    <s v="Medical"/>
    <n v="1"/>
    <n v="1043"/>
    <n v="4"/>
    <x v="0"/>
    <n v="82"/>
    <n v="3"/>
    <x v="2"/>
    <x v="3"/>
    <x v="3"/>
    <s v="Single"/>
    <n v="10880"/>
    <n v="5083"/>
    <n v="1"/>
    <s v="Y"/>
    <s v="Yes"/>
    <n v="13"/>
    <n v="3"/>
    <n v="3"/>
    <n v="80"/>
    <n v="0"/>
    <n v="21"/>
    <n v="2"/>
    <n v="3"/>
    <x v="17"/>
    <n v="6"/>
    <n v="2"/>
    <n v="8"/>
    <x v="2"/>
    <n v="0"/>
    <n v="0"/>
    <x v="2"/>
    <n v="1"/>
    <m/>
    <m/>
  </r>
  <r>
    <n v="33"/>
    <x v="1"/>
    <s v="Non-Travel"/>
    <n v="1038"/>
    <s v="Sales"/>
    <n v="8"/>
    <n v="1"/>
    <s v="Life Sciences"/>
    <n v="1"/>
    <n v="1044"/>
    <n v="2"/>
    <x v="0"/>
    <n v="88"/>
    <n v="2"/>
    <x v="1"/>
    <x v="6"/>
    <x v="0"/>
    <s v="Single"/>
    <n v="2342"/>
    <n v="21437"/>
    <n v="0"/>
    <s v="Y"/>
    <s v="No"/>
    <n v="19"/>
    <n v="3"/>
    <n v="4"/>
    <n v="80"/>
    <n v="0"/>
    <n v="3"/>
    <n v="2"/>
    <n v="2"/>
    <x v="4"/>
    <n v="2"/>
    <n v="2"/>
    <n v="2"/>
    <x v="0"/>
    <n v="0"/>
    <n v="0"/>
    <x v="1"/>
    <n v="1"/>
    <m/>
    <m/>
  </r>
  <r>
    <n v="45"/>
    <x v="1"/>
    <s v="Travel_Rarely"/>
    <n v="1234"/>
    <s v="Sales"/>
    <n v="11"/>
    <n v="2"/>
    <s v="Life Sciences"/>
    <n v="1"/>
    <n v="1045"/>
    <n v="4"/>
    <x v="0"/>
    <n v="90"/>
    <n v="3"/>
    <x v="3"/>
    <x v="5"/>
    <x v="0"/>
    <s v="Married"/>
    <n v="17650"/>
    <n v="5404"/>
    <n v="3"/>
    <s v="Y"/>
    <s v="No"/>
    <n v="13"/>
    <n v="3"/>
    <n v="2"/>
    <n v="80"/>
    <n v="1"/>
    <n v="26"/>
    <n v="4"/>
    <n v="4"/>
    <x v="7"/>
    <n v="3"/>
    <n v="1"/>
    <n v="1"/>
    <x v="4"/>
    <n v="0"/>
    <n v="0"/>
    <x v="3"/>
    <n v="1"/>
    <m/>
    <m/>
  </r>
  <r>
    <n v="32"/>
    <x v="1"/>
    <s v="Non-Travel"/>
    <n v="1109"/>
    <s v="Research &amp; Development"/>
    <n v="29"/>
    <n v="4"/>
    <s v="Medical"/>
    <n v="1"/>
    <n v="1046"/>
    <n v="4"/>
    <x v="0"/>
    <n v="69"/>
    <n v="3"/>
    <x v="1"/>
    <x v="2"/>
    <x v="2"/>
    <s v="Single"/>
    <n v="4025"/>
    <n v="11135"/>
    <n v="9"/>
    <s v="Y"/>
    <s v="No"/>
    <n v="12"/>
    <n v="3"/>
    <n v="2"/>
    <n v="80"/>
    <n v="0"/>
    <n v="10"/>
    <n v="2"/>
    <n v="3"/>
    <x v="3"/>
    <n v="7"/>
    <n v="7"/>
    <n v="7"/>
    <x v="1"/>
    <n v="0"/>
    <n v="0"/>
    <x v="0"/>
    <n v="1"/>
    <m/>
    <m/>
  </r>
  <r>
    <n v="34"/>
    <x v="1"/>
    <s v="Travel_Rarely"/>
    <n v="216"/>
    <s v="Sales"/>
    <n v="1"/>
    <n v="4"/>
    <s v="Marketing"/>
    <n v="1"/>
    <n v="1047"/>
    <n v="2"/>
    <x v="1"/>
    <n v="75"/>
    <n v="4"/>
    <x v="0"/>
    <x v="0"/>
    <x v="0"/>
    <s v="Divorced"/>
    <n v="9725"/>
    <n v="12278"/>
    <n v="0"/>
    <s v="Y"/>
    <s v="No"/>
    <n v="11"/>
    <n v="3"/>
    <n v="4"/>
    <n v="80"/>
    <n v="1"/>
    <n v="16"/>
    <n v="2"/>
    <n v="2"/>
    <x v="15"/>
    <n v="1"/>
    <n v="0"/>
    <n v="9"/>
    <x v="0"/>
    <n v="0"/>
    <n v="0"/>
    <x v="2"/>
    <n v="1"/>
    <m/>
    <m/>
  </r>
  <r>
    <n v="59"/>
    <x v="1"/>
    <s v="Travel_Rarely"/>
    <n v="1089"/>
    <s v="Sales"/>
    <n v="1"/>
    <n v="2"/>
    <s v="Technical Degree"/>
    <n v="1"/>
    <n v="1048"/>
    <n v="2"/>
    <x v="1"/>
    <n v="66"/>
    <n v="3"/>
    <x v="2"/>
    <x v="5"/>
    <x v="0"/>
    <s v="Married"/>
    <n v="11904"/>
    <n v="11038"/>
    <n v="3"/>
    <s v="Y"/>
    <s v="Yes"/>
    <n v="14"/>
    <n v="3"/>
    <n v="3"/>
    <n v="80"/>
    <n v="1"/>
    <n v="14"/>
    <n v="1"/>
    <n v="1"/>
    <x v="0"/>
    <n v="4"/>
    <n v="0"/>
    <n v="4"/>
    <x v="4"/>
    <n v="0"/>
    <n v="0"/>
    <x v="2"/>
    <n v="1"/>
    <m/>
    <m/>
  </r>
  <r>
    <n v="45"/>
    <x v="1"/>
    <s v="Travel_Rarely"/>
    <n v="788"/>
    <s v="Human Resources"/>
    <n v="24"/>
    <n v="4"/>
    <s v="Medical"/>
    <n v="1"/>
    <n v="1049"/>
    <n v="2"/>
    <x v="1"/>
    <n v="36"/>
    <n v="3"/>
    <x v="1"/>
    <x v="8"/>
    <x v="1"/>
    <s v="Single"/>
    <n v="2177"/>
    <n v="8318"/>
    <n v="1"/>
    <s v="Y"/>
    <s v="No"/>
    <n v="16"/>
    <n v="3"/>
    <n v="1"/>
    <n v="80"/>
    <n v="0"/>
    <n v="6"/>
    <n v="3"/>
    <n v="3"/>
    <x v="0"/>
    <n v="3"/>
    <n v="0"/>
    <n v="4"/>
    <x v="5"/>
    <n v="0"/>
    <n v="0"/>
    <x v="1"/>
    <n v="1"/>
    <m/>
    <m/>
  </r>
  <r>
    <n v="53"/>
    <x v="1"/>
    <s v="Travel_Frequently"/>
    <n v="124"/>
    <s v="Sales"/>
    <n v="2"/>
    <n v="3"/>
    <s v="Marketing"/>
    <n v="1"/>
    <n v="1050"/>
    <n v="3"/>
    <x v="0"/>
    <n v="38"/>
    <n v="2"/>
    <x v="2"/>
    <x v="0"/>
    <x v="1"/>
    <s v="Married"/>
    <n v="7525"/>
    <n v="23537"/>
    <n v="2"/>
    <s v="Y"/>
    <s v="No"/>
    <n v="12"/>
    <n v="3"/>
    <n v="1"/>
    <n v="80"/>
    <n v="1"/>
    <n v="30"/>
    <n v="2"/>
    <n v="3"/>
    <x v="15"/>
    <n v="7"/>
    <n v="6"/>
    <n v="12"/>
    <x v="0"/>
    <n v="0"/>
    <n v="0"/>
    <x v="4"/>
    <n v="1"/>
    <m/>
    <m/>
  </r>
  <r>
    <n v="36"/>
    <x v="0"/>
    <s v="Travel_Rarely"/>
    <n v="660"/>
    <s v="Research &amp; Development"/>
    <n v="15"/>
    <n v="3"/>
    <s v="Other"/>
    <n v="1"/>
    <n v="1052"/>
    <n v="1"/>
    <x v="1"/>
    <n v="81"/>
    <n v="3"/>
    <x v="0"/>
    <x v="2"/>
    <x v="2"/>
    <s v="Divorced"/>
    <n v="4834"/>
    <n v="7858"/>
    <n v="7"/>
    <s v="Y"/>
    <s v="No"/>
    <n v="14"/>
    <n v="3"/>
    <n v="2"/>
    <n v="80"/>
    <n v="1"/>
    <n v="9"/>
    <n v="3"/>
    <n v="2"/>
    <x v="6"/>
    <n v="0"/>
    <n v="0"/>
    <n v="0"/>
    <x v="1"/>
    <n v="1"/>
    <n v="87012"/>
    <x v="0"/>
    <n v="1"/>
    <m/>
    <m/>
  </r>
  <r>
    <n v="26"/>
    <x v="0"/>
    <s v="Travel_Frequently"/>
    <n v="342"/>
    <s v="Research &amp; Development"/>
    <n v="2"/>
    <n v="3"/>
    <s v="Life Sciences"/>
    <n v="1"/>
    <n v="1053"/>
    <n v="1"/>
    <x v="1"/>
    <n v="57"/>
    <n v="3"/>
    <x v="1"/>
    <x v="1"/>
    <x v="3"/>
    <s v="Married"/>
    <n v="2042"/>
    <n v="15346"/>
    <n v="6"/>
    <s v="Y"/>
    <s v="Yes"/>
    <n v="14"/>
    <n v="3"/>
    <n v="2"/>
    <n v="80"/>
    <n v="1"/>
    <n v="6"/>
    <n v="2"/>
    <n v="3"/>
    <x v="11"/>
    <n v="2"/>
    <n v="1"/>
    <n v="2"/>
    <x v="1"/>
    <n v="1"/>
    <n v="36756"/>
    <x v="1"/>
    <n v="1"/>
    <m/>
    <m/>
  </r>
  <r>
    <n v="34"/>
    <x v="1"/>
    <s v="Travel_Rarely"/>
    <n v="1333"/>
    <s v="Sales"/>
    <n v="10"/>
    <n v="4"/>
    <s v="Life Sciences"/>
    <n v="1"/>
    <n v="1055"/>
    <n v="3"/>
    <x v="0"/>
    <n v="87"/>
    <n v="3"/>
    <x v="1"/>
    <x v="6"/>
    <x v="2"/>
    <s v="Married"/>
    <n v="2220"/>
    <n v="18410"/>
    <n v="1"/>
    <s v="Y"/>
    <s v="Yes"/>
    <n v="19"/>
    <n v="3"/>
    <n v="4"/>
    <n v="80"/>
    <n v="1"/>
    <n v="1"/>
    <n v="2"/>
    <n v="3"/>
    <x v="6"/>
    <n v="1"/>
    <n v="0"/>
    <n v="0"/>
    <x v="0"/>
    <n v="0"/>
    <n v="0"/>
    <x v="1"/>
    <n v="1"/>
    <m/>
    <m/>
  </r>
  <r>
    <n v="28"/>
    <x v="1"/>
    <s v="Travel_Rarely"/>
    <n v="1144"/>
    <s v="Sales"/>
    <n v="10"/>
    <n v="1"/>
    <s v="Medical"/>
    <n v="1"/>
    <n v="1056"/>
    <n v="4"/>
    <x v="1"/>
    <n v="74"/>
    <n v="3"/>
    <x v="1"/>
    <x v="6"/>
    <x v="1"/>
    <s v="Married"/>
    <n v="1052"/>
    <n v="23384"/>
    <n v="1"/>
    <s v="Y"/>
    <s v="No"/>
    <n v="22"/>
    <n v="4"/>
    <n v="2"/>
    <n v="80"/>
    <n v="0"/>
    <n v="1"/>
    <n v="5"/>
    <n v="3"/>
    <x v="6"/>
    <n v="0"/>
    <n v="0"/>
    <n v="0"/>
    <x v="0"/>
    <n v="0"/>
    <n v="0"/>
    <x v="1"/>
    <n v="1"/>
    <m/>
    <m/>
  </r>
  <r>
    <n v="38"/>
    <x v="1"/>
    <s v="Travel_Frequently"/>
    <n v="1186"/>
    <s v="Research &amp; Development"/>
    <n v="3"/>
    <n v="4"/>
    <s v="Other"/>
    <n v="1"/>
    <n v="1060"/>
    <n v="3"/>
    <x v="1"/>
    <n v="44"/>
    <n v="3"/>
    <x v="1"/>
    <x v="1"/>
    <x v="2"/>
    <s v="Married"/>
    <n v="2821"/>
    <n v="2997"/>
    <n v="3"/>
    <s v="Y"/>
    <s v="No"/>
    <n v="16"/>
    <n v="3"/>
    <n v="1"/>
    <n v="80"/>
    <n v="1"/>
    <n v="8"/>
    <n v="2"/>
    <n v="3"/>
    <x v="4"/>
    <n v="2"/>
    <n v="2"/>
    <n v="2"/>
    <x v="1"/>
    <n v="0"/>
    <n v="0"/>
    <x v="1"/>
    <n v="1"/>
    <m/>
    <m/>
  </r>
  <r>
    <n v="50"/>
    <x v="1"/>
    <s v="Travel_Rarely"/>
    <n v="1464"/>
    <s v="Research &amp; Development"/>
    <n v="2"/>
    <n v="4"/>
    <s v="Medical"/>
    <n v="1"/>
    <n v="1061"/>
    <n v="2"/>
    <x v="1"/>
    <n v="62"/>
    <n v="3"/>
    <x v="4"/>
    <x v="7"/>
    <x v="2"/>
    <s v="Married"/>
    <n v="19237"/>
    <n v="12853"/>
    <n v="2"/>
    <s v="Y"/>
    <s v="Yes"/>
    <n v="11"/>
    <n v="3"/>
    <n v="4"/>
    <n v="80"/>
    <n v="1"/>
    <n v="29"/>
    <n v="2"/>
    <n v="2"/>
    <x v="3"/>
    <n v="1"/>
    <n v="7"/>
    <n v="7"/>
    <x v="1"/>
    <n v="0"/>
    <n v="0"/>
    <x v="3"/>
    <n v="1"/>
    <m/>
    <m/>
  </r>
  <r>
    <n v="37"/>
    <x v="1"/>
    <s v="Travel_Rarely"/>
    <n v="124"/>
    <s v="Research &amp; Development"/>
    <n v="3"/>
    <n v="3"/>
    <s v="Other"/>
    <n v="1"/>
    <n v="1062"/>
    <n v="4"/>
    <x v="0"/>
    <n v="35"/>
    <n v="3"/>
    <x v="0"/>
    <x v="4"/>
    <x v="1"/>
    <s v="Single"/>
    <n v="4107"/>
    <n v="13848"/>
    <n v="3"/>
    <s v="Y"/>
    <s v="No"/>
    <n v="15"/>
    <n v="3"/>
    <n v="1"/>
    <n v="80"/>
    <n v="0"/>
    <n v="8"/>
    <n v="3"/>
    <n v="2"/>
    <x v="9"/>
    <n v="3"/>
    <n v="0"/>
    <n v="1"/>
    <x v="3"/>
    <n v="0"/>
    <n v="0"/>
    <x v="0"/>
    <n v="1"/>
    <m/>
    <m/>
  </r>
  <r>
    <n v="40"/>
    <x v="1"/>
    <s v="Travel_Rarely"/>
    <n v="300"/>
    <s v="Sales"/>
    <n v="26"/>
    <n v="3"/>
    <s v="Marketing"/>
    <n v="1"/>
    <n v="1066"/>
    <n v="3"/>
    <x v="1"/>
    <n v="74"/>
    <n v="3"/>
    <x v="0"/>
    <x v="0"/>
    <x v="3"/>
    <s v="Married"/>
    <n v="8396"/>
    <n v="22217"/>
    <n v="1"/>
    <s v="Y"/>
    <s v="No"/>
    <n v="14"/>
    <n v="3"/>
    <n v="2"/>
    <n v="80"/>
    <n v="1"/>
    <n v="8"/>
    <n v="3"/>
    <n v="2"/>
    <x v="5"/>
    <n v="7"/>
    <n v="7"/>
    <n v="5"/>
    <x v="0"/>
    <n v="0"/>
    <n v="0"/>
    <x v="4"/>
    <n v="1"/>
    <m/>
    <m/>
  </r>
  <r>
    <n v="26"/>
    <x v="1"/>
    <s v="Travel_Frequently"/>
    <n v="921"/>
    <s v="Research &amp; Development"/>
    <n v="1"/>
    <n v="1"/>
    <s v="Medical"/>
    <n v="1"/>
    <n v="1068"/>
    <n v="1"/>
    <x v="0"/>
    <n v="66"/>
    <n v="2"/>
    <x v="1"/>
    <x v="1"/>
    <x v="2"/>
    <s v="Divorced"/>
    <n v="2007"/>
    <n v="25265"/>
    <n v="1"/>
    <s v="Y"/>
    <s v="No"/>
    <n v="13"/>
    <n v="3"/>
    <n v="3"/>
    <n v="80"/>
    <n v="2"/>
    <n v="5"/>
    <n v="5"/>
    <n v="3"/>
    <x v="8"/>
    <n v="3"/>
    <n v="1"/>
    <n v="3"/>
    <x v="1"/>
    <n v="0"/>
    <n v="0"/>
    <x v="1"/>
    <n v="1"/>
    <m/>
    <m/>
  </r>
  <r>
    <n v="46"/>
    <x v="1"/>
    <s v="Travel_Rarely"/>
    <n v="430"/>
    <s v="Research &amp; Development"/>
    <n v="1"/>
    <n v="4"/>
    <s v="Medical"/>
    <n v="1"/>
    <n v="1069"/>
    <n v="4"/>
    <x v="1"/>
    <n v="40"/>
    <n v="3"/>
    <x v="4"/>
    <x v="7"/>
    <x v="0"/>
    <s v="Divorced"/>
    <n v="19627"/>
    <n v="21445"/>
    <n v="9"/>
    <s v="Y"/>
    <s v="No"/>
    <n v="17"/>
    <n v="3"/>
    <n v="4"/>
    <n v="80"/>
    <n v="2"/>
    <n v="23"/>
    <n v="0"/>
    <n v="3"/>
    <x v="4"/>
    <n v="2"/>
    <n v="2"/>
    <n v="2"/>
    <x v="1"/>
    <n v="0"/>
    <n v="0"/>
    <x v="3"/>
    <n v="1"/>
    <m/>
    <m/>
  </r>
  <r>
    <n v="54"/>
    <x v="1"/>
    <s v="Travel_Rarely"/>
    <n v="1082"/>
    <s v="Sales"/>
    <n v="2"/>
    <n v="4"/>
    <s v="Life Sciences"/>
    <n v="1"/>
    <n v="1070"/>
    <n v="3"/>
    <x v="0"/>
    <n v="41"/>
    <n v="2"/>
    <x v="2"/>
    <x v="0"/>
    <x v="2"/>
    <s v="Married"/>
    <n v="10686"/>
    <n v="8392"/>
    <n v="6"/>
    <s v="Y"/>
    <s v="No"/>
    <n v="11"/>
    <n v="3"/>
    <n v="2"/>
    <n v="80"/>
    <n v="1"/>
    <n v="13"/>
    <n v="4"/>
    <n v="3"/>
    <x v="7"/>
    <n v="4"/>
    <n v="7"/>
    <n v="0"/>
    <x v="0"/>
    <n v="0"/>
    <n v="0"/>
    <x v="2"/>
    <n v="1"/>
    <m/>
    <m/>
  </r>
  <r>
    <n v="56"/>
    <x v="1"/>
    <s v="Travel_Frequently"/>
    <n v="1240"/>
    <s v="Research &amp; Development"/>
    <n v="9"/>
    <n v="3"/>
    <s v="Medical"/>
    <n v="1"/>
    <n v="1071"/>
    <n v="1"/>
    <x v="0"/>
    <n v="63"/>
    <n v="3"/>
    <x v="1"/>
    <x v="1"/>
    <x v="2"/>
    <s v="Married"/>
    <n v="2942"/>
    <n v="12154"/>
    <n v="2"/>
    <s v="Y"/>
    <s v="No"/>
    <n v="19"/>
    <n v="3"/>
    <n v="2"/>
    <n v="80"/>
    <n v="1"/>
    <n v="18"/>
    <n v="4"/>
    <n v="3"/>
    <x v="8"/>
    <n v="4"/>
    <n v="0"/>
    <n v="3"/>
    <x v="1"/>
    <n v="0"/>
    <n v="0"/>
    <x v="1"/>
    <n v="1"/>
    <m/>
    <m/>
  </r>
  <r>
    <n v="36"/>
    <x v="1"/>
    <s v="Travel_Rarely"/>
    <n v="796"/>
    <s v="Research &amp; Development"/>
    <n v="12"/>
    <n v="5"/>
    <s v="Medical"/>
    <n v="1"/>
    <n v="1073"/>
    <n v="4"/>
    <x v="0"/>
    <n v="51"/>
    <n v="2"/>
    <x v="2"/>
    <x v="3"/>
    <x v="0"/>
    <s v="Single"/>
    <n v="8858"/>
    <n v="15669"/>
    <n v="0"/>
    <s v="Y"/>
    <s v="No"/>
    <n v="11"/>
    <n v="3"/>
    <n v="2"/>
    <n v="80"/>
    <n v="0"/>
    <n v="15"/>
    <n v="2"/>
    <n v="2"/>
    <x v="13"/>
    <n v="8"/>
    <n v="7"/>
    <n v="8"/>
    <x v="2"/>
    <n v="0"/>
    <n v="0"/>
    <x v="4"/>
    <n v="1"/>
    <m/>
    <m/>
  </r>
  <r>
    <n v="55"/>
    <x v="1"/>
    <s v="Non-Travel"/>
    <n v="444"/>
    <s v="Research &amp; Development"/>
    <n v="2"/>
    <n v="1"/>
    <s v="Medical"/>
    <n v="1"/>
    <n v="1074"/>
    <n v="3"/>
    <x v="1"/>
    <n v="40"/>
    <n v="2"/>
    <x v="3"/>
    <x v="5"/>
    <x v="3"/>
    <s v="Single"/>
    <n v="16756"/>
    <n v="17323"/>
    <n v="7"/>
    <s v="Y"/>
    <s v="No"/>
    <n v="15"/>
    <n v="3"/>
    <n v="2"/>
    <n v="80"/>
    <n v="0"/>
    <n v="31"/>
    <n v="3"/>
    <n v="4"/>
    <x v="7"/>
    <n v="7"/>
    <n v="6"/>
    <n v="2"/>
    <x v="4"/>
    <n v="0"/>
    <n v="0"/>
    <x v="3"/>
    <n v="1"/>
    <m/>
    <m/>
  </r>
  <r>
    <n v="43"/>
    <x v="1"/>
    <s v="Travel_Rarely"/>
    <n v="415"/>
    <s v="Sales"/>
    <n v="25"/>
    <n v="3"/>
    <s v="Medical"/>
    <n v="1"/>
    <n v="1076"/>
    <n v="3"/>
    <x v="1"/>
    <n v="79"/>
    <n v="2"/>
    <x v="2"/>
    <x v="0"/>
    <x v="0"/>
    <s v="Divorced"/>
    <n v="10798"/>
    <n v="5268"/>
    <n v="5"/>
    <s v="Y"/>
    <s v="No"/>
    <n v="13"/>
    <n v="3"/>
    <n v="3"/>
    <n v="80"/>
    <n v="1"/>
    <n v="18"/>
    <n v="5"/>
    <n v="3"/>
    <x v="6"/>
    <n v="0"/>
    <n v="0"/>
    <n v="0"/>
    <x v="0"/>
    <n v="0"/>
    <n v="0"/>
    <x v="2"/>
    <n v="1"/>
    <m/>
    <m/>
  </r>
  <r>
    <n v="20"/>
    <x v="0"/>
    <s v="Travel_Frequently"/>
    <n v="769"/>
    <s v="Sales"/>
    <n v="9"/>
    <n v="3"/>
    <s v="Marketing"/>
    <n v="1"/>
    <n v="1077"/>
    <n v="4"/>
    <x v="0"/>
    <n v="54"/>
    <n v="3"/>
    <x v="1"/>
    <x v="6"/>
    <x v="0"/>
    <s v="Single"/>
    <n v="2323"/>
    <n v="17205"/>
    <n v="1"/>
    <s v="Y"/>
    <s v="Yes"/>
    <n v="14"/>
    <n v="3"/>
    <n v="2"/>
    <n v="80"/>
    <n v="0"/>
    <n v="2"/>
    <n v="3"/>
    <n v="3"/>
    <x v="4"/>
    <n v="2"/>
    <n v="0"/>
    <n v="2"/>
    <x v="0"/>
    <n v="1"/>
    <n v="41814"/>
    <x v="1"/>
    <n v="1"/>
    <m/>
    <m/>
  </r>
  <r>
    <n v="21"/>
    <x v="0"/>
    <s v="Travel_Rarely"/>
    <n v="1334"/>
    <s v="Research &amp; Development"/>
    <n v="10"/>
    <n v="3"/>
    <s v="Life Sciences"/>
    <n v="1"/>
    <n v="1079"/>
    <n v="3"/>
    <x v="0"/>
    <n v="36"/>
    <n v="2"/>
    <x v="1"/>
    <x v="2"/>
    <x v="3"/>
    <s v="Single"/>
    <n v="1416"/>
    <n v="17258"/>
    <n v="1"/>
    <s v="Y"/>
    <s v="No"/>
    <n v="13"/>
    <n v="3"/>
    <n v="1"/>
    <n v="80"/>
    <n v="0"/>
    <n v="1"/>
    <n v="6"/>
    <n v="2"/>
    <x v="6"/>
    <n v="0"/>
    <n v="1"/>
    <n v="0"/>
    <x v="1"/>
    <n v="1"/>
    <n v="25488"/>
    <x v="1"/>
    <n v="1"/>
    <m/>
    <m/>
  </r>
  <r>
    <n v="46"/>
    <x v="1"/>
    <s v="Travel_Rarely"/>
    <n v="1003"/>
    <s v="Research &amp; Development"/>
    <n v="8"/>
    <n v="4"/>
    <s v="Life Sciences"/>
    <n v="1"/>
    <n v="1080"/>
    <n v="4"/>
    <x v="0"/>
    <n v="74"/>
    <n v="2"/>
    <x v="0"/>
    <x v="1"/>
    <x v="3"/>
    <s v="Divorced"/>
    <n v="4615"/>
    <n v="21029"/>
    <n v="8"/>
    <s v="Y"/>
    <s v="Yes"/>
    <n v="23"/>
    <n v="4"/>
    <n v="1"/>
    <n v="80"/>
    <n v="3"/>
    <n v="19"/>
    <n v="2"/>
    <n v="3"/>
    <x v="22"/>
    <n v="13"/>
    <n v="1"/>
    <n v="7"/>
    <x v="1"/>
    <n v="0"/>
    <n v="0"/>
    <x v="0"/>
    <n v="1"/>
    <m/>
    <m/>
  </r>
  <r>
    <n v="51"/>
    <x v="0"/>
    <s v="Travel_Rarely"/>
    <n v="1323"/>
    <s v="Research &amp; Development"/>
    <n v="4"/>
    <n v="4"/>
    <s v="Life Sciences"/>
    <n v="1"/>
    <n v="1081"/>
    <n v="1"/>
    <x v="1"/>
    <n v="34"/>
    <n v="3"/>
    <x v="1"/>
    <x v="1"/>
    <x v="2"/>
    <s v="Married"/>
    <n v="2461"/>
    <n v="10332"/>
    <n v="9"/>
    <s v="Y"/>
    <s v="Yes"/>
    <n v="12"/>
    <n v="3"/>
    <n v="3"/>
    <n v="80"/>
    <n v="3"/>
    <n v="18"/>
    <n v="2"/>
    <n v="4"/>
    <x v="1"/>
    <n v="0"/>
    <n v="2"/>
    <n v="7"/>
    <x v="1"/>
    <n v="1"/>
    <n v="44298"/>
    <x v="1"/>
    <n v="1"/>
    <m/>
    <m/>
  </r>
  <r>
    <n v="28"/>
    <x v="0"/>
    <s v="Non-Travel"/>
    <n v="1366"/>
    <s v="Research &amp; Development"/>
    <n v="24"/>
    <n v="2"/>
    <s v="Technical Degree"/>
    <n v="1"/>
    <n v="1082"/>
    <n v="2"/>
    <x v="1"/>
    <n v="72"/>
    <n v="2"/>
    <x v="2"/>
    <x v="4"/>
    <x v="3"/>
    <s v="Single"/>
    <n v="8722"/>
    <n v="12355"/>
    <n v="1"/>
    <s v="Y"/>
    <s v="No"/>
    <n v="12"/>
    <n v="3"/>
    <n v="1"/>
    <n v="80"/>
    <n v="0"/>
    <n v="10"/>
    <n v="2"/>
    <n v="2"/>
    <x v="1"/>
    <n v="7"/>
    <n v="1"/>
    <n v="9"/>
    <x v="3"/>
    <n v="1"/>
    <n v="156996"/>
    <x v="4"/>
    <n v="1"/>
    <m/>
    <m/>
  </r>
  <r>
    <n v="26"/>
    <x v="1"/>
    <s v="Travel_Rarely"/>
    <n v="192"/>
    <s v="Research &amp; Development"/>
    <n v="1"/>
    <n v="2"/>
    <s v="Medical"/>
    <n v="1"/>
    <n v="1083"/>
    <n v="1"/>
    <x v="1"/>
    <n v="59"/>
    <n v="2"/>
    <x v="1"/>
    <x v="2"/>
    <x v="3"/>
    <s v="Married"/>
    <n v="3955"/>
    <n v="11141"/>
    <n v="1"/>
    <s v="Y"/>
    <s v="No"/>
    <n v="16"/>
    <n v="3"/>
    <n v="1"/>
    <n v="80"/>
    <n v="2"/>
    <n v="6"/>
    <n v="2"/>
    <n v="3"/>
    <x v="8"/>
    <n v="3"/>
    <n v="1"/>
    <n v="3"/>
    <x v="1"/>
    <n v="0"/>
    <n v="0"/>
    <x v="0"/>
    <n v="1"/>
    <m/>
    <m/>
  </r>
  <r>
    <n v="30"/>
    <x v="1"/>
    <s v="Travel_Rarely"/>
    <n v="1176"/>
    <s v="Research &amp; Development"/>
    <n v="20"/>
    <n v="3"/>
    <s v="Other"/>
    <n v="1"/>
    <n v="1084"/>
    <n v="3"/>
    <x v="1"/>
    <n v="85"/>
    <n v="3"/>
    <x v="0"/>
    <x v="3"/>
    <x v="3"/>
    <s v="Married"/>
    <n v="9957"/>
    <n v="9096"/>
    <n v="0"/>
    <s v="Y"/>
    <s v="No"/>
    <n v="15"/>
    <n v="3"/>
    <n v="3"/>
    <n v="80"/>
    <n v="1"/>
    <n v="7"/>
    <n v="1"/>
    <n v="2"/>
    <x v="0"/>
    <n v="2"/>
    <n v="0"/>
    <n v="2"/>
    <x v="2"/>
    <n v="0"/>
    <n v="0"/>
    <x v="2"/>
    <n v="1"/>
    <m/>
    <m/>
  </r>
  <r>
    <n v="41"/>
    <x v="1"/>
    <s v="Travel_Rarely"/>
    <n v="509"/>
    <s v="Research &amp; Development"/>
    <n v="7"/>
    <n v="2"/>
    <s v="Technical Degree"/>
    <n v="1"/>
    <n v="1085"/>
    <n v="2"/>
    <x v="0"/>
    <n v="43"/>
    <n v="4"/>
    <x v="1"/>
    <x v="1"/>
    <x v="2"/>
    <s v="Married"/>
    <n v="3376"/>
    <n v="18863"/>
    <n v="1"/>
    <s v="Y"/>
    <s v="No"/>
    <n v="13"/>
    <n v="3"/>
    <n v="3"/>
    <n v="80"/>
    <n v="0"/>
    <n v="10"/>
    <n v="3"/>
    <n v="3"/>
    <x v="1"/>
    <n v="6"/>
    <n v="0"/>
    <n v="8"/>
    <x v="1"/>
    <n v="0"/>
    <n v="0"/>
    <x v="0"/>
    <n v="1"/>
    <m/>
    <m/>
  </r>
  <r>
    <n v="38"/>
    <x v="1"/>
    <s v="Travel_Rarely"/>
    <n v="330"/>
    <s v="Research &amp; Development"/>
    <n v="17"/>
    <n v="1"/>
    <s v="Life Sciences"/>
    <n v="1"/>
    <n v="1088"/>
    <n v="3"/>
    <x v="0"/>
    <n v="65"/>
    <n v="2"/>
    <x v="2"/>
    <x v="4"/>
    <x v="2"/>
    <s v="Married"/>
    <n v="8823"/>
    <n v="24608"/>
    <n v="0"/>
    <s v="Y"/>
    <s v="No"/>
    <n v="18"/>
    <n v="3"/>
    <n v="1"/>
    <n v="80"/>
    <n v="1"/>
    <n v="20"/>
    <n v="4"/>
    <n v="2"/>
    <x v="27"/>
    <n v="9"/>
    <n v="1"/>
    <n v="9"/>
    <x v="3"/>
    <n v="0"/>
    <n v="0"/>
    <x v="4"/>
    <n v="1"/>
    <m/>
    <m/>
  </r>
  <r>
    <n v="40"/>
    <x v="1"/>
    <s v="Travel_Rarely"/>
    <n v="1492"/>
    <s v="Research &amp; Development"/>
    <n v="20"/>
    <n v="4"/>
    <s v="Technical Degree"/>
    <n v="1"/>
    <n v="1092"/>
    <n v="1"/>
    <x v="1"/>
    <n v="61"/>
    <n v="3"/>
    <x v="2"/>
    <x v="4"/>
    <x v="0"/>
    <s v="Married"/>
    <n v="10322"/>
    <n v="26542"/>
    <n v="4"/>
    <s v="Y"/>
    <s v="No"/>
    <n v="20"/>
    <n v="4"/>
    <n v="4"/>
    <n v="80"/>
    <n v="1"/>
    <n v="14"/>
    <n v="6"/>
    <n v="3"/>
    <x v="19"/>
    <n v="10"/>
    <n v="11"/>
    <n v="1"/>
    <x v="3"/>
    <n v="0"/>
    <n v="0"/>
    <x v="2"/>
    <n v="1"/>
    <m/>
    <m/>
  </r>
  <r>
    <n v="27"/>
    <x v="1"/>
    <s v="Non-Travel"/>
    <n v="1277"/>
    <s v="Research &amp; Development"/>
    <n v="8"/>
    <n v="5"/>
    <s v="Life Sciences"/>
    <n v="1"/>
    <n v="1094"/>
    <n v="1"/>
    <x v="1"/>
    <n v="87"/>
    <n v="1"/>
    <x v="1"/>
    <x v="2"/>
    <x v="2"/>
    <s v="Married"/>
    <n v="4621"/>
    <n v="5869"/>
    <n v="1"/>
    <s v="Y"/>
    <s v="No"/>
    <n v="19"/>
    <n v="3"/>
    <n v="4"/>
    <n v="80"/>
    <n v="3"/>
    <n v="3"/>
    <n v="4"/>
    <n v="3"/>
    <x v="11"/>
    <n v="2"/>
    <n v="1"/>
    <n v="2"/>
    <x v="1"/>
    <n v="0"/>
    <n v="0"/>
    <x v="0"/>
    <n v="1"/>
    <m/>
    <m/>
  </r>
  <r>
    <n v="55"/>
    <x v="1"/>
    <s v="Travel_Frequently"/>
    <n v="1091"/>
    <s v="Research &amp; Development"/>
    <n v="2"/>
    <n v="1"/>
    <s v="Life Sciences"/>
    <n v="1"/>
    <n v="1096"/>
    <n v="4"/>
    <x v="1"/>
    <n v="65"/>
    <n v="3"/>
    <x v="2"/>
    <x v="3"/>
    <x v="1"/>
    <s v="Married"/>
    <n v="10976"/>
    <n v="15813"/>
    <n v="3"/>
    <s v="Y"/>
    <s v="No"/>
    <n v="18"/>
    <n v="3"/>
    <n v="2"/>
    <n v="80"/>
    <n v="1"/>
    <n v="23"/>
    <n v="4"/>
    <n v="3"/>
    <x v="11"/>
    <n v="2"/>
    <n v="1"/>
    <n v="2"/>
    <x v="2"/>
    <n v="0"/>
    <n v="0"/>
    <x v="2"/>
    <n v="1"/>
    <m/>
    <m/>
  </r>
  <r>
    <n v="28"/>
    <x v="1"/>
    <s v="Travel_Rarely"/>
    <n v="857"/>
    <s v="Research &amp; Development"/>
    <n v="10"/>
    <n v="3"/>
    <s v="Other"/>
    <n v="1"/>
    <n v="1097"/>
    <n v="3"/>
    <x v="0"/>
    <n v="59"/>
    <n v="3"/>
    <x v="0"/>
    <x v="1"/>
    <x v="2"/>
    <s v="Single"/>
    <n v="3660"/>
    <n v="7909"/>
    <n v="3"/>
    <s v="Y"/>
    <s v="No"/>
    <n v="13"/>
    <n v="3"/>
    <n v="4"/>
    <n v="80"/>
    <n v="0"/>
    <n v="10"/>
    <n v="4"/>
    <n v="4"/>
    <x v="3"/>
    <n v="7"/>
    <n v="1"/>
    <n v="7"/>
    <x v="1"/>
    <n v="0"/>
    <n v="0"/>
    <x v="0"/>
    <n v="1"/>
    <m/>
    <m/>
  </r>
  <r>
    <n v="44"/>
    <x v="0"/>
    <s v="Travel_Rarely"/>
    <n v="1376"/>
    <s v="Human Resources"/>
    <n v="1"/>
    <n v="2"/>
    <s v="Medical"/>
    <n v="1"/>
    <n v="1098"/>
    <n v="2"/>
    <x v="1"/>
    <n v="91"/>
    <n v="2"/>
    <x v="2"/>
    <x v="8"/>
    <x v="3"/>
    <s v="Married"/>
    <n v="10482"/>
    <n v="2326"/>
    <n v="9"/>
    <s v="Y"/>
    <s v="No"/>
    <n v="14"/>
    <n v="3"/>
    <n v="4"/>
    <n v="80"/>
    <n v="1"/>
    <n v="24"/>
    <n v="1"/>
    <n v="3"/>
    <x v="23"/>
    <n v="6"/>
    <n v="3"/>
    <n v="6"/>
    <x v="5"/>
    <n v="1"/>
    <n v="188676"/>
    <x v="2"/>
    <n v="1"/>
    <m/>
    <m/>
  </r>
  <r>
    <n v="33"/>
    <x v="1"/>
    <s v="Travel_Rarely"/>
    <n v="654"/>
    <s v="Research &amp; Development"/>
    <n v="5"/>
    <n v="3"/>
    <s v="Life Sciences"/>
    <n v="1"/>
    <n v="1099"/>
    <n v="4"/>
    <x v="1"/>
    <n v="34"/>
    <n v="2"/>
    <x v="2"/>
    <x v="4"/>
    <x v="0"/>
    <s v="Divorced"/>
    <n v="7119"/>
    <n v="21214"/>
    <n v="4"/>
    <s v="Y"/>
    <s v="No"/>
    <n v="15"/>
    <n v="3"/>
    <n v="3"/>
    <n v="80"/>
    <n v="1"/>
    <n v="9"/>
    <n v="2"/>
    <n v="3"/>
    <x v="11"/>
    <n v="2"/>
    <n v="1"/>
    <n v="2"/>
    <x v="3"/>
    <n v="0"/>
    <n v="0"/>
    <x v="4"/>
    <n v="1"/>
    <m/>
    <m/>
  </r>
  <r>
    <n v="35"/>
    <x v="0"/>
    <s v="Travel_Rarely"/>
    <n v="1204"/>
    <s v="Sales"/>
    <n v="4"/>
    <n v="3"/>
    <s v="Technical Degree"/>
    <n v="1"/>
    <n v="1100"/>
    <n v="4"/>
    <x v="1"/>
    <n v="86"/>
    <n v="3"/>
    <x v="2"/>
    <x v="0"/>
    <x v="3"/>
    <s v="Single"/>
    <n v="9582"/>
    <n v="10333"/>
    <n v="0"/>
    <s v="Y"/>
    <s v="Yes"/>
    <n v="22"/>
    <n v="4"/>
    <n v="1"/>
    <n v="80"/>
    <n v="0"/>
    <n v="9"/>
    <n v="2"/>
    <n v="3"/>
    <x v="3"/>
    <n v="7"/>
    <n v="4"/>
    <n v="7"/>
    <x v="0"/>
    <n v="1"/>
    <n v="172476"/>
    <x v="2"/>
    <n v="1"/>
    <m/>
    <m/>
  </r>
  <r>
    <n v="33"/>
    <x v="0"/>
    <s v="Travel_Frequently"/>
    <n v="827"/>
    <s v="Research &amp; Development"/>
    <n v="29"/>
    <n v="4"/>
    <s v="Medical"/>
    <n v="1"/>
    <n v="1101"/>
    <n v="1"/>
    <x v="0"/>
    <n v="54"/>
    <n v="2"/>
    <x v="0"/>
    <x v="1"/>
    <x v="2"/>
    <s v="Single"/>
    <n v="4508"/>
    <n v="3129"/>
    <n v="1"/>
    <s v="Y"/>
    <s v="No"/>
    <n v="22"/>
    <n v="4"/>
    <n v="2"/>
    <n v="80"/>
    <n v="0"/>
    <n v="14"/>
    <n v="4"/>
    <n v="3"/>
    <x v="20"/>
    <n v="7"/>
    <n v="3"/>
    <n v="8"/>
    <x v="1"/>
    <n v="1"/>
    <n v="81144"/>
    <x v="0"/>
    <n v="1"/>
    <m/>
    <m/>
  </r>
  <r>
    <n v="28"/>
    <x v="1"/>
    <s v="Travel_Rarely"/>
    <n v="895"/>
    <s v="Research &amp; Development"/>
    <n v="15"/>
    <n v="2"/>
    <s v="Life Sciences"/>
    <n v="1"/>
    <n v="1102"/>
    <n v="1"/>
    <x v="1"/>
    <n v="50"/>
    <n v="3"/>
    <x v="1"/>
    <x v="2"/>
    <x v="2"/>
    <s v="Divorced"/>
    <n v="2207"/>
    <n v="22482"/>
    <n v="1"/>
    <s v="Y"/>
    <s v="No"/>
    <n v="16"/>
    <n v="3"/>
    <n v="4"/>
    <n v="80"/>
    <n v="1"/>
    <n v="4"/>
    <n v="5"/>
    <n v="2"/>
    <x v="9"/>
    <n v="2"/>
    <n v="2"/>
    <n v="2"/>
    <x v="1"/>
    <n v="0"/>
    <n v="0"/>
    <x v="1"/>
    <n v="1"/>
    <m/>
    <m/>
  </r>
  <r>
    <n v="34"/>
    <x v="1"/>
    <s v="Travel_Frequently"/>
    <n v="618"/>
    <s v="Research &amp; Development"/>
    <n v="3"/>
    <n v="1"/>
    <s v="Life Sciences"/>
    <n v="1"/>
    <n v="1103"/>
    <n v="1"/>
    <x v="1"/>
    <n v="45"/>
    <n v="3"/>
    <x v="0"/>
    <x v="4"/>
    <x v="0"/>
    <s v="Single"/>
    <n v="7756"/>
    <n v="22266"/>
    <n v="0"/>
    <s v="Y"/>
    <s v="No"/>
    <n v="17"/>
    <n v="3"/>
    <n v="3"/>
    <n v="80"/>
    <n v="0"/>
    <n v="7"/>
    <n v="1"/>
    <n v="2"/>
    <x v="0"/>
    <n v="2"/>
    <n v="0"/>
    <n v="4"/>
    <x v="3"/>
    <n v="0"/>
    <n v="0"/>
    <x v="4"/>
    <n v="1"/>
    <m/>
    <m/>
  </r>
  <r>
    <n v="37"/>
    <x v="1"/>
    <s v="Travel_Rarely"/>
    <n v="309"/>
    <s v="Sales"/>
    <n v="10"/>
    <n v="4"/>
    <s v="Life Sciences"/>
    <n v="1"/>
    <n v="1105"/>
    <n v="4"/>
    <x v="0"/>
    <n v="88"/>
    <n v="2"/>
    <x v="0"/>
    <x v="0"/>
    <x v="0"/>
    <s v="Divorced"/>
    <n v="6694"/>
    <n v="24223"/>
    <n v="2"/>
    <s v="Y"/>
    <s v="Yes"/>
    <n v="14"/>
    <n v="3"/>
    <n v="3"/>
    <n v="80"/>
    <n v="3"/>
    <n v="8"/>
    <n v="5"/>
    <n v="3"/>
    <x v="6"/>
    <n v="0"/>
    <n v="0"/>
    <n v="0"/>
    <x v="0"/>
    <n v="0"/>
    <n v="0"/>
    <x v="4"/>
    <n v="1"/>
    <m/>
    <m/>
  </r>
  <r>
    <n v="25"/>
    <x v="0"/>
    <s v="Travel_Rarely"/>
    <n v="1219"/>
    <s v="Research &amp; Development"/>
    <n v="4"/>
    <n v="1"/>
    <s v="Technical Degree"/>
    <n v="1"/>
    <n v="1106"/>
    <n v="4"/>
    <x v="1"/>
    <n v="32"/>
    <n v="3"/>
    <x v="1"/>
    <x v="2"/>
    <x v="0"/>
    <s v="Married"/>
    <n v="3691"/>
    <n v="4605"/>
    <n v="1"/>
    <s v="Y"/>
    <s v="Yes"/>
    <n v="15"/>
    <n v="3"/>
    <n v="2"/>
    <n v="80"/>
    <n v="1"/>
    <n v="7"/>
    <n v="3"/>
    <n v="4"/>
    <x v="5"/>
    <n v="7"/>
    <n v="5"/>
    <n v="6"/>
    <x v="1"/>
    <n v="1"/>
    <n v="66438"/>
    <x v="0"/>
    <n v="1"/>
    <m/>
    <m/>
  </r>
  <r>
    <n v="26"/>
    <x v="0"/>
    <s v="Travel_Rarely"/>
    <n v="1330"/>
    <s v="Research &amp; Development"/>
    <n v="21"/>
    <n v="3"/>
    <s v="Medical"/>
    <n v="1"/>
    <n v="1107"/>
    <n v="1"/>
    <x v="1"/>
    <n v="37"/>
    <n v="3"/>
    <x v="1"/>
    <x v="2"/>
    <x v="2"/>
    <s v="Divorced"/>
    <n v="2377"/>
    <n v="19373"/>
    <n v="1"/>
    <s v="Y"/>
    <s v="No"/>
    <n v="20"/>
    <n v="4"/>
    <n v="3"/>
    <n v="80"/>
    <n v="1"/>
    <n v="1"/>
    <n v="0"/>
    <n v="2"/>
    <x v="6"/>
    <n v="1"/>
    <n v="0"/>
    <n v="0"/>
    <x v="1"/>
    <n v="1"/>
    <n v="42786"/>
    <x v="1"/>
    <n v="1"/>
    <m/>
    <m/>
  </r>
  <r>
    <n v="33"/>
    <x v="0"/>
    <s v="Travel_Rarely"/>
    <n v="1017"/>
    <s v="Research &amp; Development"/>
    <n v="25"/>
    <n v="3"/>
    <s v="Medical"/>
    <n v="1"/>
    <n v="1108"/>
    <n v="1"/>
    <x v="1"/>
    <n v="55"/>
    <n v="2"/>
    <x v="1"/>
    <x v="1"/>
    <x v="1"/>
    <s v="Single"/>
    <n v="2313"/>
    <n v="2993"/>
    <n v="4"/>
    <s v="Y"/>
    <s v="Yes"/>
    <n v="20"/>
    <n v="4"/>
    <n v="2"/>
    <n v="80"/>
    <n v="0"/>
    <n v="5"/>
    <n v="0"/>
    <n v="3"/>
    <x v="4"/>
    <n v="2"/>
    <n v="2"/>
    <n v="2"/>
    <x v="1"/>
    <n v="1"/>
    <n v="41634"/>
    <x v="1"/>
    <n v="1"/>
    <m/>
    <m/>
  </r>
  <r>
    <n v="42"/>
    <x v="1"/>
    <s v="Travel_Rarely"/>
    <n v="469"/>
    <s v="Research &amp; Development"/>
    <n v="2"/>
    <n v="2"/>
    <s v="Medical"/>
    <n v="1"/>
    <n v="1109"/>
    <n v="4"/>
    <x v="1"/>
    <n v="35"/>
    <n v="3"/>
    <x v="3"/>
    <x v="5"/>
    <x v="3"/>
    <s v="Married"/>
    <n v="17665"/>
    <n v="14399"/>
    <n v="0"/>
    <s v="Y"/>
    <s v="No"/>
    <n v="17"/>
    <n v="3"/>
    <n v="4"/>
    <n v="80"/>
    <n v="1"/>
    <n v="23"/>
    <n v="3"/>
    <n v="3"/>
    <x v="14"/>
    <n v="6"/>
    <n v="13"/>
    <n v="7"/>
    <x v="4"/>
    <n v="0"/>
    <n v="0"/>
    <x v="3"/>
    <n v="1"/>
    <m/>
    <m/>
  </r>
  <r>
    <n v="28"/>
    <x v="0"/>
    <s v="Travel_Frequently"/>
    <n v="1009"/>
    <s v="Research &amp; Development"/>
    <n v="1"/>
    <n v="3"/>
    <s v="Medical"/>
    <n v="1"/>
    <n v="1111"/>
    <n v="1"/>
    <x v="1"/>
    <n v="45"/>
    <n v="2"/>
    <x v="1"/>
    <x v="2"/>
    <x v="1"/>
    <s v="Divorced"/>
    <n v="2596"/>
    <n v="7160"/>
    <n v="1"/>
    <s v="Y"/>
    <s v="No"/>
    <n v="15"/>
    <n v="3"/>
    <n v="1"/>
    <n v="80"/>
    <n v="2"/>
    <n v="1"/>
    <n v="2"/>
    <n v="3"/>
    <x v="6"/>
    <n v="0"/>
    <n v="0"/>
    <n v="0"/>
    <x v="1"/>
    <n v="1"/>
    <n v="46728"/>
    <x v="1"/>
    <n v="1"/>
    <m/>
    <m/>
  </r>
  <r>
    <n v="50"/>
    <x v="0"/>
    <s v="Travel_Frequently"/>
    <n v="959"/>
    <s v="Sales"/>
    <n v="1"/>
    <n v="4"/>
    <s v="Other"/>
    <n v="1"/>
    <n v="1113"/>
    <n v="4"/>
    <x v="1"/>
    <n v="81"/>
    <n v="3"/>
    <x v="0"/>
    <x v="0"/>
    <x v="2"/>
    <s v="Single"/>
    <n v="4728"/>
    <n v="17251"/>
    <n v="3"/>
    <s v="Y"/>
    <s v="Yes"/>
    <n v="14"/>
    <n v="3"/>
    <n v="4"/>
    <n v="80"/>
    <n v="0"/>
    <n v="5"/>
    <n v="4"/>
    <n v="3"/>
    <x v="2"/>
    <n v="0"/>
    <n v="0"/>
    <n v="0"/>
    <x v="0"/>
    <n v="1"/>
    <n v="85104"/>
    <x v="0"/>
    <n v="1"/>
    <m/>
    <m/>
  </r>
  <r>
    <n v="33"/>
    <x v="1"/>
    <s v="Travel_Frequently"/>
    <n v="970"/>
    <s v="Sales"/>
    <n v="7"/>
    <n v="3"/>
    <s v="Life Sciences"/>
    <n v="1"/>
    <n v="1114"/>
    <n v="4"/>
    <x v="0"/>
    <n v="30"/>
    <n v="3"/>
    <x v="0"/>
    <x v="0"/>
    <x v="1"/>
    <s v="Married"/>
    <n v="4302"/>
    <n v="13401"/>
    <n v="0"/>
    <s v="Y"/>
    <s v="No"/>
    <n v="17"/>
    <n v="3"/>
    <n v="3"/>
    <n v="80"/>
    <n v="1"/>
    <n v="4"/>
    <n v="3"/>
    <n v="3"/>
    <x v="11"/>
    <n v="2"/>
    <n v="0"/>
    <n v="2"/>
    <x v="0"/>
    <n v="0"/>
    <n v="0"/>
    <x v="0"/>
    <n v="1"/>
    <m/>
    <m/>
  </r>
  <r>
    <n v="34"/>
    <x v="1"/>
    <s v="Non-Travel"/>
    <n v="697"/>
    <s v="Research &amp; Development"/>
    <n v="3"/>
    <n v="4"/>
    <s v="Life Sciences"/>
    <n v="1"/>
    <n v="1115"/>
    <n v="3"/>
    <x v="1"/>
    <n v="40"/>
    <n v="2"/>
    <x v="1"/>
    <x v="1"/>
    <x v="0"/>
    <s v="Married"/>
    <n v="2979"/>
    <n v="22478"/>
    <n v="3"/>
    <s v="Y"/>
    <s v="No"/>
    <n v="17"/>
    <n v="3"/>
    <n v="4"/>
    <n v="80"/>
    <n v="3"/>
    <n v="6"/>
    <n v="2"/>
    <n v="3"/>
    <x v="2"/>
    <n v="0"/>
    <n v="0"/>
    <n v="0"/>
    <x v="1"/>
    <n v="0"/>
    <n v="0"/>
    <x v="1"/>
    <n v="1"/>
    <m/>
    <m/>
  </r>
  <r>
    <n v="48"/>
    <x v="1"/>
    <s v="Non-Travel"/>
    <n v="1262"/>
    <s v="Research &amp; Development"/>
    <n v="1"/>
    <n v="4"/>
    <s v="Medical"/>
    <n v="1"/>
    <n v="1116"/>
    <n v="1"/>
    <x v="1"/>
    <n v="35"/>
    <n v="4"/>
    <x v="3"/>
    <x v="5"/>
    <x v="0"/>
    <s v="Single"/>
    <n v="16885"/>
    <n v="16154"/>
    <n v="2"/>
    <s v="Y"/>
    <s v="No"/>
    <n v="22"/>
    <n v="4"/>
    <n v="3"/>
    <n v="80"/>
    <n v="0"/>
    <n v="27"/>
    <n v="3"/>
    <n v="2"/>
    <x v="8"/>
    <n v="4"/>
    <n v="2"/>
    <n v="1"/>
    <x v="4"/>
    <n v="0"/>
    <n v="0"/>
    <x v="3"/>
    <n v="1"/>
    <m/>
    <m/>
  </r>
  <r>
    <n v="45"/>
    <x v="1"/>
    <s v="Non-Travel"/>
    <n v="1050"/>
    <s v="Sales"/>
    <n v="9"/>
    <n v="4"/>
    <s v="Life Sciences"/>
    <n v="1"/>
    <n v="1117"/>
    <n v="2"/>
    <x v="0"/>
    <n v="65"/>
    <n v="2"/>
    <x v="0"/>
    <x v="0"/>
    <x v="2"/>
    <s v="Married"/>
    <n v="5593"/>
    <n v="17970"/>
    <n v="1"/>
    <s v="Y"/>
    <s v="No"/>
    <n v="13"/>
    <n v="3"/>
    <n v="4"/>
    <n v="80"/>
    <n v="1"/>
    <n v="15"/>
    <n v="2"/>
    <n v="3"/>
    <x v="15"/>
    <n v="10"/>
    <n v="4"/>
    <n v="12"/>
    <x v="0"/>
    <n v="0"/>
    <n v="0"/>
    <x v="0"/>
    <n v="1"/>
    <m/>
    <m/>
  </r>
  <r>
    <n v="52"/>
    <x v="1"/>
    <s v="Travel_Rarely"/>
    <n v="994"/>
    <s v="Research &amp; Development"/>
    <n v="7"/>
    <n v="4"/>
    <s v="Life Sciences"/>
    <n v="1"/>
    <n v="1118"/>
    <n v="2"/>
    <x v="1"/>
    <n v="87"/>
    <n v="3"/>
    <x v="2"/>
    <x v="4"/>
    <x v="1"/>
    <s v="Single"/>
    <n v="10445"/>
    <n v="15322"/>
    <n v="7"/>
    <s v="Y"/>
    <s v="No"/>
    <n v="19"/>
    <n v="3"/>
    <n v="4"/>
    <n v="80"/>
    <n v="0"/>
    <n v="18"/>
    <n v="4"/>
    <n v="3"/>
    <x v="3"/>
    <n v="6"/>
    <n v="4"/>
    <n v="0"/>
    <x v="3"/>
    <n v="0"/>
    <n v="0"/>
    <x v="2"/>
    <n v="1"/>
    <m/>
    <m/>
  </r>
  <r>
    <n v="38"/>
    <x v="1"/>
    <s v="Travel_Rarely"/>
    <n v="770"/>
    <s v="Sales"/>
    <n v="10"/>
    <n v="4"/>
    <s v="Marketing"/>
    <n v="1"/>
    <n v="1119"/>
    <n v="3"/>
    <x v="1"/>
    <n v="73"/>
    <n v="2"/>
    <x v="2"/>
    <x v="0"/>
    <x v="2"/>
    <s v="Divorced"/>
    <n v="8740"/>
    <n v="5569"/>
    <n v="0"/>
    <s v="Y"/>
    <s v="Yes"/>
    <n v="14"/>
    <n v="3"/>
    <n v="2"/>
    <n v="80"/>
    <n v="2"/>
    <n v="9"/>
    <n v="2"/>
    <n v="3"/>
    <x v="3"/>
    <n v="7"/>
    <n v="2"/>
    <n v="7"/>
    <x v="0"/>
    <n v="0"/>
    <n v="0"/>
    <x v="4"/>
    <n v="1"/>
    <m/>
    <m/>
  </r>
  <r>
    <n v="29"/>
    <x v="1"/>
    <s v="Travel_Rarely"/>
    <n v="1107"/>
    <s v="Research &amp; Development"/>
    <n v="28"/>
    <n v="4"/>
    <s v="Life Sciences"/>
    <n v="1"/>
    <n v="1120"/>
    <n v="3"/>
    <x v="0"/>
    <n v="93"/>
    <n v="3"/>
    <x v="1"/>
    <x v="1"/>
    <x v="0"/>
    <s v="Divorced"/>
    <n v="2514"/>
    <n v="26968"/>
    <n v="4"/>
    <s v="Y"/>
    <s v="No"/>
    <n v="22"/>
    <n v="4"/>
    <n v="1"/>
    <n v="80"/>
    <n v="1"/>
    <n v="11"/>
    <n v="1"/>
    <n v="3"/>
    <x v="5"/>
    <n v="5"/>
    <n v="1"/>
    <n v="7"/>
    <x v="1"/>
    <n v="0"/>
    <n v="0"/>
    <x v="1"/>
    <n v="1"/>
    <m/>
    <m/>
  </r>
  <r>
    <n v="28"/>
    <x v="1"/>
    <s v="Travel_Rarely"/>
    <n v="950"/>
    <s v="Research &amp; Development"/>
    <n v="3"/>
    <n v="3"/>
    <s v="Medical"/>
    <n v="1"/>
    <n v="1121"/>
    <n v="4"/>
    <x v="0"/>
    <n v="93"/>
    <n v="3"/>
    <x v="2"/>
    <x v="3"/>
    <x v="1"/>
    <s v="Divorced"/>
    <n v="7655"/>
    <n v="8039"/>
    <n v="0"/>
    <s v="Y"/>
    <s v="No"/>
    <n v="17"/>
    <n v="3"/>
    <n v="2"/>
    <n v="80"/>
    <n v="3"/>
    <n v="10"/>
    <n v="3"/>
    <n v="2"/>
    <x v="7"/>
    <n v="7"/>
    <n v="1"/>
    <n v="7"/>
    <x v="2"/>
    <n v="0"/>
    <n v="0"/>
    <x v="4"/>
    <n v="1"/>
    <m/>
    <m/>
  </r>
  <r>
    <n v="46"/>
    <x v="1"/>
    <s v="Travel_Rarely"/>
    <n v="406"/>
    <s v="Sales"/>
    <n v="3"/>
    <n v="1"/>
    <s v="Marketing"/>
    <n v="1"/>
    <n v="1124"/>
    <n v="1"/>
    <x v="1"/>
    <n v="52"/>
    <n v="3"/>
    <x v="3"/>
    <x v="5"/>
    <x v="2"/>
    <s v="Married"/>
    <n v="17465"/>
    <n v="15596"/>
    <n v="3"/>
    <s v="Y"/>
    <s v="No"/>
    <n v="12"/>
    <n v="3"/>
    <n v="4"/>
    <n v="80"/>
    <n v="1"/>
    <n v="23"/>
    <n v="3"/>
    <n v="3"/>
    <x v="12"/>
    <n v="9"/>
    <n v="4"/>
    <n v="9"/>
    <x v="4"/>
    <n v="0"/>
    <n v="0"/>
    <x v="3"/>
    <n v="1"/>
    <m/>
    <m/>
  </r>
  <r>
    <n v="38"/>
    <x v="1"/>
    <s v="Travel_Rarely"/>
    <n v="130"/>
    <s v="Sales"/>
    <n v="2"/>
    <n v="2"/>
    <s v="Marketing"/>
    <n v="1"/>
    <n v="1125"/>
    <n v="4"/>
    <x v="1"/>
    <n v="32"/>
    <n v="3"/>
    <x v="2"/>
    <x v="0"/>
    <x v="1"/>
    <s v="Single"/>
    <n v="7351"/>
    <n v="20619"/>
    <n v="7"/>
    <s v="Y"/>
    <s v="No"/>
    <n v="16"/>
    <n v="3"/>
    <n v="3"/>
    <n v="80"/>
    <n v="0"/>
    <n v="10"/>
    <n v="2"/>
    <n v="3"/>
    <x v="6"/>
    <n v="0"/>
    <n v="0"/>
    <n v="0"/>
    <x v="0"/>
    <n v="0"/>
    <n v="0"/>
    <x v="4"/>
    <n v="1"/>
    <m/>
    <m/>
  </r>
  <r>
    <n v="43"/>
    <x v="1"/>
    <s v="Travel_Frequently"/>
    <n v="1082"/>
    <s v="Research &amp; Development"/>
    <n v="27"/>
    <n v="3"/>
    <s v="Life Sciences"/>
    <n v="1"/>
    <n v="1126"/>
    <n v="3"/>
    <x v="0"/>
    <n v="83"/>
    <n v="3"/>
    <x v="2"/>
    <x v="3"/>
    <x v="3"/>
    <s v="Married"/>
    <n v="10820"/>
    <n v="11535"/>
    <n v="8"/>
    <s v="Y"/>
    <s v="No"/>
    <n v="11"/>
    <n v="3"/>
    <n v="3"/>
    <n v="80"/>
    <n v="1"/>
    <n v="18"/>
    <n v="1"/>
    <n v="3"/>
    <x v="3"/>
    <n v="7"/>
    <n v="0"/>
    <n v="1"/>
    <x v="2"/>
    <n v="0"/>
    <n v="0"/>
    <x v="2"/>
    <n v="1"/>
    <m/>
    <m/>
  </r>
  <r>
    <n v="39"/>
    <x v="0"/>
    <s v="Travel_Frequently"/>
    <n v="203"/>
    <s v="Research &amp; Development"/>
    <n v="2"/>
    <n v="3"/>
    <s v="Life Sciences"/>
    <n v="1"/>
    <n v="1127"/>
    <n v="1"/>
    <x v="1"/>
    <n v="84"/>
    <n v="3"/>
    <x v="3"/>
    <x v="4"/>
    <x v="0"/>
    <s v="Divorced"/>
    <n v="12169"/>
    <n v="13547"/>
    <n v="7"/>
    <s v="Y"/>
    <s v="No"/>
    <n v="11"/>
    <n v="3"/>
    <n v="4"/>
    <n v="80"/>
    <n v="3"/>
    <n v="21"/>
    <n v="4"/>
    <n v="3"/>
    <x v="29"/>
    <n v="7"/>
    <n v="11"/>
    <n v="5"/>
    <x v="3"/>
    <n v="1"/>
    <n v="219042"/>
    <x v="3"/>
    <n v="1"/>
    <m/>
    <m/>
  </r>
  <r>
    <n v="40"/>
    <x v="1"/>
    <s v="Travel_Rarely"/>
    <n v="1308"/>
    <s v="Research &amp; Development"/>
    <n v="14"/>
    <n v="3"/>
    <s v="Medical"/>
    <n v="1"/>
    <n v="1128"/>
    <n v="3"/>
    <x v="1"/>
    <n v="44"/>
    <n v="2"/>
    <x v="4"/>
    <x v="7"/>
    <x v="2"/>
    <s v="Single"/>
    <n v="19626"/>
    <n v="17544"/>
    <n v="1"/>
    <s v="Y"/>
    <s v="No"/>
    <n v="14"/>
    <n v="3"/>
    <n v="1"/>
    <n v="80"/>
    <n v="0"/>
    <n v="21"/>
    <n v="2"/>
    <n v="4"/>
    <x v="23"/>
    <n v="7"/>
    <n v="4"/>
    <n v="9"/>
    <x v="1"/>
    <n v="0"/>
    <n v="0"/>
    <x v="3"/>
    <n v="1"/>
    <m/>
    <m/>
  </r>
  <r>
    <n v="21"/>
    <x v="1"/>
    <s v="Travel_Rarely"/>
    <n v="984"/>
    <s v="Research &amp; Development"/>
    <n v="1"/>
    <n v="1"/>
    <s v="Technical Degree"/>
    <n v="1"/>
    <n v="1131"/>
    <n v="4"/>
    <x v="0"/>
    <n v="70"/>
    <n v="2"/>
    <x v="1"/>
    <x v="1"/>
    <x v="1"/>
    <s v="Single"/>
    <n v="2070"/>
    <n v="25326"/>
    <n v="1"/>
    <s v="Y"/>
    <s v="Yes"/>
    <n v="11"/>
    <n v="3"/>
    <n v="3"/>
    <n v="80"/>
    <n v="0"/>
    <n v="2"/>
    <n v="6"/>
    <n v="4"/>
    <x v="4"/>
    <n v="2"/>
    <n v="2"/>
    <n v="2"/>
    <x v="1"/>
    <n v="0"/>
    <n v="0"/>
    <x v="1"/>
    <n v="1"/>
    <m/>
    <m/>
  </r>
  <r>
    <n v="39"/>
    <x v="1"/>
    <s v="Non-Travel"/>
    <n v="439"/>
    <s v="Research &amp; Development"/>
    <n v="9"/>
    <n v="3"/>
    <s v="Life Sciences"/>
    <n v="1"/>
    <n v="1132"/>
    <n v="3"/>
    <x v="1"/>
    <n v="70"/>
    <n v="3"/>
    <x v="0"/>
    <x v="2"/>
    <x v="1"/>
    <s v="Single"/>
    <n v="6782"/>
    <n v="8770"/>
    <n v="9"/>
    <s v="Y"/>
    <s v="No"/>
    <n v="15"/>
    <n v="3"/>
    <n v="3"/>
    <n v="80"/>
    <n v="0"/>
    <n v="9"/>
    <n v="2"/>
    <n v="2"/>
    <x v="8"/>
    <n v="4"/>
    <n v="0"/>
    <n v="3"/>
    <x v="1"/>
    <n v="0"/>
    <n v="0"/>
    <x v="4"/>
    <n v="1"/>
    <m/>
    <m/>
  </r>
  <r>
    <n v="36"/>
    <x v="1"/>
    <s v="Non-Travel"/>
    <n v="217"/>
    <s v="Research &amp; Development"/>
    <n v="18"/>
    <n v="4"/>
    <s v="Life Sciences"/>
    <n v="1"/>
    <n v="1133"/>
    <n v="1"/>
    <x v="1"/>
    <n v="78"/>
    <n v="3"/>
    <x v="0"/>
    <x v="3"/>
    <x v="0"/>
    <s v="Single"/>
    <n v="7779"/>
    <n v="23238"/>
    <n v="2"/>
    <s v="Y"/>
    <s v="No"/>
    <n v="20"/>
    <n v="4"/>
    <n v="1"/>
    <n v="80"/>
    <n v="0"/>
    <n v="18"/>
    <n v="0"/>
    <n v="3"/>
    <x v="19"/>
    <n v="9"/>
    <n v="0"/>
    <n v="9"/>
    <x v="2"/>
    <n v="0"/>
    <n v="0"/>
    <x v="4"/>
    <n v="1"/>
    <m/>
    <m/>
  </r>
  <r>
    <n v="31"/>
    <x v="1"/>
    <s v="Travel_Frequently"/>
    <n v="793"/>
    <s v="Sales"/>
    <n v="20"/>
    <n v="3"/>
    <s v="Life Sciences"/>
    <n v="1"/>
    <n v="1135"/>
    <n v="3"/>
    <x v="1"/>
    <n v="67"/>
    <n v="4"/>
    <x v="1"/>
    <x v="6"/>
    <x v="0"/>
    <s v="Married"/>
    <n v="2791"/>
    <n v="21981"/>
    <n v="0"/>
    <s v="Y"/>
    <s v="No"/>
    <n v="12"/>
    <n v="3"/>
    <n v="1"/>
    <n v="80"/>
    <n v="1"/>
    <n v="3"/>
    <n v="4"/>
    <n v="3"/>
    <x v="4"/>
    <n v="2"/>
    <n v="2"/>
    <n v="2"/>
    <x v="0"/>
    <n v="0"/>
    <n v="0"/>
    <x v="1"/>
    <n v="1"/>
    <m/>
    <m/>
  </r>
  <r>
    <n v="28"/>
    <x v="1"/>
    <s v="Travel_Rarely"/>
    <n v="1451"/>
    <s v="Research &amp; Development"/>
    <n v="2"/>
    <n v="1"/>
    <s v="Life Sciences"/>
    <n v="1"/>
    <n v="1136"/>
    <n v="1"/>
    <x v="1"/>
    <n v="67"/>
    <n v="2"/>
    <x v="1"/>
    <x v="1"/>
    <x v="1"/>
    <s v="Married"/>
    <n v="3201"/>
    <n v="19911"/>
    <n v="0"/>
    <s v="Y"/>
    <s v="No"/>
    <n v="17"/>
    <n v="3"/>
    <n v="1"/>
    <n v="80"/>
    <n v="0"/>
    <n v="6"/>
    <n v="2"/>
    <n v="1"/>
    <x v="8"/>
    <n v="3"/>
    <n v="0"/>
    <n v="4"/>
    <x v="1"/>
    <n v="0"/>
    <n v="0"/>
    <x v="0"/>
    <n v="1"/>
    <m/>
    <m/>
  </r>
  <r>
    <n v="35"/>
    <x v="1"/>
    <s v="Travel_Frequently"/>
    <n v="1182"/>
    <s v="Sales"/>
    <n v="11"/>
    <n v="2"/>
    <s v="Marketing"/>
    <n v="1"/>
    <n v="1137"/>
    <n v="4"/>
    <x v="1"/>
    <n v="54"/>
    <n v="3"/>
    <x v="0"/>
    <x v="0"/>
    <x v="0"/>
    <s v="Divorced"/>
    <n v="4968"/>
    <n v="18500"/>
    <n v="1"/>
    <s v="Y"/>
    <s v="No"/>
    <n v="11"/>
    <n v="3"/>
    <n v="4"/>
    <n v="80"/>
    <n v="1"/>
    <n v="5"/>
    <n v="3"/>
    <n v="3"/>
    <x v="8"/>
    <n v="2"/>
    <n v="0"/>
    <n v="2"/>
    <x v="0"/>
    <n v="0"/>
    <n v="0"/>
    <x v="0"/>
    <n v="1"/>
    <m/>
    <m/>
  </r>
  <r>
    <n v="49"/>
    <x v="1"/>
    <s v="Travel_Rarely"/>
    <n v="174"/>
    <s v="Sales"/>
    <n v="8"/>
    <n v="4"/>
    <s v="Technical Degree"/>
    <n v="1"/>
    <n v="1138"/>
    <n v="4"/>
    <x v="1"/>
    <n v="56"/>
    <n v="2"/>
    <x v="3"/>
    <x v="0"/>
    <x v="1"/>
    <s v="Married"/>
    <n v="13120"/>
    <n v="11879"/>
    <n v="6"/>
    <s v="Y"/>
    <s v="No"/>
    <n v="17"/>
    <n v="3"/>
    <n v="2"/>
    <n v="80"/>
    <n v="1"/>
    <n v="22"/>
    <n v="3"/>
    <n v="3"/>
    <x v="7"/>
    <n v="8"/>
    <n v="2"/>
    <n v="3"/>
    <x v="0"/>
    <n v="0"/>
    <n v="0"/>
    <x v="3"/>
    <n v="1"/>
    <m/>
    <m/>
  </r>
  <r>
    <n v="34"/>
    <x v="1"/>
    <s v="Travel_Frequently"/>
    <n v="1003"/>
    <s v="Research &amp; Development"/>
    <n v="2"/>
    <n v="2"/>
    <s v="Life Sciences"/>
    <n v="1"/>
    <n v="1140"/>
    <n v="4"/>
    <x v="1"/>
    <n v="95"/>
    <n v="3"/>
    <x v="0"/>
    <x v="3"/>
    <x v="2"/>
    <s v="Single"/>
    <n v="4033"/>
    <n v="15834"/>
    <n v="2"/>
    <s v="Y"/>
    <s v="No"/>
    <n v="11"/>
    <n v="3"/>
    <n v="4"/>
    <n v="80"/>
    <n v="0"/>
    <n v="5"/>
    <n v="3"/>
    <n v="2"/>
    <x v="11"/>
    <n v="2"/>
    <n v="0"/>
    <n v="2"/>
    <x v="2"/>
    <n v="0"/>
    <n v="0"/>
    <x v="0"/>
    <n v="1"/>
    <m/>
    <m/>
  </r>
  <r>
    <n v="29"/>
    <x v="1"/>
    <s v="Travel_Frequently"/>
    <n v="490"/>
    <s v="Research &amp; Development"/>
    <n v="10"/>
    <n v="3"/>
    <s v="Life Sciences"/>
    <n v="1"/>
    <n v="1143"/>
    <n v="4"/>
    <x v="0"/>
    <n v="61"/>
    <n v="3"/>
    <x v="1"/>
    <x v="1"/>
    <x v="1"/>
    <s v="Divorced"/>
    <n v="3291"/>
    <n v="17940"/>
    <n v="0"/>
    <s v="Y"/>
    <s v="No"/>
    <n v="14"/>
    <n v="3"/>
    <n v="4"/>
    <n v="80"/>
    <n v="2"/>
    <n v="8"/>
    <n v="2"/>
    <n v="2"/>
    <x v="5"/>
    <n v="5"/>
    <n v="1"/>
    <n v="1"/>
    <x v="1"/>
    <n v="0"/>
    <n v="0"/>
    <x v="0"/>
    <n v="1"/>
    <m/>
    <m/>
  </r>
  <r>
    <n v="42"/>
    <x v="1"/>
    <s v="Travel_Rarely"/>
    <n v="188"/>
    <s v="Research &amp; Development"/>
    <n v="29"/>
    <n v="3"/>
    <s v="Medical"/>
    <n v="1"/>
    <n v="1148"/>
    <n v="2"/>
    <x v="1"/>
    <n v="56"/>
    <n v="1"/>
    <x v="0"/>
    <x v="2"/>
    <x v="0"/>
    <s v="Single"/>
    <n v="4272"/>
    <n v="9558"/>
    <n v="4"/>
    <s v="Y"/>
    <s v="No"/>
    <n v="19"/>
    <n v="3"/>
    <n v="1"/>
    <n v="80"/>
    <n v="0"/>
    <n v="16"/>
    <n v="3"/>
    <n v="3"/>
    <x v="6"/>
    <n v="0"/>
    <n v="0"/>
    <n v="0"/>
    <x v="1"/>
    <n v="0"/>
    <n v="0"/>
    <x v="0"/>
    <n v="1"/>
    <m/>
    <m/>
  </r>
  <r>
    <n v="29"/>
    <x v="1"/>
    <s v="Travel_Rarely"/>
    <n v="718"/>
    <s v="Research &amp; Development"/>
    <n v="8"/>
    <n v="1"/>
    <s v="Medical"/>
    <n v="1"/>
    <n v="1150"/>
    <n v="2"/>
    <x v="1"/>
    <n v="79"/>
    <n v="2"/>
    <x v="0"/>
    <x v="3"/>
    <x v="0"/>
    <s v="Married"/>
    <n v="5056"/>
    <n v="17689"/>
    <n v="1"/>
    <s v="Y"/>
    <s v="Yes"/>
    <n v="15"/>
    <n v="3"/>
    <n v="3"/>
    <n v="80"/>
    <n v="1"/>
    <n v="10"/>
    <n v="2"/>
    <n v="2"/>
    <x v="1"/>
    <n v="7"/>
    <n v="1"/>
    <n v="2"/>
    <x v="2"/>
    <n v="0"/>
    <n v="0"/>
    <x v="0"/>
    <n v="1"/>
    <m/>
    <m/>
  </r>
  <r>
    <n v="38"/>
    <x v="1"/>
    <s v="Travel_Rarely"/>
    <n v="433"/>
    <s v="Human Resources"/>
    <n v="1"/>
    <n v="3"/>
    <s v="Human Resources"/>
    <n v="1"/>
    <n v="1152"/>
    <n v="3"/>
    <x v="1"/>
    <n v="37"/>
    <n v="4"/>
    <x v="1"/>
    <x v="8"/>
    <x v="2"/>
    <s v="Married"/>
    <n v="2844"/>
    <n v="6004"/>
    <n v="1"/>
    <s v="Y"/>
    <s v="No"/>
    <n v="13"/>
    <n v="3"/>
    <n v="4"/>
    <n v="80"/>
    <n v="1"/>
    <n v="7"/>
    <n v="2"/>
    <n v="4"/>
    <x v="5"/>
    <n v="6"/>
    <n v="5"/>
    <n v="0"/>
    <x v="5"/>
    <n v="0"/>
    <n v="0"/>
    <x v="1"/>
    <n v="1"/>
    <m/>
    <m/>
  </r>
  <r>
    <n v="28"/>
    <x v="1"/>
    <s v="Travel_Frequently"/>
    <n v="773"/>
    <s v="Research &amp; Development"/>
    <n v="6"/>
    <n v="3"/>
    <s v="Life Sciences"/>
    <n v="1"/>
    <n v="1154"/>
    <n v="3"/>
    <x v="1"/>
    <n v="39"/>
    <n v="2"/>
    <x v="1"/>
    <x v="1"/>
    <x v="2"/>
    <s v="Divorced"/>
    <n v="2703"/>
    <n v="22088"/>
    <n v="1"/>
    <s v="Y"/>
    <s v="Yes"/>
    <n v="14"/>
    <n v="3"/>
    <n v="4"/>
    <n v="80"/>
    <n v="1"/>
    <n v="3"/>
    <n v="2"/>
    <n v="3"/>
    <x v="11"/>
    <n v="1"/>
    <n v="0"/>
    <n v="2"/>
    <x v="1"/>
    <n v="0"/>
    <n v="0"/>
    <x v="1"/>
    <n v="1"/>
    <m/>
    <m/>
  </r>
  <r>
    <n v="18"/>
    <x v="0"/>
    <s v="Non-Travel"/>
    <n v="247"/>
    <s v="Research &amp; Development"/>
    <n v="8"/>
    <n v="1"/>
    <s v="Medical"/>
    <n v="1"/>
    <n v="1156"/>
    <n v="3"/>
    <x v="1"/>
    <n v="80"/>
    <n v="3"/>
    <x v="1"/>
    <x v="2"/>
    <x v="2"/>
    <s v="Single"/>
    <n v="1904"/>
    <n v="13556"/>
    <n v="1"/>
    <s v="Y"/>
    <s v="No"/>
    <n v="12"/>
    <n v="3"/>
    <n v="4"/>
    <n v="80"/>
    <n v="0"/>
    <n v="0"/>
    <n v="0"/>
    <n v="3"/>
    <x v="2"/>
    <n v="0"/>
    <n v="0"/>
    <n v="0"/>
    <x v="1"/>
    <n v="1"/>
    <n v="34272"/>
    <x v="1"/>
    <n v="1"/>
    <m/>
    <m/>
  </r>
  <r>
    <n v="33"/>
    <x v="0"/>
    <s v="Travel_Rarely"/>
    <n v="603"/>
    <s v="Sales"/>
    <n v="9"/>
    <n v="4"/>
    <s v="Marketing"/>
    <n v="1"/>
    <n v="1157"/>
    <n v="1"/>
    <x v="0"/>
    <n v="77"/>
    <n v="3"/>
    <x v="0"/>
    <x v="0"/>
    <x v="3"/>
    <s v="Single"/>
    <n v="8224"/>
    <n v="18385"/>
    <n v="0"/>
    <s v="Y"/>
    <s v="Yes"/>
    <n v="17"/>
    <n v="3"/>
    <n v="1"/>
    <n v="80"/>
    <n v="0"/>
    <n v="6"/>
    <n v="3"/>
    <n v="3"/>
    <x v="8"/>
    <n v="2"/>
    <n v="0"/>
    <n v="3"/>
    <x v="0"/>
    <n v="1"/>
    <n v="148032"/>
    <x v="4"/>
    <n v="1"/>
    <m/>
    <m/>
  </r>
  <r>
    <n v="41"/>
    <x v="1"/>
    <s v="Travel_Rarely"/>
    <n v="167"/>
    <s v="Research &amp; Development"/>
    <n v="12"/>
    <n v="4"/>
    <s v="Life Sciences"/>
    <n v="1"/>
    <n v="1158"/>
    <n v="2"/>
    <x v="1"/>
    <n v="46"/>
    <n v="3"/>
    <x v="1"/>
    <x v="2"/>
    <x v="0"/>
    <s v="Married"/>
    <n v="4766"/>
    <n v="9051"/>
    <n v="3"/>
    <s v="Y"/>
    <s v="Yes"/>
    <n v="11"/>
    <n v="3"/>
    <n v="1"/>
    <n v="80"/>
    <n v="1"/>
    <n v="6"/>
    <n v="4"/>
    <n v="3"/>
    <x v="6"/>
    <n v="0"/>
    <n v="0"/>
    <n v="0"/>
    <x v="1"/>
    <n v="0"/>
    <n v="0"/>
    <x v="0"/>
    <n v="1"/>
    <m/>
    <m/>
  </r>
  <r>
    <n v="31"/>
    <x v="0"/>
    <s v="Travel_Frequently"/>
    <n v="874"/>
    <s v="Research &amp; Development"/>
    <n v="15"/>
    <n v="3"/>
    <s v="Medical"/>
    <n v="1"/>
    <n v="1160"/>
    <n v="3"/>
    <x v="1"/>
    <n v="72"/>
    <n v="3"/>
    <x v="1"/>
    <x v="2"/>
    <x v="2"/>
    <s v="Married"/>
    <n v="2610"/>
    <n v="6233"/>
    <n v="1"/>
    <s v="Y"/>
    <s v="No"/>
    <n v="12"/>
    <n v="3"/>
    <n v="3"/>
    <n v="80"/>
    <n v="1"/>
    <n v="2"/>
    <n v="5"/>
    <n v="2"/>
    <x v="4"/>
    <n v="2"/>
    <n v="2"/>
    <n v="2"/>
    <x v="1"/>
    <n v="1"/>
    <n v="46980"/>
    <x v="1"/>
    <n v="1"/>
    <m/>
    <m/>
  </r>
  <r>
    <n v="37"/>
    <x v="1"/>
    <s v="Travel_Rarely"/>
    <n v="367"/>
    <s v="Research &amp; Development"/>
    <n v="25"/>
    <n v="2"/>
    <s v="Medical"/>
    <n v="1"/>
    <n v="1161"/>
    <n v="3"/>
    <x v="0"/>
    <n v="52"/>
    <n v="2"/>
    <x v="0"/>
    <x v="4"/>
    <x v="0"/>
    <s v="Divorced"/>
    <n v="5731"/>
    <n v="17171"/>
    <n v="7"/>
    <s v="Y"/>
    <s v="No"/>
    <n v="13"/>
    <n v="3"/>
    <n v="3"/>
    <n v="80"/>
    <n v="2"/>
    <n v="9"/>
    <n v="2"/>
    <n v="3"/>
    <x v="0"/>
    <n v="2"/>
    <n v="1"/>
    <n v="3"/>
    <x v="3"/>
    <n v="0"/>
    <n v="0"/>
    <x v="0"/>
    <n v="1"/>
    <m/>
    <m/>
  </r>
  <r>
    <n v="27"/>
    <x v="1"/>
    <s v="Travel_Rarely"/>
    <n v="199"/>
    <s v="Research &amp; Development"/>
    <n v="6"/>
    <n v="3"/>
    <s v="Life Sciences"/>
    <n v="1"/>
    <n v="1162"/>
    <n v="4"/>
    <x v="1"/>
    <n v="55"/>
    <n v="2"/>
    <x v="1"/>
    <x v="1"/>
    <x v="2"/>
    <s v="Married"/>
    <n v="2539"/>
    <n v="7950"/>
    <n v="1"/>
    <s v="Y"/>
    <s v="No"/>
    <n v="13"/>
    <n v="3"/>
    <n v="3"/>
    <n v="80"/>
    <n v="1"/>
    <n v="4"/>
    <n v="0"/>
    <n v="3"/>
    <x v="9"/>
    <n v="2"/>
    <n v="2"/>
    <n v="2"/>
    <x v="1"/>
    <n v="0"/>
    <n v="0"/>
    <x v="1"/>
    <n v="1"/>
    <m/>
    <m/>
  </r>
  <r>
    <n v="34"/>
    <x v="1"/>
    <s v="Travel_Rarely"/>
    <n v="1400"/>
    <s v="Sales"/>
    <n v="9"/>
    <n v="1"/>
    <s v="Life Sciences"/>
    <n v="1"/>
    <n v="1163"/>
    <n v="2"/>
    <x v="0"/>
    <n v="70"/>
    <n v="3"/>
    <x v="0"/>
    <x v="0"/>
    <x v="2"/>
    <s v="Married"/>
    <n v="5714"/>
    <n v="5829"/>
    <n v="1"/>
    <s v="Y"/>
    <s v="No"/>
    <n v="20"/>
    <n v="4"/>
    <n v="1"/>
    <n v="80"/>
    <n v="0"/>
    <n v="6"/>
    <n v="3"/>
    <n v="2"/>
    <x v="0"/>
    <n v="5"/>
    <n v="1"/>
    <n v="3"/>
    <x v="0"/>
    <n v="0"/>
    <n v="0"/>
    <x v="0"/>
    <n v="1"/>
    <m/>
    <m/>
  </r>
  <r>
    <n v="35"/>
    <x v="1"/>
    <s v="Travel_Rarely"/>
    <n v="528"/>
    <s v="Human Resources"/>
    <n v="8"/>
    <n v="4"/>
    <s v="Technical Degree"/>
    <n v="1"/>
    <n v="1164"/>
    <n v="3"/>
    <x v="1"/>
    <n v="100"/>
    <n v="3"/>
    <x v="1"/>
    <x v="8"/>
    <x v="2"/>
    <s v="Single"/>
    <n v="4323"/>
    <n v="7108"/>
    <n v="1"/>
    <s v="Y"/>
    <s v="No"/>
    <n v="17"/>
    <n v="3"/>
    <n v="2"/>
    <n v="80"/>
    <n v="0"/>
    <n v="6"/>
    <n v="2"/>
    <n v="1"/>
    <x v="8"/>
    <n v="4"/>
    <n v="1"/>
    <n v="4"/>
    <x v="5"/>
    <n v="0"/>
    <n v="0"/>
    <x v="0"/>
    <n v="1"/>
    <m/>
    <m/>
  </r>
  <r>
    <n v="29"/>
    <x v="0"/>
    <s v="Travel_Rarely"/>
    <n v="408"/>
    <s v="Sales"/>
    <n v="23"/>
    <n v="1"/>
    <s v="Life Sciences"/>
    <n v="1"/>
    <n v="1165"/>
    <n v="4"/>
    <x v="0"/>
    <n v="45"/>
    <n v="2"/>
    <x v="2"/>
    <x v="0"/>
    <x v="3"/>
    <s v="Married"/>
    <n v="7336"/>
    <n v="11162"/>
    <n v="1"/>
    <s v="Y"/>
    <s v="No"/>
    <n v="13"/>
    <n v="3"/>
    <n v="1"/>
    <n v="80"/>
    <n v="1"/>
    <n v="11"/>
    <n v="3"/>
    <n v="1"/>
    <x v="19"/>
    <n v="8"/>
    <n v="3"/>
    <n v="10"/>
    <x v="0"/>
    <n v="1"/>
    <n v="132048"/>
    <x v="4"/>
    <n v="1"/>
    <m/>
    <m/>
  </r>
  <r>
    <n v="40"/>
    <x v="1"/>
    <s v="Travel_Frequently"/>
    <n v="593"/>
    <s v="Research &amp; Development"/>
    <n v="9"/>
    <n v="4"/>
    <s v="Medical"/>
    <n v="1"/>
    <n v="1166"/>
    <n v="2"/>
    <x v="0"/>
    <n v="88"/>
    <n v="3"/>
    <x v="2"/>
    <x v="7"/>
    <x v="2"/>
    <s v="Single"/>
    <n v="13499"/>
    <n v="13782"/>
    <n v="9"/>
    <s v="Y"/>
    <s v="No"/>
    <n v="17"/>
    <n v="3"/>
    <n v="3"/>
    <n v="80"/>
    <n v="0"/>
    <n v="20"/>
    <n v="3"/>
    <n v="2"/>
    <x v="29"/>
    <n v="7"/>
    <n v="2"/>
    <n v="13"/>
    <x v="1"/>
    <n v="0"/>
    <n v="0"/>
    <x v="3"/>
    <n v="1"/>
    <m/>
    <m/>
  </r>
  <r>
    <n v="42"/>
    <x v="0"/>
    <s v="Travel_Frequently"/>
    <n v="481"/>
    <s v="Sales"/>
    <n v="12"/>
    <n v="3"/>
    <s v="Life Sciences"/>
    <n v="1"/>
    <n v="1167"/>
    <n v="3"/>
    <x v="1"/>
    <n v="44"/>
    <n v="3"/>
    <x v="3"/>
    <x v="0"/>
    <x v="3"/>
    <s v="Single"/>
    <n v="13758"/>
    <n v="2447"/>
    <n v="0"/>
    <s v="Y"/>
    <s v="Yes"/>
    <n v="12"/>
    <n v="3"/>
    <n v="2"/>
    <n v="80"/>
    <n v="0"/>
    <n v="22"/>
    <n v="2"/>
    <n v="2"/>
    <x v="17"/>
    <n v="9"/>
    <n v="13"/>
    <n v="14"/>
    <x v="0"/>
    <n v="1"/>
    <n v="247644"/>
    <x v="3"/>
    <n v="1"/>
    <m/>
    <m/>
  </r>
  <r>
    <n v="42"/>
    <x v="1"/>
    <s v="Travel_Rarely"/>
    <n v="647"/>
    <s v="Sales"/>
    <n v="4"/>
    <n v="4"/>
    <s v="Marketing"/>
    <n v="1"/>
    <n v="1171"/>
    <n v="2"/>
    <x v="1"/>
    <n v="45"/>
    <n v="3"/>
    <x v="0"/>
    <x v="0"/>
    <x v="3"/>
    <s v="Single"/>
    <n v="5155"/>
    <n v="2253"/>
    <n v="7"/>
    <s v="Y"/>
    <s v="No"/>
    <n v="13"/>
    <n v="3"/>
    <n v="4"/>
    <n v="80"/>
    <n v="0"/>
    <n v="9"/>
    <n v="3"/>
    <n v="4"/>
    <x v="0"/>
    <n v="4"/>
    <n v="1"/>
    <n v="5"/>
    <x v="0"/>
    <n v="0"/>
    <n v="0"/>
    <x v="0"/>
    <n v="1"/>
    <m/>
    <m/>
  </r>
  <r>
    <n v="35"/>
    <x v="1"/>
    <s v="Travel_Rarely"/>
    <n v="982"/>
    <s v="Research &amp; Development"/>
    <n v="1"/>
    <n v="4"/>
    <s v="Medical"/>
    <n v="1"/>
    <n v="1172"/>
    <n v="4"/>
    <x v="1"/>
    <n v="58"/>
    <n v="2"/>
    <x v="1"/>
    <x v="2"/>
    <x v="2"/>
    <s v="Married"/>
    <n v="2258"/>
    <n v="16340"/>
    <n v="6"/>
    <s v="Y"/>
    <s v="No"/>
    <n v="12"/>
    <n v="3"/>
    <n v="2"/>
    <n v="80"/>
    <n v="1"/>
    <n v="10"/>
    <n v="2"/>
    <n v="3"/>
    <x v="3"/>
    <n v="0"/>
    <n v="1"/>
    <n v="7"/>
    <x v="1"/>
    <n v="0"/>
    <n v="0"/>
    <x v="1"/>
    <n v="1"/>
    <m/>
    <m/>
  </r>
  <r>
    <n v="24"/>
    <x v="1"/>
    <s v="Travel_Rarely"/>
    <n v="477"/>
    <s v="Research &amp; Development"/>
    <n v="24"/>
    <n v="3"/>
    <s v="Medical"/>
    <n v="1"/>
    <n v="1173"/>
    <n v="4"/>
    <x v="1"/>
    <n v="49"/>
    <n v="3"/>
    <x v="1"/>
    <x v="2"/>
    <x v="1"/>
    <s v="Single"/>
    <n v="3597"/>
    <n v="6409"/>
    <n v="8"/>
    <s v="Y"/>
    <s v="No"/>
    <n v="22"/>
    <n v="4"/>
    <n v="4"/>
    <n v="80"/>
    <n v="0"/>
    <n v="6"/>
    <n v="2"/>
    <n v="3"/>
    <x v="9"/>
    <n v="3"/>
    <n v="1"/>
    <n v="2"/>
    <x v="1"/>
    <n v="0"/>
    <n v="0"/>
    <x v="0"/>
    <n v="1"/>
    <m/>
    <m/>
  </r>
  <r>
    <n v="28"/>
    <x v="0"/>
    <s v="Travel_Rarely"/>
    <n v="1485"/>
    <s v="Research &amp; Development"/>
    <n v="12"/>
    <n v="1"/>
    <s v="Life Sciences"/>
    <n v="1"/>
    <n v="1175"/>
    <n v="3"/>
    <x v="0"/>
    <n v="79"/>
    <n v="3"/>
    <x v="1"/>
    <x v="2"/>
    <x v="0"/>
    <s v="Married"/>
    <n v="2515"/>
    <n v="22955"/>
    <n v="1"/>
    <s v="Y"/>
    <s v="Yes"/>
    <n v="11"/>
    <n v="3"/>
    <n v="4"/>
    <n v="80"/>
    <n v="0"/>
    <n v="1"/>
    <n v="4"/>
    <n v="2"/>
    <x v="6"/>
    <n v="1"/>
    <n v="0"/>
    <n v="0"/>
    <x v="1"/>
    <n v="1"/>
    <n v="45270"/>
    <x v="1"/>
    <n v="1"/>
    <m/>
    <m/>
  </r>
  <r>
    <n v="26"/>
    <x v="1"/>
    <s v="Travel_Rarely"/>
    <n v="1384"/>
    <s v="Research &amp; Development"/>
    <n v="3"/>
    <n v="4"/>
    <s v="Medical"/>
    <n v="1"/>
    <n v="1177"/>
    <n v="1"/>
    <x v="1"/>
    <n v="82"/>
    <n v="4"/>
    <x v="1"/>
    <x v="2"/>
    <x v="0"/>
    <s v="Married"/>
    <n v="4420"/>
    <n v="13421"/>
    <n v="1"/>
    <s v="Y"/>
    <s v="No"/>
    <n v="22"/>
    <n v="4"/>
    <n v="2"/>
    <n v="80"/>
    <n v="1"/>
    <n v="8"/>
    <n v="2"/>
    <n v="3"/>
    <x v="3"/>
    <n v="7"/>
    <n v="0"/>
    <n v="7"/>
    <x v="1"/>
    <n v="0"/>
    <n v="0"/>
    <x v="0"/>
    <n v="1"/>
    <m/>
    <m/>
  </r>
  <r>
    <n v="30"/>
    <x v="1"/>
    <s v="Travel_Rarely"/>
    <n v="852"/>
    <s v="Sales"/>
    <n v="10"/>
    <n v="3"/>
    <s v="Marketing"/>
    <n v="1"/>
    <n v="1179"/>
    <n v="3"/>
    <x v="1"/>
    <n v="72"/>
    <n v="2"/>
    <x v="0"/>
    <x v="0"/>
    <x v="2"/>
    <s v="Married"/>
    <n v="6578"/>
    <n v="2706"/>
    <n v="1"/>
    <s v="Y"/>
    <s v="No"/>
    <n v="18"/>
    <n v="3"/>
    <n v="1"/>
    <n v="80"/>
    <n v="1"/>
    <n v="10"/>
    <n v="3"/>
    <n v="3"/>
    <x v="1"/>
    <n v="3"/>
    <n v="1"/>
    <n v="4"/>
    <x v="0"/>
    <n v="0"/>
    <n v="0"/>
    <x v="4"/>
    <n v="1"/>
    <m/>
    <m/>
  </r>
  <r>
    <n v="40"/>
    <x v="1"/>
    <s v="Travel_Frequently"/>
    <n v="902"/>
    <s v="Research &amp; Development"/>
    <n v="26"/>
    <n v="2"/>
    <s v="Medical"/>
    <n v="1"/>
    <n v="1180"/>
    <n v="3"/>
    <x v="0"/>
    <n v="92"/>
    <n v="2"/>
    <x v="0"/>
    <x v="1"/>
    <x v="0"/>
    <s v="Married"/>
    <n v="4422"/>
    <n v="21203"/>
    <n v="3"/>
    <s v="Y"/>
    <s v="Yes"/>
    <n v="13"/>
    <n v="3"/>
    <n v="4"/>
    <n v="80"/>
    <n v="1"/>
    <n v="16"/>
    <n v="3"/>
    <n v="1"/>
    <x v="6"/>
    <n v="1"/>
    <n v="0"/>
    <n v="0"/>
    <x v="1"/>
    <n v="0"/>
    <n v="0"/>
    <x v="0"/>
    <n v="1"/>
    <m/>
    <m/>
  </r>
  <r>
    <n v="35"/>
    <x v="1"/>
    <s v="Travel_Rarely"/>
    <n v="819"/>
    <s v="Research &amp; Development"/>
    <n v="2"/>
    <n v="3"/>
    <s v="Life Sciences"/>
    <n v="1"/>
    <n v="1182"/>
    <n v="3"/>
    <x v="1"/>
    <n v="44"/>
    <n v="2"/>
    <x v="2"/>
    <x v="3"/>
    <x v="1"/>
    <s v="Divorced"/>
    <n v="10274"/>
    <n v="19588"/>
    <n v="2"/>
    <s v="Y"/>
    <s v="No"/>
    <n v="18"/>
    <n v="3"/>
    <n v="2"/>
    <n v="80"/>
    <n v="1"/>
    <n v="15"/>
    <n v="2"/>
    <n v="4"/>
    <x v="5"/>
    <n v="7"/>
    <n v="6"/>
    <n v="4"/>
    <x v="2"/>
    <n v="0"/>
    <n v="0"/>
    <x v="2"/>
    <n v="1"/>
    <m/>
    <m/>
  </r>
  <r>
    <n v="34"/>
    <x v="1"/>
    <s v="Travel_Frequently"/>
    <n v="669"/>
    <s v="Research &amp; Development"/>
    <n v="1"/>
    <n v="3"/>
    <s v="Medical"/>
    <n v="1"/>
    <n v="1184"/>
    <n v="4"/>
    <x v="1"/>
    <n v="97"/>
    <n v="2"/>
    <x v="0"/>
    <x v="4"/>
    <x v="3"/>
    <s v="Single"/>
    <n v="5343"/>
    <n v="25755"/>
    <n v="0"/>
    <s v="Y"/>
    <s v="No"/>
    <n v="20"/>
    <n v="4"/>
    <n v="3"/>
    <n v="80"/>
    <n v="0"/>
    <n v="14"/>
    <n v="3"/>
    <n v="3"/>
    <x v="20"/>
    <n v="9"/>
    <n v="4"/>
    <n v="9"/>
    <x v="3"/>
    <n v="0"/>
    <n v="0"/>
    <x v="0"/>
    <n v="1"/>
    <m/>
    <m/>
  </r>
  <r>
    <n v="35"/>
    <x v="1"/>
    <s v="Travel_Frequently"/>
    <n v="636"/>
    <s v="Research &amp; Development"/>
    <n v="4"/>
    <n v="4"/>
    <s v="Other"/>
    <n v="1"/>
    <n v="1185"/>
    <n v="4"/>
    <x v="1"/>
    <n v="47"/>
    <n v="2"/>
    <x v="1"/>
    <x v="2"/>
    <x v="0"/>
    <s v="Married"/>
    <n v="2376"/>
    <n v="26537"/>
    <n v="1"/>
    <s v="Y"/>
    <s v="No"/>
    <n v="13"/>
    <n v="3"/>
    <n v="2"/>
    <n v="80"/>
    <n v="1"/>
    <n v="2"/>
    <n v="2"/>
    <n v="4"/>
    <x v="4"/>
    <n v="2"/>
    <n v="2"/>
    <n v="2"/>
    <x v="1"/>
    <n v="0"/>
    <n v="0"/>
    <x v="1"/>
    <n v="1"/>
    <m/>
    <m/>
  </r>
  <r>
    <n v="43"/>
    <x v="0"/>
    <s v="Travel_Rarely"/>
    <n v="1372"/>
    <s v="Sales"/>
    <n v="9"/>
    <n v="3"/>
    <s v="Marketing"/>
    <n v="1"/>
    <n v="1188"/>
    <n v="1"/>
    <x v="0"/>
    <n v="85"/>
    <n v="1"/>
    <x v="0"/>
    <x v="0"/>
    <x v="2"/>
    <s v="Single"/>
    <n v="5346"/>
    <n v="9489"/>
    <n v="8"/>
    <s v="Y"/>
    <s v="No"/>
    <n v="13"/>
    <n v="3"/>
    <n v="2"/>
    <n v="80"/>
    <n v="0"/>
    <n v="7"/>
    <n v="2"/>
    <n v="2"/>
    <x v="9"/>
    <n v="3"/>
    <n v="1"/>
    <n v="3"/>
    <x v="0"/>
    <n v="1"/>
    <n v="96228"/>
    <x v="0"/>
    <n v="1"/>
    <m/>
    <m/>
  </r>
  <r>
    <n v="32"/>
    <x v="1"/>
    <s v="Non-Travel"/>
    <n v="862"/>
    <s v="Sales"/>
    <n v="2"/>
    <n v="1"/>
    <s v="Life Sciences"/>
    <n v="1"/>
    <n v="1190"/>
    <n v="3"/>
    <x v="0"/>
    <n v="76"/>
    <n v="3"/>
    <x v="1"/>
    <x v="6"/>
    <x v="3"/>
    <s v="Divorced"/>
    <n v="2827"/>
    <n v="14947"/>
    <n v="1"/>
    <s v="Y"/>
    <s v="No"/>
    <n v="12"/>
    <n v="3"/>
    <n v="3"/>
    <n v="80"/>
    <n v="3"/>
    <n v="1"/>
    <n v="3"/>
    <n v="3"/>
    <x v="6"/>
    <n v="0"/>
    <n v="0"/>
    <n v="0"/>
    <x v="0"/>
    <n v="0"/>
    <n v="0"/>
    <x v="1"/>
    <n v="1"/>
    <m/>
    <m/>
  </r>
  <r>
    <n v="56"/>
    <x v="1"/>
    <s v="Travel_Rarely"/>
    <n v="718"/>
    <s v="Research &amp; Development"/>
    <n v="4"/>
    <n v="4"/>
    <s v="Technical Degree"/>
    <n v="1"/>
    <n v="1191"/>
    <n v="4"/>
    <x v="0"/>
    <n v="92"/>
    <n v="3"/>
    <x v="4"/>
    <x v="5"/>
    <x v="3"/>
    <s v="Divorced"/>
    <n v="19943"/>
    <n v="18575"/>
    <n v="4"/>
    <s v="Y"/>
    <s v="No"/>
    <n v="13"/>
    <n v="3"/>
    <n v="4"/>
    <n v="80"/>
    <n v="1"/>
    <n v="28"/>
    <n v="2"/>
    <n v="3"/>
    <x v="8"/>
    <n v="2"/>
    <n v="4"/>
    <n v="2"/>
    <x v="4"/>
    <n v="0"/>
    <n v="0"/>
    <x v="3"/>
    <n v="1"/>
    <m/>
    <m/>
  </r>
  <r>
    <n v="29"/>
    <x v="1"/>
    <s v="Travel_Rarely"/>
    <n v="1401"/>
    <s v="Research &amp; Development"/>
    <n v="6"/>
    <n v="1"/>
    <s v="Medical"/>
    <n v="1"/>
    <n v="1192"/>
    <n v="2"/>
    <x v="0"/>
    <n v="54"/>
    <n v="3"/>
    <x v="1"/>
    <x v="2"/>
    <x v="0"/>
    <s v="Married"/>
    <n v="3131"/>
    <n v="26342"/>
    <n v="1"/>
    <s v="Y"/>
    <s v="No"/>
    <n v="13"/>
    <n v="3"/>
    <n v="1"/>
    <n v="80"/>
    <n v="1"/>
    <n v="10"/>
    <n v="5"/>
    <n v="3"/>
    <x v="1"/>
    <n v="8"/>
    <n v="0"/>
    <n v="8"/>
    <x v="1"/>
    <n v="0"/>
    <n v="0"/>
    <x v="0"/>
    <n v="1"/>
    <m/>
    <m/>
  </r>
  <r>
    <n v="19"/>
    <x v="1"/>
    <s v="Travel_Rarely"/>
    <n v="645"/>
    <s v="Research &amp; Development"/>
    <n v="9"/>
    <n v="2"/>
    <s v="Life Sciences"/>
    <n v="1"/>
    <n v="1193"/>
    <n v="3"/>
    <x v="1"/>
    <n v="54"/>
    <n v="3"/>
    <x v="1"/>
    <x v="1"/>
    <x v="3"/>
    <s v="Single"/>
    <n v="2552"/>
    <n v="7172"/>
    <n v="1"/>
    <s v="Y"/>
    <s v="No"/>
    <n v="25"/>
    <n v="4"/>
    <n v="3"/>
    <n v="80"/>
    <n v="0"/>
    <n v="1"/>
    <n v="4"/>
    <n v="3"/>
    <x v="6"/>
    <n v="1"/>
    <n v="0"/>
    <n v="0"/>
    <x v="1"/>
    <n v="0"/>
    <n v="0"/>
    <x v="1"/>
    <n v="1"/>
    <m/>
    <m/>
  </r>
  <r>
    <n v="45"/>
    <x v="1"/>
    <s v="Travel_Rarely"/>
    <n v="1457"/>
    <s v="Research &amp; Development"/>
    <n v="7"/>
    <n v="3"/>
    <s v="Medical"/>
    <n v="1"/>
    <n v="1195"/>
    <n v="1"/>
    <x v="0"/>
    <n v="83"/>
    <n v="3"/>
    <x v="1"/>
    <x v="1"/>
    <x v="2"/>
    <s v="Married"/>
    <n v="4477"/>
    <n v="20100"/>
    <n v="4"/>
    <s v="Y"/>
    <s v="Yes"/>
    <n v="19"/>
    <n v="3"/>
    <n v="3"/>
    <n v="80"/>
    <n v="1"/>
    <n v="7"/>
    <n v="2"/>
    <n v="2"/>
    <x v="11"/>
    <n v="2"/>
    <n v="0"/>
    <n v="2"/>
    <x v="1"/>
    <n v="0"/>
    <n v="0"/>
    <x v="0"/>
    <n v="1"/>
    <m/>
    <m/>
  </r>
  <r>
    <n v="37"/>
    <x v="1"/>
    <s v="Travel_Rarely"/>
    <n v="977"/>
    <s v="Research &amp; Development"/>
    <n v="1"/>
    <n v="3"/>
    <s v="Life Sciences"/>
    <n v="1"/>
    <n v="1196"/>
    <n v="4"/>
    <x v="0"/>
    <n v="56"/>
    <n v="2"/>
    <x v="0"/>
    <x v="3"/>
    <x v="0"/>
    <s v="Married"/>
    <n v="6474"/>
    <n v="9961"/>
    <n v="1"/>
    <s v="Y"/>
    <s v="No"/>
    <n v="13"/>
    <n v="3"/>
    <n v="2"/>
    <n v="80"/>
    <n v="1"/>
    <n v="14"/>
    <n v="2"/>
    <n v="2"/>
    <x v="13"/>
    <n v="8"/>
    <n v="3"/>
    <n v="11"/>
    <x v="2"/>
    <n v="0"/>
    <n v="0"/>
    <x v="4"/>
    <n v="1"/>
    <m/>
    <m/>
  </r>
  <r>
    <n v="20"/>
    <x v="1"/>
    <s v="Travel_Rarely"/>
    <n v="805"/>
    <s v="Research &amp; Development"/>
    <n v="3"/>
    <n v="3"/>
    <s v="Life Sciences"/>
    <n v="1"/>
    <n v="1198"/>
    <n v="1"/>
    <x v="1"/>
    <n v="87"/>
    <n v="2"/>
    <x v="1"/>
    <x v="2"/>
    <x v="2"/>
    <s v="Single"/>
    <n v="3033"/>
    <n v="12828"/>
    <n v="1"/>
    <s v="Y"/>
    <s v="No"/>
    <n v="12"/>
    <n v="3"/>
    <n v="1"/>
    <n v="80"/>
    <n v="0"/>
    <n v="2"/>
    <n v="2"/>
    <n v="2"/>
    <x v="4"/>
    <n v="2"/>
    <n v="1"/>
    <n v="2"/>
    <x v="1"/>
    <n v="0"/>
    <n v="0"/>
    <x v="0"/>
    <n v="1"/>
    <m/>
    <m/>
  </r>
  <r>
    <n v="44"/>
    <x v="0"/>
    <s v="Travel_Rarely"/>
    <n v="1097"/>
    <s v="Research &amp; Development"/>
    <n v="10"/>
    <n v="4"/>
    <s v="Life Sciences"/>
    <n v="1"/>
    <n v="1200"/>
    <n v="3"/>
    <x v="1"/>
    <n v="96"/>
    <n v="3"/>
    <x v="1"/>
    <x v="1"/>
    <x v="2"/>
    <s v="Single"/>
    <n v="2936"/>
    <n v="10826"/>
    <n v="1"/>
    <s v="Y"/>
    <s v="Yes"/>
    <n v="11"/>
    <n v="3"/>
    <n v="3"/>
    <n v="80"/>
    <n v="0"/>
    <n v="6"/>
    <n v="4"/>
    <n v="3"/>
    <x v="0"/>
    <n v="4"/>
    <n v="0"/>
    <n v="2"/>
    <x v="1"/>
    <n v="1"/>
    <n v="52848"/>
    <x v="1"/>
    <n v="1"/>
    <m/>
    <m/>
  </r>
  <r>
    <n v="53"/>
    <x v="1"/>
    <s v="Travel_Rarely"/>
    <n v="1223"/>
    <s v="Research &amp; Development"/>
    <n v="7"/>
    <n v="2"/>
    <s v="Medical"/>
    <n v="1"/>
    <n v="1201"/>
    <n v="4"/>
    <x v="0"/>
    <n v="50"/>
    <n v="3"/>
    <x v="4"/>
    <x v="5"/>
    <x v="2"/>
    <s v="Divorced"/>
    <n v="18606"/>
    <n v="18640"/>
    <n v="3"/>
    <s v="Y"/>
    <s v="No"/>
    <n v="18"/>
    <n v="3"/>
    <n v="2"/>
    <n v="80"/>
    <n v="1"/>
    <n v="26"/>
    <n v="6"/>
    <n v="3"/>
    <x v="5"/>
    <n v="7"/>
    <n v="4"/>
    <n v="7"/>
    <x v="4"/>
    <n v="0"/>
    <n v="0"/>
    <x v="3"/>
    <n v="1"/>
    <m/>
    <m/>
  </r>
  <r>
    <n v="29"/>
    <x v="1"/>
    <s v="Travel_Rarely"/>
    <n v="942"/>
    <s v="Research &amp; Development"/>
    <n v="15"/>
    <n v="1"/>
    <s v="Life Sciences"/>
    <n v="1"/>
    <n v="1202"/>
    <n v="2"/>
    <x v="0"/>
    <n v="69"/>
    <n v="1"/>
    <x v="1"/>
    <x v="1"/>
    <x v="0"/>
    <s v="Married"/>
    <n v="2168"/>
    <n v="26933"/>
    <n v="0"/>
    <s v="Y"/>
    <s v="Yes"/>
    <n v="18"/>
    <n v="3"/>
    <n v="1"/>
    <n v="80"/>
    <n v="1"/>
    <n v="6"/>
    <n v="2"/>
    <n v="2"/>
    <x v="8"/>
    <n v="4"/>
    <n v="1"/>
    <n v="3"/>
    <x v="1"/>
    <n v="0"/>
    <n v="0"/>
    <x v="1"/>
    <n v="1"/>
    <m/>
    <m/>
  </r>
  <r>
    <n v="22"/>
    <x v="0"/>
    <s v="Travel_Frequently"/>
    <n v="1256"/>
    <s v="Research &amp; Development"/>
    <n v="3"/>
    <n v="4"/>
    <s v="Life Sciences"/>
    <n v="1"/>
    <n v="1203"/>
    <n v="3"/>
    <x v="1"/>
    <n v="48"/>
    <n v="2"/>
    <x v="1"/>
    <x v="1"/>
    <x v="0"/>
    <s v="Married"/>
    <n v="2853"/>
    <n v="4223"/>
    <n v="0"/>
    <s v="Y"/>
    <s v="Yes"/>
    <n v="11"/>
    <n v="3"/>
    <n v="2"/>
    <n v="80"/>
    <n v="1"/>
    <n v="1"/>
    <n v="5"/>
    <n v="3"/>
    <x v="2"/>
    <n v="0"/>
    <n v="0"/>
    <n v="0"/>
    <x v="1"/>
    <n v="1"/>
    <n v="51354"/>
    <x v="1"/>
    <n v="1"/>
    <m/>
    <m/>
  </r>
  <r>
    <n v="46"/>
    <x v="1"/>
    <s v="Travel_Rarely"/>
    <n v="1402"/>
    <s v="Sales"/>
    <n v="2"/>
    <n v="3"/>
    <s v="Marketing"/>
    <n v="1"/>
    <n v="1204"/>
    <n v="3"/>
    <x v="0"/>
    <n v="69"/>
    <n v="3"/>
    <x v="3"/>
    <x v="5"/>
    <x v="3"/>
    <s v="Married"/>
    <n v="17048"/>
    <n v="24097"/>
    <n v="8"/>
    <s v="Y"/>
    <s v="No"/>
    <n v="23"/>
    <n v="4"/>
    <n v="1"/>
    <n v="80"/>
    <n v="0"/>
    <n v="28"/>
    <n v="2"/>
    <n v="3"/>
    <x v="34"/>
    <n v="15"/>
    <n v="15"/>
    <n v="9"/>
    <x v="4"/>
    <n v="0"/>
    <n v="0"/>
    <x v="3"/>
    <n v="1"/>
    <m/>
    <m/>
  </r>
  <r>
    <n v="44"/>
    <x v="1"/>
    <s v="Non-Travel"/>
    <n v="111"/>
    <s v="Research &amp; Development"/>
    <n v="17"/>
    <n v="3"/>
    <s v="Life Sciences"/>
    <n v="1"/>
    <n v="1206"/>
    <n v="4"/>
    <x v="1"/>
    <n v="74"/>
    <n v="1"/>
    <x v="1"/>
    <x v="1"/>
    <x v="2"/>
    <s v="Single"/>
    <n v="2290"/>
    <n v="4279"/>
    <n v="2"/>
    <s v="Y"/>
    <s v="No"/>
    <n v="13"/>
    <n v="3"/>
    <n v="4"/>
    <n v="80"/>
    <n v="0"/>
    <n v="6"/>
    <n v="3"/>
    <n v="3"/>
    <x v="2"/>
    <n v="0"/>
    <n v="0"/>
    <n v="0"/>
    <x v="1"/>
    <n v="0"/>
    <n v="0"/>
    <x v="1"/>
    <n v="1"/>
    <m/>
    <m/>
  </r>
  <r>
    <n v="33"/>
    <x v="1"/>
    <s v="Travel_Rarely"/>
    <n v="147"/>
    <s v="Human Resources"/>
    <n v="2"/>
    <n v="3"/>
    <s v="Human Resources"/>
    <n v="1"/>
    <n v="1207"/>
    <n v="2"/>
    <x v="1"/>
    <n v="99"/>
    <n v="3"/>
    <x v="1"/>
    <x v="8"/>
    <x v="2"/>
    <s v="Married"/>
    <n v="3600"/>
    <n v="8429"/>
    <n v="1"/>
    <s v="Y"/>
    <s v="No"/>
    <n v="13"/>
    <n v="3"/>
    <n v="4"/>
    <n v="80"/>
    <n v="1"/>
    <n v="5"/>
    <n v="2"/>
    <n v="3"/>
    <x v="8"/>
    <n v="4"/>
    <n v="1"/>
    <n v="4"/>
    <x v="5"/>
    <n v="0"/>
    <n v="0"/>
    <x v="0"/>
    <n v="1"/>
    <m/>
    <m/>
  </r>
  <r>
    <n v="41"/>
    <x v="0"/>
    <s v="Non-Travel"/>
    <n v="906"/>
    <s v="Research &amp; Development"/>
    <n v="5"/>
    <n v="2"/>
    <s v="Life Sciences"/>
    <n v="1"/>
    <n v="1210"/>
    <n v="1"/>
    <x v="1"/>
    <n v="95"/>
    <n v="2"/>
    <x v="1"/>
    <x v="1"/>
    <x v="3"/>
    <s v="Divorced"/>
    <n v="2107"/>
    <n v="20293"/>
    <n v="6"/>
    <s v="Y"/>
    <s v="No"/>
    <n v="17"/>
    <n v="3"/>
    <n v="1"/>
    <n v="80"/>
    <n v="1"/>
    <n v="5"/>
    <n v="2"/>
    <n v="1"/>
    <x v="6"/>
    <n v="0"/>
    <n v="0"/>
    <n v="0"/>
    <x v="1"/>
    <n v="1"/>
    <n v="37926"/>
    <x v="1"/>
    <n v="1"/>
    <m/>
    <m/>
  </r>
  <r>
    <n v="30"/>
    <x v="1"/>
    <s v="Travel_Rarely"/>
    <n v="1329"/>
    <s v="Sales"/>
    <n v="29"/>
    <n v="4"/>
    <s v="Life Sciences"/>
    <n v="1"/>
    <n v="1211"/>
    <n v="3"/>
    <x v="1"/>
    <n v="61"/>
    <n v="3"/>
    <x v="0"/>
    <x v="0"/>
    <x v="3"/>
    <s v="Divorced"/>
    <n v="4115"/>
    <n v="13192"/>
    <n v="8"/>
    <s v="Y"/>
    <s v="No"/>
    <n v="19"/>
    <n v="3"/>
    <n v="3"/>
    <n v="80"/>
    <n v="3"/>
    <n v="8"/>
    <n v="3"/>
    <n v="3"/>
    <x v="9"/>
    <n v="3"/>
    <n v="0"/>
    <n v="3"/>
    <x v="0"/>
    <n v="0"/>
    <n v="0"/>
    <x v="0"/>
    <n v="1"/>
    <m/>
    <m/>
  </r>
  <r>
    <n v="40"/>
    <x v="1"/>
    <s v="Travel_Frequently"/>
    <n v="1184"/>
    <s v="Sales"/>
    <n v="2"/>
    <n v="4"/>
    <s v="Medical"/>
    <n v="1"/>
    <n v="1212"/>
    <n v="2"/>
    <x v="1"/>
    <n v="62"/>
    <n v="3"/>
    <x v="0"/>
    <x v="0"/>
    <x v="1"/>
    <s v="Married"/>
    <n v="4327"/>
    <n v="25440"/>
    <n v="5"/>
    <s v="Y"/>
    <s v="No"/>
    <n v="12"/>
    <n v="3"/>
    <n v="4"/>
    <n v="80"/>
    <n v="3"/>
    <n v="5"/>
    <n v="2"/>
    <n v="3"/>
    <x v="2"/>
    <n v="0"/>
    <n v="0"/>
    <n v="0"/>
    <x v="0"/>
    <n v="0"/>
    <n v="0"/>
    <x v="0"/>
    <n v="1"/>
    <m/>
    <m/>
  </r>
  <r>
    <n v="50"/>
    <x v="1"/>
    <s v="Travel_Frequently"/>
    <n v="1421"/>
    <s v="Research &amp; Development"/>
    <n v="2"/>
    <n v="3"/>
    <s v="Medical"/>
    <n v="1"/>
    <n v="1215"/>
    <n v="4"/>
    <x v="0"/>
    <n v="30"/>
    <n v="3"/>
    <x v="3"/>
    <x v="5"/>
    <x v="3"/>
    <s v="Married"/>
    <n v="17856"/>
    <n v="9490"/>
    <n v="2"/>
    <s v="Y"/>
    <s v="No"/>
    <n v="22"/>
    <n v="4"/>
    <n v="3"/>
    <n v="80"/>
    <n v="1"/>
    <n v="32"/>
    <n v="3"/>
    <n v="3"/>
    <x v="4"/>
    <n v="2"/>
    <n v="2"/>
    <n v="2"/>
    <x v="4"/>
    <n v="0"/>
    <n v="0"/>
    <x v="3"/>
    <n v="1"/>
    <m/>
    <m/>
  </r>
  <r>
    <n v="28"/>
    <x v="1"/>
    <s v="Travel_Rarely"/>
    <n v="1179"/>
    <s v="Research &amp; Development"/>
    <n v="19"/>
    <n v="4"/>
    <s v="Medical"/>
    <n v="1"/>
    <n v="1216"/>
    <n v="4"/>
    <x v="1"/>
    <n v="78"/>
    <n v="2"/>
    <x v="1"/>
    <x v="2"/>
    <x v="3"/>
    <s v="Married"/>
    <n v="3196"/>
    <n v="12449"/>
    <n v="1"/>
    <s v="Y"/>
    <s v="No"/>
    <n v="12"/>
    <n v="3"/>
    <n v="3"/>
    <n v="80"/>
    <n v="3"/>
    <n v="6"/>
    <n v="2"/>
    <n v="3"/>
    <x v="0"/>
    <n v="5"/>
    <n v="3"/>
    <n v="3"/>
    <x v="1"/>
    <n v="0"/>
    <n v="0"/>
    <x v="0"/>
    <n v="1"/>
    <m/>
    <m/>
  </r>
  <r>
    <n v="46"/>
    <x v="1"/>
    <s v="Travel_Rarely"/>
    <n v="1450"/>
    <s v="Research &amp; Development"/>
    <n v="15"/>
    <n v="2"/>
    <s v="Life Sciences"/>
    <n v="1"/>
    <n v="1217"/>
    <n v="4"/>
    <x v="1"/>
    <n v="52"/>
    <n v="3"/>
    <x v="4"/>
    <x v="7"/>
    <x v="1"/>
    <s v="Married"/>
    <n v="19081"/>
    <n v="10849"/>
    <n v="5"/>
    <s v="Y"/>
    <s v="No"/>
    <n v="11"/>
    <n v="3"/>
    <n v="1"/>
    <n v="80"/>
    <n v="1"/>
    <n v="25"/>
    <n v="2"/>
    <n v="3"/>
    <x v="9"/>
    <n v="2"/>
    <n v="0"/>
    <n v="3"/>
    <x v="1"/>
    <n v="0"/>
    <n v="0"/>
    <x v="3"/>
    <n v="1"/>
    <m/>
    <m/>
  </r>
  <r>
    <n v="35"/>
    <x v="1"/>
    <s v="Travel_Rarely"/>
    <n v="1361"/>
    <s v="Sales"/>
    <n v="17"/>
    <n v="4"/>
    <s v="Life Sciences"/>
    <n v="1"/>
    <n v="1218"/>
    <n v="3"/>
    <x v="1"/>
    <n v="94"/>
    <n v="3"/>
    <x v="0"/>
    <x v="0"/>
    <x v="3"/>
    <s v="Married"/>
    <n v="8966"/>
    <n v="21026"/>
    <n v="3"/>
    <s v="Y"/>
    <s v="Yes"/>
    <n v="15"/>
    <n v="3"/>
    <n v="4"/>
    <n v="80"/>
    <n v="3"/>
    <n v="15"/>
    <n v="2"/>
    <n v="3"/>
    <x v="5"/>
    <n v="7"/>
    <n v="1"/>
    <n v="7"/>
    <x v="0"/>
    <n v="0"/>
    <n v="0"/>
    <x v="4"/>
    <n v="1"/>
    <m/>
    <m/>
  </r>
  <r>
    <n v="24"/>
    <x v="0"/>
    <s v="Travel_Rarely"/>
    <n v="984"/>
    <s v="Research &amp; Development"/>
    <n v="17"/>
    <n v="2"/>
    <s v="Life Sciences"/>
    <n v="1"/>
    <n v="1219"/>
    <n v="4"/>
    <x v="0"/>
    <n v="97"/>
    <n v="3"/>
    <x v="1"/>
    <x v="2"/>
    <x v="1"/>
    <s v="Married"/>
    <n v="2210"/>
    <n v="3372"/>
    <n v="1"/>
    <s v="Y"/>
    <s v="No"/>
    <n v="13"/>
    <n v="3"/>
    <n v="1"/>
    <n v="80"/>
    <n v="1"/>
    <n v="1"/>
    <n v="3"/>
    <n v="1"/>
    <x v="6"/>
    <n v="0"/>
    <n v="0"/>
    <n v="0"/>
    <x v="1"/>
    <n v="1"/>
    <n v="39780"/>
    <x v="1"/>
    <n v="1"/>
    <m/>
    <m/>
  </r>
  <r>
    <n v="33"/>
    <x v="1"/>
    <s v="Travel_Frequently"/>
    <n v="1146"/>
    <s v="Sales"/>
    <n v="25"/>
    <n v="3"/>
    <s v="Medical"/>
    <n v="1"/>
    <n v="1220"/>
    <n v="2"/>
    <x v="0"/>
    <n v="82"/>
    <n v="3"/>
    <x v="0"/>
    <x v="0"/>
    <x v="2"/>
    <s v="Married"/>
    <n v="4539"/>
    <n v="4905"/>
    <n v="1"/>
    <s v="Y"/>
    <s v="No"/>
    <n v="12"/>
    <n v="3"/>
    <n v="1"/>
    <n v="80"/>
    <n v="1"/>
    <n v="10"/>
    <n v="3"/>
    <n v="2"/>
    <x v="1"/>
    <n v="7"/>
    <n v="0"/>
    <n v="1"/>
    <x v="0"/>
    <n v="0"/>
    <n v="0"/>
    <x v="0"/>
    <n v="1"/>
    <m/>
    <m/>
  </r>
  <r>
    <n v="36"/>
    <x v="1"/>
    <s v="Travel_Rarely"/>
    <n v="917"/>
    <s v="Research &amp; Development"/>
    <n v="6"/>
    <n v="4"/>
    <s v="Life Sciences"/>
    <n v="1"/>
    <n v="1221"/>
    <n v="3"/>
    <x v="1"/>
    <n v="60"/>
    <n v="1"/>
    <x v="1"/>
    <x v="2"/>
    <x v="2"/>
    <s v="Divorced"/>
    <n v="2741"/>
    <n v="6865"/>
    <n v="1"/>
    <s v="Y"/>
    <s v="No"/>
    <n v="14"/>
    <n v="3"/>
    <n v="3"/>
    <n v="80"/>
    <n v="1"/>
    <n v="7"/>
    <n v="4"/>
    <n v="3"/>
    <x v="5"/>
    <n v="7"/>
    <n v="1"/>
    <n v="7"/>
    <x v="1"/>
    <n v="0"/>
    <n v="0"/>
    <x v="1"/>
    <n v="1"/>
    <m/>
    <m/>
  </r>
  <r>
    <n v="30"/>
    <x v="1"/>
    <s v="Travel_Rarely"/>
    <n v="853"/>
    <s v="Research &amp; Development"/>
    <n v="7"/>
    <n v="4"/>
    <s v="Life Sciences"/>
    <n v="1"/>
    <n v="1224"/>
    <n v="3"/>
    <x v="1"/>
    <n v="49"/>
    <n v="3"/>
    <x v="0"/>
    <x v="2"/>
    <x v="2"/>
    <s v="Divorced"/>
    <n v="3491"/>
    <n v="11309"/>
    <n v="1"/>
    <s v="Y"/>
    <s v="No"/>
    <n v="13"/>
    <n v="3"/>
    <n v="1"/>
    <n v="80"/>
    <n v="3"/>
    <n v="10"/>
    <n v="4"/>
    <n v="2"/>
    <x v="1"/>
    <n v="7"/>
    <n v="8"/>
    <n v="9"/>
    <x v="1"/>
    <n v="0"/>
    <n v="0"/>
    <x v="0"/>
    <n v="1"/>
    <m/>
    <m/>
  </r>
  <r>
    <n v="44"/>
    <x v="1"/>
    <s v="Travel_Rarely"/>
    <n v="200"/>
    <s v="Research &amp; Development"/>
    <n v="29"/>
    <n v="4"/>
    <s v="Other"/>
    <n v="1"/>
    <n v="1225"/>
    <n v="4"/>
    <x v="1"/>
    <n v="32"/>
    <n v="3"/>
    <x v="0"/>
    <x v="1"/>
    <x v="0"/>
    <s v="Single"/>
    <n v="4541"/>
    <n v="7744"/>
    <n v="1"/>
    <s v="Y"/>
    <s v="No"/>
    <n v="25"/>
    <n v="4"/>
    <n v="2"/>
    <n v="80"/>
    <n v="0"/>
    <n v="20"/>
    <n v="3"/>
    <n v="3"/>
    <x v="23"/>
    <n v="11"/>
    <n v="13"/>
    <n v="17"/>
    <x v="1"/>
    <n v="0"/>
    <n v="0"/>
    <x v="0"/>
    <n v="1"/>
    <m/>
    <m/>
  </r>
  <r>
    <n v="20"/>
    <x v="1"/>
    <s v="Travel_Rarely"/>
    <n v="654"/>
    <s v="Sales"/>
    <n v="21"/>
    <n v="3"/>
    <s v="Marketing"/>
    <n v="1"/>
    <n v="1226"/>
    <n v="3"/>
    <x v="1"/>
    <n v="43"/>
    <n v="4"/>
    <x v="1"/>
    <x v="6"/>
    <x v="0"/>
    <s v="Single"/>
    <n v="2678"/>
    <n v="5050"/>
    <n v="1"/>
    <s v="Y"/>
    <s v="No"/>
    <n v="17"/>
    <n v="3"/>
    <n v="4"/>
    <n v="80"/>
    <n v="0"/>
    <n v="2"/>
    <n v="2"/>
    <n v="3"/>
    <x v="4"/>
    <n v="1"/>
    <n v="2"/>
    <n v="2"/>
    <x v="0"/>
    <n v="0"/>
    <n v="0"/>
    <x v="1"/>
    <n v="1"/>
    <m/>
    <m/>
  </r>
  <r>
    <n v="46"/>
    <x v="1"/>
    <s v="Travel_Rarely"/>
    <n v="150"/>
    <s v="Research &amp; Development"/>
    <n v="2"/>
    <n v="4"/>
    <s v="Technical Degree"/>
    <n v="1"/>
    <n v="1228"/>
    <n v="4"/>
    <x v="1"/>
    <n v="60"/>
    <n v="3"/>
    <x v="0"/>
    <x v="3"/>
    <x v="0"/>
    <s v="Divorced"/>
    <n v="7379"/>
    <n v="17433"/>
    <n v="2"/>
    <s v="Y"/>
    <s v="No"/>
    <n v="11"/>
    <n v="3"/>
    <n v="3"/>
    <n v="80"/>
    <n v="1"/>
    <n v="12"/>
    <n v="3"/>
    <n v="2"/>
    <x v="0"/>
    <n v="3"/>
    <n v="1"/>
    <n v="4"/>
    <x v="2"/>
    <n v="0"/>
    <n v="0"/>
    <x v="4"/>
    <n v="1"/>
    <m/>
    <m/>
  </r>
  <r>
    <n v="42"/>
    <x v="1"/>
    <s v="Non-Travel"/>
    <n v="179"/>
    <s v="Human Resources"/>
    <n v="2"/>
    <n v="5"/>
    <s v="Medical"/>
    <n v="1"/>
    <n v="1231"/>
    <n v="4"/>
    <x v="1"/>
    <n v="79"/>
    <n v="4"/>
    <x v="0"/>
    <x v="8"/>
    <x v="3"/>
    <s v="Married"/>
    <n v="6272"/>
    <n v="12858"/>
    <n v="7"/>
    <s v="Y"/>
    <s v="No"/>
    <n v="16"/>
    <n v="3"/>
    <n v="1"/>
    <n v="80"/>
    <n v="1"/>
    <n v="10"/>
    <n v="3"/>
    <n v="4"/>
    <x v="9"/>
    <n v="3"/>
    <n v="0"/>
    <n v="3"/>
    <x v="5"/>
    <n v="0"/>
    <n v="0"/>
    <x v="4"/>
    <n v="1"/>
    <m/>
    <m/>
  </r>
  <r>
    <n v="60"/>
    <x v="1"/>
    <s v="Travel_Rarely"/>
    <n v="696"/>
    <s v="Sales"/>
    <n v="7"/>
    <n v="4"/>
    <s v="Marketing"/>
    <n v="1"/>
    <n v="1233"/>
    <n v="2"/>
    <x v="1"/>
    <n v="52"/>
    <n v="4"/>
    <x v="0"/>
    <x v="0"/>
    <x v="0"/>
    <s v="Divorced"/>
    <n v="5220"/>
    <n v="10893"/>
    <n v="0"/>
    <s v="Y"/>
    <s v="Yes"/>
    <n v="18"/>
    <n v="3"/>
    <n v="2"/>
    <n v="80"/>
    <n v="1"/>
    <n v="12"/>
    <n v="3"/>
    <n v="3"/>
    <x v="19"/>
    <n v="7"/>
    <n v="1"/>
    <n v="9"/>
    <x v="0"/>
    <n v="0"/>
    <n v="0"/>
    <x v="0"/>
    <n v="1"/>
    <m/>
    <m/>
  </r>
  <r>
    <n v="32"/>
    <x v="1"/>
    <s v="Travel_Frequently"/>
    <n v="116"/>
    <s v="Research &amp; Development"/>
    <n v="13"/>
    <n v="3"/>
    <s v="Other"/>
    <n v="1"/>
    <n v="1234"/>
    <n v="3"/>
    <x v="0"/>
    <n v="77"/>
    <n v="2"/>
    <x v="1"/>
    <x v="2"/>
    <x v="1"/>
    <s v="Married"/>
    <n v="2743"/>
    <n v="7331"/>
    <n v="1"/>
    <s v="Y"/>
    <s v="No"/>
    <n v="20"/>
    <n v="4"/>
    <n v="3"/>
    <n v="80"/>
    <n v="1"/>
    <n v="2"/>
    <n v="2"/>
    <n v="3"/>
    <x v="4"/>
    <n v="2"/>
    <n v="2"/>
    <n v="2"/>
    <x v="1"/>
    <n v="0"/>
    <n v="0"/>
    <x v="1"/>
    <n v="1"/>
    <m/>
    <m/>
  </r>
  <r>
    <n v="32"/>
    <x v="1"/>
    <s v="Travel_Frequently"/>
    <n v="1316"/>
    <s v="Research &amp; Development"/>
    <n v="2"/>
    <n v="2"/>
    <s v="Life Sciences"/>
    <n v="1"/>
    <n v="1235"/>
    <n v="4"/>
    <x v="0"/>
    <n v="38"/>
    <n v="3"/>
    <x v="0"/>
    <x v="1"/>
    <x v="2"/>
    <s v="Single"/>
    <n v="4998"/>
    <n v="2338"/>
    <n v="4"/>
    <s v="Y"/>
    <s v="Yes"/>
    <n v="14"/>
    <n v="3"/>
    <n v="4"/>
    <n v="80"/>
    <n v="0"/>
    <n v="10"/>
    <n v="2"/>
    <n v="3"/>
    <x v="3"/>
    <n v="7"/>
    <n v="0"/>
    <n v="7"/>
    <x v="1"/>
    <n v="0"/>
    <n v="0"/>
    <x v="0"/>
    <n v="1"/>
    <m/>
    <m/>
  </r>
  <r>
    <n v="36"/>
    <x v="1"/>
    <s v="Travel_Rarely"/>
    <n v="363"/>
    <s v="Research &amp; Development"/>
    <n v="1"/>
    <n v="3"/>
    <s v="Technical Degree"/>
    <n v="1"/>
    <n v="1237"/>
    <n v="3"/>
    <x v="0"/>
    <n v="77"/>
    <n v="1"/>
    <x v="2"/>
    <x v="3"/>
    <x v="3"/>
    <s v="Divorced"/>
    <n v="10252"/>
    <n v="4235"/>
    <n v="2"/>
    <s v="Y"/>
    <s v="Yes"/>
    <n v="21"/>
    <n v="4"/>
    <n v="3"/>
    <n v="80"/>
    <n v="1"/>
    <n v="17"/>
    <n v="2"/>
    <n v="3"/>
    <x v="5"/>
    <n v="7"/>
    <n v="7"/>
    <n v="7"/>
    <x v="2"/>
    <n v="0"/>
    <n v="0"/>
    <x v="2"/>
    <n v="1"/>
    <m/>
    <m/>
  </r>
  <r>
    <n v="33"/>
    <x v="1"/>
    <s v="Travel_Rarely"/>
    <n v="117"/>
    <s v="Research &amp; Development"/>
    <n v="9"/>
    <n v="3"/>
    <s v="Medical"/>
    <n v="1"/>
    <n v="1238"/>
    <n v="1"/>
    <x v="1"/>
    <n v="60"/>
    <n v="3"/>
    <x v="1"/>
    <x v="1"/>
    <x v="0"/>
    <s v="Married"/>
    <n v="2781"/>
    <n v="6311"/>
    <n v="0"/>
    <s v="Y"/>
    <s v="No"/>
    <n v="13"/>
    <n v="3"/>
    <n v="2"/>
    <n v="80"/>
    <n v="1"/>
    <n v="15"/>
    <n v="5"/>
    <n v="3"/>
    <x v="13"/>
    <n v="10"/>
    <n v="4"/>
    <n v="10"/>
    <x v="1"/>
    <n v="0"/>
    <n v="0"/>
    <x v="1"/>
    <n v="1"/>
    <m/>
    <m/>
  </r>
  <r>
    <n v="40"/>
    <x v="1"/>
    <s v="Travel_Rarely"/>
    <n v="107"/>
    <s v="Sales"/>
    <n v="10"/>
    <n v="3"/>
    <s v="Technical Degree"/>
    <n v="1"/>
    <n v="1239"/>
    <n v="2"/>
    <x v="0"/>
    <n v="84"/>
    <n v="2"/>
    <x v="0"/>
    <x v="0"/>
    <x v="1"/>
    <s v="Divorced"/>
    <n v="6852"/>
    <n v="11591"/>
    <n v="7"/>
    <s v="Y"/>
    <s v="No"/>
    <n v="12"/>
    <n v="3"/>
    <n v="2"/>
    <n v="80"/>
    <n v="1"/>
    <n v="7"/>
    <n v="2"/>
    <n v="4"/>
    <x v="8"/>
    <n v="1"/>
    <n v="1"/>
    <n v="3"/>
    <x v="0"/>
    <n v="0"/>
    <n v="0"/>
    <x v="4"/>
    <n v="1"/>
    <m/>
    <m/>
  </r>
  <r>
    <n v="25"/>
    <x v="1"/>
    <s v="Travel_Rarely"/>
    <n v="1356"/>
    <s v="Sales"/>
    <n v="10"/>
    <n v="4"/>
    <s v="Life Sciences"/>
    <n v="1"/>
    <n v="1240"/>
    <n v="3"/>
    <x v="1"/>
    <n v="57"/>
    <n v="3"/>
    <x v="0"/>
    <x v="0"/>
    <x v="0"/>
    <s v="Single"/>
    <n v="4950"/>
    <n v="20623"/>
    <n v="0"/>
    <s v="Y"/>
    <s v="No"/>
    <n v="14"/>
    <n v="3"/>
    <n v="2"/>
    <n v="80"/>
    <n v="0"/>
    <n v="5"/>
    <n v="4"/>
    <n v="3"/>
    <x v="9"/>
    <n v="3"/>
    <n v="1"/>
    <n v="1"/>
    <x v="0"/>
    <n v="0"/>
    <n v="0"/>
    <x v="0"/>
    <n v="1"/>
    <m/>
    <m/>
  </r>
  <r>
    <n v="30"/>
    <x v="1"/>
    <s v="Travel_Rarely"/>
    <n v="1465"/>
    <s v="Research &amp; Development"/>
    <n v="1"/>
    <n v="3"/>
    <s v="Medical"/>
    <n v="1"/>
    <n v="1241"/>
    <n v="4"/>
    <x v="1"/>
    <n v="63"/>
    <n v="3"/>
    <x v="1"/>
    <x v="1"/>
    <x v="1"/>
    <s v="Married"/>
    <n v="3579"/>
    <n v="9369"/>
    <n v="0"/>
    <s v="Y"/>
    <s v="Yes"/>
    <n v="21"/>
    <n v="4"/>
    <n v="1"/>
    <n v="80"/>
    <n v="1"/>
    <n v="12"/>
    <n v="2"/>
    <n v="3"/>
    <x v="19"/>
    <n v="9"/>
    <n v="5"/>
    <n v="7"/>
    <x v="1"/>
    <n v="0"/>
    <n v="0"/>
    <x v="0"/>
    <n v="1"/>
    <m/>
    <m/>
  </r>
  <r>
    <n v="42"/>
    <x v="1"/>
    <s v="Travel_Frequently"/>
    <n v="458"/>
    <s v="Research &amp; Development"/>
    <n v="26"/>
    <n v="5"/>
    <s v="Medical"/>
    <n v="1"/>
    <n v="1242"/>
    <n v="1"/>
    <x v="0"/>
    <n v="60"/>
    <n v="3"/>
    <x v="2"/>
    <x v="7"/>
    <x v="3"/>
    <s v="Married"/>
    <n v="13191"/>
    <n v="23281"/>
    <n v="3"/>
    <s v="Y"/>
    <s v="Yes"/>
    <n v="17"/>
    <n v="3"/>
    <n v="3"/>
    <n v="80"/>
    <n v="0"/>
    <n v="20"/>
    <n v="6"/>
    <n v="3"/>
    <x v="6"/>
    <n v="0"/>
    <n v="0"/>
    <n v="0"/>
    <x v="1"/>
    <n v="0"/>
    <n v="0"/>
    <x v="3"/>
    <n v="1"/>
    <m/>
    <m/>
  </r>
  <r>
    <n v="35"/>
    <x v="1"/>
    <s v="Non-Travel"/>
    <n v="1212"/>
    <s v="Sales"/>
    <n v="8"/>
    <n v="2"/>
    <s v="Marketing"/>
    <n v="1"/>
    <n v="1243"/>
    <n v="3"/>
    <x v="0"/>
    <n v="78"/>
    <n v="2"/>
    <x v="2"/>
    <x v="0"/>
    <x v="0"/>
    <s v="Married"/>
    <n v="10377"/>
    <n v="13755"/>
    <n v="4"/>
    <s v="Y"/>
    <s v="Yes"/>
    <n v="11"/>
    <n v="3"/>
    <n v="2"/>
    <n v="80"/>
    <n v="1"/>
    <n v="16"/>
    <n v="6"/>
    <n v="2"/>
    <x v="20"/>
    <n v="2"/>
    <n v="4"/>
    <n v="12"/>
    <x v="0"/>
    <n v="0"/>
    <n v="0"/>
    <x v="2"/>
    <n v="1"/>
    <m/>
    <m/>
  </r>
  <r>
    <n v="27"/>
    <x v="1"/>
    <s v="Travel_Rarely"/>
    <n v="1103"/>
    <s v="Research &amp; Development"/>
    <n v="14"/>
    <n v="3"/>
    <s v="Life Sciences"/>
    <n v="1"/>
    <n v="1244"/>
    <n v="1"/>
    <x v="1"/>
    <n v="42"/>
    <n v="3"/>
    <x v="1"/>
    <x v="1"/>
    <x v="3"/>
    <s v="Married"/>
    <n v="2235"/>
    <n v="14377"/>
    <n v="1"/>
    <s v="Y"/>
    <s v="Yes"/>
    <n v="14"/>
    <n v="3"/>
    <n v="4"/>
    <n v="80"/>
    <n v="2"/>
    <n v="9"/>
    <n v="3"/>
    <n v="2"/>
    <x v="7"/>
    <n v="7"/>
    <n v="6"/>
    <n v="8"/>
    <x v="1"/>
    <n v="0"/>
    <n v="0"/>
    <x v="1"/>
    <n v="1"/>
    <m/>
    <m/>
  </r>
  <r>
    <n v="54"/>
    <x v="1"/>
    <s v="Travel_Frequently"/>
    <n v="966"/>
    <s v="Research &amp; Development"/>
    <n v="1"/>
    <n v="4"/>
    <s v="Life Sciences"/>
    <n v="1"/>
    <n v="1245"/>
    <n v="4"/>
    <x v="0"/>
    <n v="53"/>
    <n v="3"/>
    <x v="2"/>
    <x v="3"/>
    <x v="2"/>
    <s v="Divorced"/>
    <n v="10502"/>
    <n v="9659"/>
    <n v="7"/>
    <s v="Y"/>
    <s v="No"/>
    <n v="17"/>
    <n v="3"/>
    <n v="1"/>
    <n v="80"/>
    <n v="1"/>
    <n v="33"/>
    <n v="2"/>
    <n v="1"/>
    <x v="8"/>
    <n v="4"/>
    <n v="1"/>
    <n v="4"/>
    <x v="2"/>
    <n v="0"/>
    <n v="0"/>
    <x v="2"/>
    <n v="1"/>
    <m/>
    <m/>
  </r>
  <r>
    <n v="44"/>
    <x v="1"/>
    <s v="Travel_Rarely"/>
    <n v="1117"/>
    <s v="Research &amp; Development"/>
    <n v="2"/>
    <n v="1"/>
    <s v="Life Sciences"/>
    <n v="1"/>
    <n v="1246"/>
    <n v="1"/>
    <x v="0"/>
    <n v="72"/>
    <n v="4"/>
    <x v="1"/>
    <x v="1"/>
    <x v="0"/>
    <s v="Married"/>
    <n v="2011"/>
    <n v="19982"/>
    <n v="1"/>
    <s v="Y"/>
    <s v="No"/>
    <n v="13"/>
    <n v="3"/>
    <n v="4"/>
    <n v="80"/>
    <n v="1"/>
    <n v="10"/>
    <n v="5"/>
    <n v="3"/>
    <x v="1"/>
    <n v="5"/>
    <n v="7"/>
    <n v="7"/>
    <x v="1"/>
    <n v="0"/>
    <n v="0"/>
    <x v="1"/>
    <n v="1"/>
    <m/>
    <m/>
  </r>
  <r>
    <n v="19"/>
    <x v="0"/>
    <s v="Non-Travel"/>
    <n v="504"/>
    <s v="Research &amp; Development"/>
    <n v="10"/>
    <n v="3"/>
    <s v="Medical"/>
    <n v="1"/>
    <n v="1248"/>
    <n v="1"/>
    <x v="0"/>
    <n v="96"/>
    <n v="2"/>
    <x v="1"/>
    <x v="1"/>
    <x v="1"/>
    <s v="Single"/>
    <n v="1859"/>
    <n v="6148"/>
    <n v="1"/>
    <s v="Y"/>
    <s v="Yes"/>
    <n v="25"/>
    <n v="4"/>
    <n v="2"/>
    <n v="80"/>
    <n v="0"/>
    <n v="1"/>
    <n v="2"/>
    <n v="4"/>
    <x v="6"/>
    <n v="1"/>
    <n v="0"/>
    <n v="0"/>
    <x v="1"/>
    <n v="1"/>
    <n v="33462"/>
    <x v="1"/>
    <n v="1"/>
    <m/>
    <m/>
  </r>
  <r>
    <n v="29"/>
    <x v="1"/>
    <s v="Travel_Rarely"/>
    <n v="1010"/>
    <s v="Research &amp; Development"/>
    <n v="1"/>
    <n v="3"/>
    <s v="Life Sciences"/>
    <n v="1"/>
    <n v="1249"/>
    <n v="1"/>
    <x v="0"/>
    <n v="97"/>
    <n v="3"/>
    <x v="1"/>
    <x v="1"/>
    <x v="0"/>
    <s v="Divorced"/>
    <n v="3760"/>
    <n v="5598"/>
    <n v="1"/>
    <s v="Y"/>
    <s v="No"/>
    <n v="15"/>
    <n v="3"/>
    <n v="1"/>
    <n v="80"/>
    <n v="3"/>
    <n v="3"/>
    <n v="5"/>
    <n v="3"/>
    <x v="11"/>
    <n v="2"/>
    <n v="1"/>
    <n v="2"/>
    <x v="1"/>
    <n v="0"/>
    <n v="0"/>
    <x v="0"/>
    <n v="1"/>
    <m/>
    <m/>
  </r>
  <r>
    <n v="54"/>
    <x v="1"/>
    <s v="Travel_Rarely"/>
    <n v="685"/>
    <s v="Research &amp; Development"/>
    <n v="3"/>
    <n v="3"/>
    <s v="Life Sciences"/>
    <n v="1"/>
    <n v="1250"/>
    <n v="4"/>
    <x v="1"/>
    <n v="85"/>
    <n v="3"/>
    <x v="3"/>
    <x v="7"/>
    <x v="0"/>
    <s v="Married"/>
    <n v="17779"/>
    <n v="23474"/>
    <n v="3"/>
    <s v="Y"/>
    <s v="No"/>
    <n v="14"/>
    <n v="3"/>
    <n v="1"/>
    <n v="80"/>
    <n v="0"/>
    <n v="36"/>
    <n v="2"/>
    <n v="3"/>
    <x v="1"/>
    <n v="9"/>
    <n v="0"/>
    <n v="9"/>
    <x v="1"/>
    <n v="0"/>
    <n v="0"/>
    <x v="3"/>
    <n v="1"/>
    <m/>
    <m/>
  </r>
  <r>
    <n v="31"/>
    <x v="1"/>
    <s v="Travel_Rarely"/>
    <n v="1332"/>
    <s v="Research &amp; Development"/>
    <n v="11"/>
    <n v="2"/>
    <s v="Medical"/>
    <n v="1"/>
    <n v="1251"/>
    <n v="3"/>
    <x v="1"/>
    <n v="80"/>
    <n v="3"/>
    <x v="0"/>
    <x v="4"/>
    <x v="3"/>
    <s v="Married"/>
    <n v="6833"/>
    <n v="17089"/>
    <n v="1"/>
    <s v="Y"/>
    <s v="Yes"/>
    <n v="12"/>
    <n v="3"/>
    <n v="4"/>
    <n v="80"/>
    <n v="0"/>
    <n v="6"/>
    <n v="2"/>
    <n v="2"/>
    <x v="0"/>
    <n v="5"/>
    <n v="0"/>
    <n v="1"/>
    <x v="3"/>
    <n v="0"/>
    <n v="0"/>
    <x v="4"/>
    <n v="1"/>
    <m/>
    <m/>
  </r>
  <r>
    <n v="31"/>
    <x v="1"/>
    <s v="Travel_Rarely"/>
    <n v="1062"/>
    <s v="Research &amp; Development"/>
    <n v="24"/>
    <n v="3"/>
    <s v="Medical"/>
    <n v="1"/>
    <n v="1252"/>
    <n v="3"/>
    <x v="0"/>
    <n v="96"/>
    <n v="2"/>
    <x v="0"/>
    <x v="4"/>
    <x v="3"/>
    <s v="Single"/>
    <n v="6812"/>
    <n v="17198"/>
    <n v="1"/>
    <s v="Y"/>
    <s v="No"/>
    <n v="19"/>
    <n v="3"/>
    <n v="2"/>
    <n v="80"/>
    <n v="0"/>
    <n v="10"/>
    <n v="2"/>
    <n v="3"/>
    <x v="1"/>
    <n v="9"/>
    <n v="1"/>
    <n v="8"/>
    <x v="3"/>
    <n v="0"/>
    <n v="0"/>
    <x v="4"/>
    <n v="1"/>
    <m/>
    <m/>
  </r>
  <r>
    <n v="59"/>
    <x v="1"/>
    <s v="Travel_Rarely"/>
    <n v="326"/>
    <s v="Sales"/>
    <n v="3"/>
    <n v="3"/>
    <s v="Life Sciences"/>
    <n v="1"/>
    <n v="1254"/>
    <n v="3"/>
    <x v="0"/>
    <n v="48"/>
    <n v="2"/>
    <x v="0"/>
    <x v="0"/>
    <x v="0"/>
    <s v="Single"/>
    <n v="5171"/>
    <n v="16490"/>
    <n v="5"/>
    <s v="Y"/>
    <s v="No"/>
    <n v="17"/>
    <n v="3"/>
    <n v="4"/>
    <n v="80"/>
    <n v="0"/>
    <n v="13"/>
    <n v="2"/>
    <n v="3"/>
    <x v="0"/>
    <n v="1"/>
    <n v="0"/>
    <n v="5"/>
    <x v="0"/>
    <n v="0"/>
    <n v="0"/>
    <x v="0"/>
    <n v="1"/>
    <m/>
    <m/>
  </r>
  <r>
    <n v="43"/>
    <x v="1"/>
    <s v="Travel_Rarely"/>
    <n v="920"/>
    <s v="Research &amp; Development"/>
    <n v="3"/>
    <n v="3"/>
    <s v="Life Sciences"/>
    <n v="1"/>
    <n v="1255"/>
    <n v="3"/>
    <x v="1"/>
    <n v="96"/>
    <n v="1"/>
    <x v="4"/>
    <x v="7"/>
    <x v="0"/>
    <s v="Married"/>
    <n v="19740"/>
    <n v="18625"/>
    <n v="3"/>
    <s v="Y"/>
    <s v="No"/>
    <n v="14"/>
    <n v="3"/>
    <n v="2"/>
    <n v="80"/>
    <n v="1"/>
    <n v="25"/>
    <n v="2"/>
    <n v="3"/>
    <x v="3"/>
    <n v="7"/>
    <n v="0"/>
    <n v="7"/>
    <x v="1"/>
    <n v="0"/>
    <n v="0"/>
    <x v="3"/>
    <n v="1"/>
    <m/>
    <m/>
  </r>
  <r>
    <n v="49"/>
    <x v="1"/>
    <s v="Travel_Rarely"/>
    <n v="1098"/>
    <s v="Research &amp; Development"/>
    <n v="4"/>
    <n v="2"/>
    <s v="Medical"/>
    <n v="1"/>
    <n v="1256"/>
    <n v="1"/>
    <x v="1"/>
    <n v="85"/>
    <n v="2"/>
    <x v="4"/>
    <x v="5"/>
    <x v="2"/>
    <s v="Married"/>
    <n v="18711"/>
    <n v="12124"/>
    <n v="2"/>
    <s v="Y"/>
    <s v="No"/>
    <n v="13"/>
    <n v="3"/>
    <n v="3"/>
    <n v="80"/>
    <n v="1"/>
    <n v="23"/>
    <n v="2"/>
    <n v="4"/>
    <x v="6"/>
    <n v="0"/>
    <n v="0"/>
    <n v="0"/>
    <x v="4"/>
    <n v="0"/>
    <n v="0"/>
    <x v="3"/>
    <n v="1"/>
    <m/>
    <m/>
  </r>
  <r>
    <n v="36"/>
    <x v="1"/>
    <s v="Travel_Frequently"/>
    <n v="469"/>
    <s v="Research &amp; Development"/>
    <n v="3"/>
    <n v="3"/>
    <s v="Technical Degree"/>
    <n v="1"/>
    <n v="1257"/>
    <n v="3"/>
    <x v="1"/>
    <n v="46"/>
    <n v="3"/>
    <x v="1"/>
    <x v="1"/>
    <x v="1"/>
    <s v="Married"/>
    <n v="3692"/>
    <n v="9256"/>
    <n v="1"/>
    <s v="Y"/>
    <s v="No"/>
    <n v="12"/>
    <n v="3"/>
    <n v="3"/>
    <n v="80"/>
    <n v="0"/>
    <n v="12"/>
    <n v="2"/>
    <n v="2"/>
    <x v="19"/>
    <n v="10"/>
    <n v="0"/>
    <n v="7"/>
    <x v="1"/>
    <n v="0"/>
    <n v="0"/>
    <x v="0"/>
    <n v="1"/>
    <m/>
    <m/>
  </r>
  <r>
    <n v="48"/>
    <x v="1"/>
    <s v="Travel_Rarely"/>
    <n v="969"/>
    <s v="Research &amp; Development"/>
    <n v="2"/>
    <n v="2"/>
    <s v="Technical Degree"/>
    <n v="1"/>
    <n v="1258"/>
    <n v="4"/>
    <x v="1"/>
    <n v="76"/>
    <n v="4"/>
    <x v="1"/>
    <x v="2"/>
    <x v="1"/>
    <s v="Single"/>
    <n v="2559"/>
    <n v="16620"/>
    <n v="5"/>
    <s v="Y"/>
    <s v="No"/>
    <n v="11"/>
    <n v="3"/>
    <n v="3"/>
    <n v="80"/>
    <n v="0"/>
    <n v="7"/>
    <n v="4"/>
    <n v="2"/>
    <x v="6"/>
    <n v="0"/>
    <n v="0"/>
    <n v="0"/>
    <x v="1"/>
    <n v="0"/>
    <n v="0"/>
    <x v="1"/>
    <n v="1"/>
    <m/>
    <m/>
  </r>
  <r>
    <n v="27"/>
    <x v="1"/>
    <s v="Travel_Rarely"/>
    <n v="1167"/>
    <s v="Research &amp; Development"/>
    <n v="4"/>
    <n v="2"/>
    <s v="Life Sciences"/>
    <n v="1"/>
    <n v="1259"/>
    <n v="1"/>
    <x v="1"/>
    <n v="76"/>
    <n v="3"/>
    <x v="1"/>
    <x v="1"/>
    <x v="2"/>
    <s v="Divorced"/>
    <n v="2517"/>
    <n v="3208"/>
    <n v="1"/>
    <s v="Y"/>
    <s v="No"/>
    <n v="11"/>
    <n v="3"/>
    <n v="2"/>
    <n v="80"/>
    <n v="3"/>
    <n v="5"/>
    <n v="2"/>
    <n v="3"/>
    <x v="8"/>
    <n v="3"/>
    <n v="0"/>
    <n v="3"/>
    <x v="1"/>
    <n v="0"/>
    <n v="0"/>
    <x v="1"/>
    <n v="1"/>
    <m/>
    <m/>
  </r>
  <r>
    <n v="29"/>
    <x v="1"/>
    <s v="Travel_Rarely"/>
    <n v="1329"/>
    <s v="Research &amp; Development"/>
    <n v="7"/>
    <n v="3"/>
    <s v="Life Sciences"/>
    <n v="1"/>
    <n v="1260"/>
    <n v="3"/>
    <x v="1"/>
    <n v="82"/>
    <n v="3"/>
    <x v="0"/>
    <x v="4"/>
    <x v="0"/>
    <s v="Divorced"/>
    <n v="6623"/>
    <n v="4204"/>
    <n v="1"/>
    <s v="Y"/>
    <s v="Yes"/>
    <n v="11"/>
    <n v="3"/>
    <n v="2"/>
    <n v="80"/>
    <n v="2"/>
    <n v="6"/>
    <n v="2"/>
    <n v="3"/>
    <x v="0"/>
    <n v="0"/>
    <n v="1"/>
    <n v="0"/>
    <x v="3"/>
    <n v="0"/>
    <n v="0"/>
    <x v="4"/>
    <n v="1"/>
    <m/>
    <m/>
  </r>
  <r>
    <n v="48"/>
    <x v="1"/>
    <s v="Travel_Rarely"/>
    <n v="715"/>
    <s v="Research &amp; Development"/>
    <n v="1"/>
    <n v="3"/>
    <s v="Life Sciences"/>
    <n v="1"/>
    <n v="1263"/>
    <n v="4"/>
    <x v="1"/>
    <n v="76"/>
    <n v="2"/>
    <x v="4"/>
    <x v="7"/>
    <x v="0"/>
    <s v="Single"/>
    <n v="18265"/>
    <n v="8733"/>
    <n v="6"/>
    <s v="Y"/>
    <s v="No"/>
    <n v="12"/>
    <n v="3"/>
    <n v="3"/>
    <n v="80"/>
    <n v="0"/>
    <n v="25"/>
    <n v="3"/>
    <n v="4"/>
    <x v="6"/>
    <n v="0"/>
    <n v="0"/>
    <n v="0"/>
    <x v="1"/>
    <n v="0"/>
    <n v="0"/>
    <x v="3"/>
    <n v="1"/>
    <m/>
    <m/>
  </r>
  <r>
    <n v="29"/>
    <x v="1"/>
    <s v="Travel_Rarely"/>
    <n v="694"/>
    <s v="Research &amp; Development"/>
    <n v="1"/>
    <n v="3"/>
    <s v="Life Sciences"/>
    <n v="1"/>
    <n v="1264"/>
    <n v="4"/>
    <x v="0"/>
    <n v="87"/>
    <n v="2"/>
    <x v="3"/>
    <x v="7"/>
    <x v="0"/>
    <s v="Divorced"/>
    <n v="16124"/>
    <n v="3423"/>
    <n v="3"/>
    <s v="Y"/>
    <s v="No"/>
    <n v="14"/>
    <n v="3"/>
    <n v="2"/>
    <n v="80"/>
    <n v="2"/>
    <n v="9"/>
    <n v="2"/>
    <n v="2"/>
    <x v="5"/>
    <n v="7"/>
    <n v="1"/>
    <n v="7"/>
    <x v="1"/>
    <n v="0"/>
    <n v="0"/>
    <x v="3"/>
    <n v="1"/>
    <m/>
    <m/>
  </r>
  <r>
    <n v="34"/>
    <x v="1"/>
    <s v="Travel_Rarely"/>
    <n v="1320"/>
    <s v="Research &amp; Development"/>
    <n v="20"/>
    <n v="3"/>
    <s v="Technical Degree"/>
    <n v="1"/>
    <n v="1265"/>
    <n v="3"/>
    <x v="0"/>
    <n v="89"/>
    <n v="4"/>
    <x v="1"/>
    <x v="1"/>
    <x v="2"/>
    <s v="Married"/>
    <n v="2585"/>
    <n v="21643"/>
    <n v="0"/>
    <s v="Y"/>
    <s v="No"/>
    <n v="17"/>
    <n v="3"/>
    <n v="4"/>
    <n v="80"/>
    <n v="0"/>
    <n v="2"/>
    <n v="5"/>
    <n v="2"/>
    <x v="6"/>
    <n v="0"/>
    <n v="0"/>
    <n v="0"/>
    <x v="1"/>
    <n v="0"/>
    <n v="0"/>
    <x v="1"/>
    <n v="1"/>
    <m/>
    <m/>
  </r>
  <r>
    <n v="44"/>
    <x v="1"/>
    <s v="Travel_Rarely"/>
    <n v="1099"/>
    <s v="Sales"/>
    <n v="5"/>
    <n v="3"/>
    <s v="Marketing"/>
    <n v="1"/>
    <n v="1267"/>
    <n v="2"/>
    <x v="1"/>
    <n v="88"/>
    <n v="3"/>
    <x v="4"/>
    <x v="5"/>
    <x v="1"/>
    <s v="Married"/>
    <n v="18213"/>
    <n v="8751"/>
    <n v="7"/>
    <s v="Y"/>
    <s v="No"/>
    <n v="11"/>
    <n v="3"/>
    <n v="3"/>
    <n v="80"/>
    <n v="1"/>
    <n v="26"/>
    <n v="5"/>
    <n v="3"/>
    <x v="14"/>
    <n v="9"/>
    <n v="3"/>
    <n v="10"/>
    <x v="4"/>
    <n v="0"/>
    <n v="0"/>
    <x v="3"/>
    <n v="1"/>
    <m/>
    <m/>
  </r>
  <r>
    <n v="33"/>
    <x v="1"/>
    <s v="Travel_Rarely"/>
    <n v="536"/>
    <s v="Sales"/>
    <n v="10"/>
    <n v="5"/>
    <s v="Marketing"/>
    <n v="1"/>
    <n v="1268"/>
    <n v="4"/>
    <x v="1"/>
    <n v="82"/>
    <n v="4"/>
    <x v="2"/>
    <x v="0"/>
    <x v="2"/>
    <s v="Divorced"/>
    <n v="8380"/>
    <n v="21708"/>
    <n v="0"/>
    <s v="Y"/>
    <s v="Yes"/>
    <n v="14"/>
    <n v="3"/>
    <n v="4"/>
    <n v="80"/>
    <n v="2"/>
    <n v="10"/>
    <n v="3"/>
    <n v="3"/>
    <x v="7"/>
    <n v="8"/>
    <n v="0"/>
    <n v="8"/>
    <x v="0"/>
    <n v="0"/>
    <n v="0"/>
    <x v="4"/>
    <n v="1"/>
    <m/>
    <m/>
  </r>
  <r>
    <n v="19"/>
    <x v="1"/>
    <s v="Travel_Rarely"/>
    <n v="265"/>
    <s v="Research &amp; Development"/>
    <n v="25"/>
    <n v="3"/>
    <s v="Life Sciences"/>
    <n v="1"/>
    <n v="1269"/>
    <n v="2"/>
    <x v="0"/>
    <n v="57"/>
    <n v="4"/>
    <x v="1"/>
    <x v="1"/>
    <x v="0"/>
    <s v="Single"/>
    <n v="2994"/>
    <n v="21221"/>
    <n v="1"/>
    <s v="Y"/>
    <s v="Yes"/>
    <n v="12"/>
    <n v="3"/>
    <n v="4"/>
    <n v="80"/>
    <n v="0"/>
    <n v="1"/>
    <n v="2"/>
    <n v="3"/>
    <x v="6"/>
    <n v="0"/>
    <n v="0"/>
    <n v="1"/>
    <x v="1"/>
    <n v="0"/>
    <n v="0"/>
    <x v="1"/>
    <n v="1"/>
    <m/>
    <m/>
  </r>
  <r>
    <n v="23"/>
    <x v="1"/>
    <s v="Travel_Rarely"/>
    <n v="373"/>
    <s v="Research &amp; Development"/>
    <n v="1"/>
    <n v="2"/>
    <s v="Life Sciences"/>
    <n v="1"/>
    <n v="1270"/>
    <n v="4"/>
    <x v="1"/>
    <n v="47"/>
    <n v="3"/>
    <x v="1"/>
    <x v="1"/>
    <x v="2"/>
    <s v="Married"/>
    <n v="1223"/>
    <n v="16901"/>
    <n v="1"/>
    <s v="Y"/>
    <s v="No"/>
    <n v="22"/>
    <n v="4"/>
    <n v="4"/>
    <n v="80"/>
    <n v="1"/>
    <n v="1"/>
    <n v="2"/>
    <n v="3"/>
    <x v="6"/>
    <n v="0"/>
    <n v="0"/>
    <n v="1"/>
    <x v="1"/>
    <n v="0"/>
    <n v="0"/>
    <x v="1"/>
    <n v="1"/>
    <m/>
    <m/>
  </r>
  <r>
    <n v="25"/>
    <x v="0"/>
    <s v="Travel_Frequently"/>
    <n v="599"/>
    <s v="Sales"/>
    <n v="24"/>
    <n v="1"/>
    <s v="Life Sciences"/>
    <n v="1"/>
    <n v="1273"/>
    <n v="3"/>
    <x v="1"/>
    <n v="73"/>
    <n v="1"/>
    <x v="1"/>
    <x v="6"/>
    <x v="0"/>
    <s v="Single"/>
    <n v="1118"/>
    <n v="8040"/>
    <n v="1"/>
    <s v="Y"/>
    <s v="Yes"/>
    <n v="14"/>
    <n v="3"/>
    <n v="4"/>
    <n v="80"/>
    <n v="0"/>
    <n v="1"/>
    <n v="4"/>
    <n v="3"/>
    <x v="6"/>
    <n v="0"/>
    <n v="1"/>
    <n v="0"/>
    <x v="0"/>
    <n v="1"/>
    <n v="20124"/>
    <x v="1"/>
    <n v="1"/>
    <m/>
    <m/>
  </r>
  <r>
    <n v="26"/>
    <x v="1"/>
    <s v="Travel_Rarely"/>
    <n v="583"/>
    <s v="Research &amp; Development"/>
    <n v="4"/>
    <n v="2"/>
    <s v="Life Sciences"/>
    <n v="1"/>
    <n v="1275"/>
    <n v="3"/>
    <x v="1"/>
    <n v="53"/>
    <n v="3"/>
    <x v="1"/>
    <x v="1"/>
    <x v="0"/>
    <s v="Single"/>
    <n v="2875"/>
    <n v="9973"/>
    <n v="1"/>
    <s v="Y"/>
    <s v="Yes"/>
    <n v="20"/>
    <n v="4"/>
    <n v="2"/>
    <n v="80"/>
    <n v="0"/>
    <n v="8"/>
    <n v="2"/>
    <n v="2"/>
    <x v="3"/>
    <n v="5"/>
    <n v="2"/>
    <n v="2"/>
    <x v="1"/>
    <n v="0"/>
    <n v="0"/>
    <x v="1"/>
    <n v="1"/>
    <m/>
    <m/>
  </r>
  <r>
    <n v="45"/>
    <x v="0"/>
    <s v="Travel_Rarely"/>
    <n v="1449"/>
    <s v="Sales"/>
    <n v="2"/>
    <n v="3"/>
    <s v="Marketing"/>
    <n v="1"/>
    <n v="1277"/>
    <n v="1"/>
    <x v="0"/>
    <n v="94"/>
    <n v="1"/>
    <x v="4"/>
    <x v="5"/>
    <x v="1"/>
    <s v="Single"/>
    <n v="18824"/>
    <n v="2493"/>
    <n v="2"/>
    <s v="Y"/>
    <s v="Yes"/>
    <n v="16"/>
    <n v="3"/>
    <n v="1"/>
    <n v="80"/>
    <n v="0"/>
    <n v="26"/>
    <n v="2"/>
    <n v="3"/>
    <x v="25"/>
    <n v="10"/>
    <n v="1"/>
    <n v="11"/>
    <x v="4"/>
    <n v="1"/>
    <n v="338832"/>
    <x v="3"/>
    <n v="1"/>
    <m/>
    <m/>
  </r>
  <r>
    <n v="55"/>
    <x v="1"/>
    <s v="Non-Travel"/>
    <n v="177"/>
    <s v="Research &amp; Development"/>
    <n v="8"/>
    <n v="1"/>
    <s v="Medical"/>
    <n v="1"/>
    <n v="1278"/>
    <n v="4"/>
    <x v="1"/>
    <n v="37"/>
    <n v="2"/>
    <x v="3"/>
    <x v="4"/>
    <x v="1"/>
    <s v="Divorced"/>
    <n v="13577"/>
    <n v="25592"/>
    <n v="1"/>
    <s v="Y"/>
    <s v="Yes"/>
    <n v="15"/>
    <n v="3"/>
    <n v="4"/>
    <n v="80"/>
    <n v="1"/>
    <n v="34"/>
    <n v="3"/>
    <n v="3"/>
    <x v="26"/>
    <n v="9"/>
    <n v="15"/>
    <n v="0"/>
    <x v="3"/>
    <n v="0"/>
    <n v="0"/>
    <x v="3"/>
    <n v="1"/>
    <m/>
    <m/>
  </r>
  <r>
    <n v="21"/>
    <x v="0"/>
    <s v="Travel_Frequently"/>
    <n v="251"/>
    <s v="Research &amp; Development"/>
    <n v="10"/>
    <n v="2"/>
    <s v="Life Sciences"/>
    <n v="1"/>
    <n v="1279"/>
    <n v="1"/>
    <x v="0"/>
    <n v="45"/>
    <n v="2"/>
    <x v="1"/>
    <x v="2"/>
    <x v="2"/>
    <s v="Single"/>
    <n v="2625"/>
    <n v="25308"/>
    <n v="1"/>
    <s v="Y"/>
    <s v="No"/>
    <n v="20"/>
    <n v="4"/>
    <n v="3"/>
    <n v="80"/>
    <n v="0"/>
    <n v="2"/>
    <n v="2"/>
    <n v="1"/>
    <x v="4"/>
    <n v="2"/>
    <n v="2"/>
    <n v="2"/>
    <x v="1"/>
    <n v="1"/>
    <n v="47250"/>
    <x v="1"/>
    <n v="1"/>
    <m/>
    <m/>
  </r>
  <r>
    <n v="46"/>
    <x v="1"/>
    <s v="Travel_Rarely"/>
    <n v="168"/>
    <s v="Sales"/>
    <n v="4"/>
    <n v="2"/>
    <s v="Marketing"/>
    <n v="1"/>
    <n v="1280"/>
    <n v="4"/>
    <x v="0"/>
    <n v="33"/>
    <n v="2"/>
    <x v="4"/>
    <x v="5"/>
    <x v="1"/>
    <s v="Married"/>
    <n v="18789"/>
    <n v="9946"/>
    <n v="2"/>
    <s v="Y"/>
    <s v="No"/>
    <n v="14"/>
    <n v="3"/>
    <n v="3"/>
    <n v="80"/>
    <n v="1"/>
    <n v="26"/>
    <n v="2"/>
    <n v="3"/>
    <x v="19"/>
    <n v="4"/>
    <n v="0"/>
    <n v="8"/>
    <x v="4"/>
    <n v="0"/>
    <n v="0"/>
    <x v="3"/>
    <n v="1"/>
    <m/>
    <m/>
  </r>
  <r>
    <n v="34"/>
    <x v="1"/>
    <s v="Travel_Rarely"/>
    <n v="131"/>
    <s v="Sales"/>
    <n v="2"/>
    <n v="3"/>
    <s v="Marketing"/>
    <n v="1"/>
    <n v="1281"/>
    <n v="3"/>
    <x v="0"/>
    <n v="86"/>
    <n v="3"/>
    <x v="0"/>
    <x v="0"/>
    <x v="3"/>
    <s v="Single"/>
    <n v="4538"/>
    <n v="6039"/>
    <n v="0"/>
    <s v="Y"/>
    <s v="Yes"/>
    <n v="12"/>
    <n v="3"/>
    <n v="4"/>
    <n v="80"/>
    <n v="0"/>
    <n v="4"/>
    <n v="3"/>
    <n v="3"/>
    <x v="11"/>
    <n v="2"/>
    <n v="0"/>
    <n v="2"/>
    <x v="0"/>
    <n v="0"/>
    <n v="0"/>
    <x v="0"/>
    <n v="1"/>
    <m/>
    <m/>
  </r>
  <r>
    <n v="51"/>
    <x v="1"/>
    <s v="Travel_Frequently"/>
    <n v="237"/>
    <s v="Sales"/>
    <n v="9"/>
    <n v="3"/>
    <s v="Life Sciences"/>
    <n v="1"/>
    <n v="1282"/>
    <n v="4"/>
    <x v="1"/>
    <n v="83"/>
    <n v="3"/>
    <x v="4"/>
    <x v="5"/>
    <x v="1"/>
    <s v="Divorced"/>
    <n v="19847"/>
    <n v="19196"/>
    <n v="4"/>
    <s v="Y"/>
    <s v="Yes"/>
    <n v="24"/>
    <n v="4"/>
    <n v="1"/>
    <n v="80"/>
    <n v="1"/>
    <n v="31"/>
    <n v="5"/>
    <n v="2"/>
    <x v="30"/>
    <n v="10"/>
    <n v="11"/>
    <n v="10"/>
    <x v="4"/>
    <n v="0"/>
    <n v="0"/>
    <x v="3"/>
    <n v="1"/>
    <m/>
    <m/>
  </r>
  <r>
    <n v="59"/>
    <x v="1"/>
    <s v="Travel_Rarely"/>
    <n v="1429"/>
    <s v="Research &amp; Development"/>
    <n v="18"/>
    <n v="4"/>
    <s v="Medical"/>
    <n v="1"/>
    <n v="1283"/>
    <n v="4"/>
    <x v="1"/>
    <n v="67"/>
    <n v="3"/>
    <x v="2"/>
    <x v="3"/>
    <x v="0"/>
    <s v="Single"/>
    <n v="10512"/>
    <n v="20002"/>
    <n v="6"/>
    <s v="Y"/>
    <s v="No"/>
    <n v="12"/>
    <n v="3"/>
    <n v="4"/>
    <n v="80"/>
    <n v="0"/>
    <n v="25"/>
    <n v="6"/>
    <n v="2"/>
    <x v="7"/>
    <n v="7"/>
    <n v="5"/>
    <n v="4"/>
    <x v="2"/>
    <n v="0"/>
    <n v="0"/>
    <x v="2"/>
    <n v="1"/>
    <m/>
    <m/>
  </r>
  <r>
    <n v="34"/>
    <x v="1"/>
    <s v="Travel_Frequently"/>
    <n v="135"/>
    <s v="Research &amp; Development"/>
    <n v="19"/>
    <n v="3"/>
    <s v="Medical"/>
    <n v="1"/>
    <n v="1285"/>
    <n v="3"/>
    <x v="0"/>
    <n v="46"/>
    <n v="3"/>
    <x v="0"/>
    <x v="2"/>
    <x v="1"/>
    <s v="Divorced"/>
    <n v="4444"/>
    <n v="22534"/>
    <n v="4"/>
    <s v="Y"/>
    <s v="No"/>
    <n v="13"/>
    <n v="3"/>
    <n v="3"/>
    <n v="80"/>
    <n v="2"/>
    <n v="15"/>
    <n v="2"/>
    <n v="4"/>
    <x v="19"/>
    <n v="8"/>
    <n v="5"/>
    <n v="10"/>
    <x v="1"/>
    <n v="0"/>
    <n v="0"/>
    <x v="0"/>
    <n v="1"/>
    <m/>
    <m/>
  </r>
  <r>
    <n v="28"/>
    <x v="1"/>
    <s v="Travel_Frequently"/>
    <n v="791"/>
    <s v="Research &amp; Development"/>
    <n v="1"/>
    <n v="4"/>
    <s v="Medical"/>
    <n v="1"/>
    <n v="1286"/>
    <n v="4"/>
    <x v="1"/>
    <n v="44"/>
    <n v="3"/>
    <x v="1"/>
    <x v="2"/>
    <x v="2"/>
    <s v="Single"/>
    <n v="2154"/>
    <n v="6842"/>
    <n v="0"/>
    <s v="Y"/>
    <s v="Yes"/>
    <n v="11"/>
    <n v="3"/>
    <n v="3"/>
    <n v="80"/>
    <n v="0"/>
    <n v="5"/>
    <n v="2"/>
    <n v="2"/>
    <x v="9"/>
    <n v="2"/>
    <n v="0"/>
    <n v="2"/>
    <x v="1"/>
    <n v="0"/>
    <n v="0"/>
    <x v="1"/>
    <n v="1"/>
    <m/>
    <m/>
  </r>
  <r>
    <n v="44"/>
    <x v="1"/>
    <s v="Travel_Rarely"/>
    <n v="1199"/>
    <s v="Research &amp; Development"/>
    <n v="4"/>
    <n v="2"/>
    <s v="Life Sciences"/>
    <n v="1"/>
    <n v="1288"/>
    <n v="3"/>
    <x v="1"/>
    <n v="92"/>
    <n v="4"/>
    <x v="4"/>
    <x v="5"/>
    <x v="3"/>
    <s v="Divorced"/>
    <n v="19190"/>
    <n v="17477"/>
    <n v="1"/>
    <s v="Y"/>
    <s v="No"/>
    <n v="14"/>
    <n v="3"/>
    <n v="4"/>
    <n v="80"/>
    <n v="2"/>
    <n v="26"/>
    <n v="4"/>
    <n v="2"/>
    <x v="10"/>
    <n v="9"/>
    <n v="14"/>
    <n v="13"/>
    <x v="4"/>
    <n v="0"/>
    <n v="0"/>
    <x v="3"/>
    <n v="1"/>
    <m/>
    <m/>
  </r>
  <r>
    <n v="34"/>
    <x v="1"/>
    <s v="Travel_Frequently"/>
    <n v="648"/>
    <s v="Human Resources"/>
    <n v="11"/>
    <n v="3"/>
    <s v="Life Sciences"/>
    <n v="1"/>
    <n v="1289"/>
    <n v="3"/>
    <x v="1"/>
    <n v="56"/>
    <n v="2"/>
    <x v="0"/>
    <x v="8"/>
    <x v="1"/>
    <s v="Married"/>
    <n v="4490"/>
    <n v="21833"/>
    <n v="4"/>
    <s v="Y"/>
    <s v="No"/>
    <n v="11"/>
    <n v="3"/>
    <n v="4"/>
    <n v="80"/>
    <n v="2"/>
    <n v="14"/>
    <n v="5"/>
    <n v="4"/>
    <x v="1"/>
    <n v="9"/>
    <n v="1"/>
    <n v="8"/>
    <x v="5"/>
    <n v="0"/>
    <n v="0"/>
    <x v="0"/>
    <n v="1"/>
    <m/>
    <m/>
  </r>
  <r>
    <n v="35"/>
    <x v="1"/>
    <s v="Travel_Rarely"/>
    <n v="735"/>
    <s v="Research &amp; Development"/>
    <n v="6"/>
    <n v="1"/>
    <s v="Life Sciences"/>
    <n v="1"/>
    <n v="1291"/>
    <n v="3"/>
    <x v="1"/>
    <n v="66"/>
    <n v="3"/>
    <x v="1"/>
    <x v="1"/>
    <x v="2"/>
    <s v="Married"/>
    <n v="3506"/>
    <n v="6020"/>
    <n v="0"/>
    <s v="Y"/>
    <s v="Yes"/>
    <n v="14"/>
    <n v="3"/>
    <n v="4"/>
    <n v="80"/>
    <n v="0"/>
    <n v="4"/>
    <n v="3"/>
    <n v="3"/>
    <x v="11"/>
    <n v="2"/>
    <n v="2"/>
    <n v="2"/>
    <x v="1"/>
    <n v="0"/>
    <n v="0"/>
    <x v="0"/>
    <n v="1"/>
    <m/>
    <m/>
  </r>
  <r>
    <n v="42"/>
    <x v="1"/>
    <s v="Travel_Rarely"/>
    <n v="603"/>
    <s v="Research &amp; Development"/>
    <n v="7"/>
    <n v="4"/>
    <s v="Medical"/>
    <n v="1"/>
    <n v="1292"/>
    <n v="2"/>
    <x v="0"/>
    <n v="78"/>
    <n v="4"/>
    <x v="0"/>
    <x v="1"/>
    <x v="1"/>
    <s v="Married"/>
    <n v="2372"/>
    <n v="5628"/>
    <n v="6"/>
    <s v="Y"/>
    <s v="Yes"/>
    <n v="16"/>
    <n v="3"/>
    <n v="4"/>
    <n v="80"/>
    <n v="0"/>
    <n v="18"/>
    <n v="2"/>
    <n v="3"/>
    <x v="6"/>
    <n v="0"/>
    <n v="0"/>
    <n v="0"/>
    <x v="1"/>
    <n v="0"/>
    <n v="0"/>
    <x v="1"/>
    <n v="1"/>
    <m/>
    <m/>
  </r>
  <r>
    <n v="43"/>
    <x v="1"/>
    <s v="Travel_Rarely"/>
    <n v="531"/>
    <s v="Sales"/>
    <n v="4"/>
    <n v="4"/>
    <s v="Marketing"/>
    <n v="1"/>
    <n v="1293"/>
    <n v="4"/>
    <x v="0"/>
    <n v="56"/>
    <n v="2"/>
    <x v="2"/>
    <x v="0"/>
    <x v="0"/>
    <s v="Single"/>
    <n v="10231"/>
    <n v="20364"/>
    <n v="3"/>
    <s v="Y"/>
    <s v="No"/>
    <n v="14"/>
    <n v="3"/>
    <n v="4"/>
    <n v="80"/>
    <n v="0"/>
    <n v="23"/>
    <n v="3"/>
    <n v="4"/>
    <x v="17"/>
    <n v="7"/>
    <n v="15"/>
    <n v="17"/>
    <x v="0"/>
    <n v="0"/>
    <n v="0"/>
    <x v="2"/>
    <n v="1"/>
    <m/>
    <m/>
  </r>
  <r>
    <n v="36"/>
    <x v="1"/>
    <s v="Travel_Rarely"/>
    <n v="429"/>
    <s v="Research &amp; Development"/>
    <n v="2"/>
    <n v="4"/>
    <s v="Life Sciences"/>
    <n v="1"/>
    <n v="1294"/>
    <n v="3"/>
    <x v="0"/>
    <n v="53"/>
    <n v="3"/>
    <x v="0"/>
    <x v="3"/>
    <x v="1"/>
    <s v="Single"/>
    <n v="5410"/>
    <n v="2323"/>
    <n v="9"/>
    <s v="Y"/>
    <s v="Yes"/>
    <n v="11"/>
    <n v="3"/>
    <n v="4"/>
    <n v="80"/>
    <n v="0"/>
    <n v="18"/>
    <n v="2"/>
    <n v="3"/>
    <x v="22"/>
    <n v="14"/>
    <n v="5"/>
    <n v="12"/>
    <x v="2"/>
    <n v="0"/>
    <n v="0"/>
    <x v="0"/>
    <n v="1"/>
    <m/>
    <m/>
  </r>
  <r>
    <n v="44"/>
    <x v="0"/>
    <s v="Travel_Rarely"/>
    <n v="621"/>
    <s v="Research &amp; Development"/>
    <n v="15"/>
    <n v="3"/>
    <s v="Medical"/>
    <n v="1"/>
    <n v="1295"/>
    <n v="1"/>
    <x v="0"/>
    <n v="73"/>
    <n v="3"/>
    <x v="2"/>
    <x v="4"/>
    <x v="0"/>
    <s v="Married"/>
    <n v="7978"/>
    <n v="14075"/>
    <n v="1"/>
    <s v="Y"/>
    <s v="No"/>
    <n v="11"/>
    <n v="3"/>
    <n v="4"/>
    <n v="80"/>
    <n v="1"/>
    <n v="10"/>
    <n v="2"/>
    <n v="3"/>
    <x v="1"/>
    <n v="7"/>
    <n v="0"/>
    <n v="5"/>
    <x v="3"/>
    <n v="1"/>
    <n v="143604"/>
    <x v="4"/>
    <n v="1"/>
    <m/>
    <m/>
  </r>
  <r>
    <n v="28"/>
    <x v="1"/>
    <s v="Travel_Frequently"/>
    <n v="193"/>
    <s v="Research &amp; Development"/>
    <n v="2"/>
    <n v="3"/>
    <s v="Life Sciences"/>
    <n v="1"/>
    <n v="1296"/>
    <n v="4"/>
    <x v="1"/>
    <n v="52"/>
    <n v="2"/>
    <x v="1"/>
    <x v="2"/>
    <x v="0"/>
    <s v="Married"/>
    <n v="3867"/>
    <n v="14222"/>
    <n v="1"/>
    <s v="Y"/>
    <s v="Yes"/>
    <n v="12"/>
    <n v="3"/>
    <n v="2"/>
    <n v="80"/>
    <n v="1"/>
    <n v="2"/>
    <n v="2"/>
    <n v="3"/>
    <x v="4"/>
    <n v="2"/>
    <n v="2"/>
    <n v="2"/>
    <x v="1"/>
    <n v="0"/>
    <n v="0"/>
    <x v="0"/>
    <n v="1"/>
    <m/>
    <m/>
  </r>
  <r>
    <n v="51"/>
    <x v="1"/>
    <s v="Travel_Frequently"/>
    <n v="968"/>
    <s v="Research &amp; Development"/>
    <n v="6"/>
    <n v="2"/>
    <s v="Medical"/>
    <n v="1"/>
    <n v="1297"/>
    <n v="2"/>
    <x v="0"/>
    <n v="40"/>
    <n v="2"/>
    <x v="1"/>
    <x v="2"/>
    <x v="2"/>
    <s v="Single"/>
    <n v="2838"/>
    <n v="4257"/>
    <n v="0"/>
    <s v="Y"/>
    <s v="No"/>
    <n v="14"/>
    <n v="3"/>
    <n v="2"/>
    <n v="80"/>
    <n v="0"/>
    <n v="8"/>
    <n v="6"/>
    <n v="2"/>
    <x v="5"/>
    <n v="0"/>
    <n v="7"/>
    <n v="7"/>
    <x v="1"/>
    <n v="0"/>
    <n v="0"/>
    <x v="1"/>
    <n v="1"/>
    <m/>
    <m/>
  </r>
  <r>
    <n v="30"/>
    <x v="1"/>
    <s v="Non-Travel"/>
    <n v="879"/>
    <s v="Research &amp; Development"/>
    <n v="9"/>
    <n v="2"/>
    <s v="Medical"/>
    <n v="1"/>
    <n v="1298"/>
    <n v="3"/>
    <x v="0"/>
    <n v="72"/>
    <n v="3"/>
    <x v="0"/>
    <x v="3"/>
    <x v="2"/>
    <s v="Single"/>
    <n v="4695"/>
    <n v="12858"/>
    <n v="7"/>
    <s v="Y"/>
    <s v="Yes"/>
    <n v="18"/>
    <n v="3"/>
    <n v="3"/>
    <n v="80"/>
    <n v="0"/>
    <n v="10"/>
    <n v="3"/>
    <n v="3"/>
    <x v="3"/>
    <n v="4"/>
    <n v="1"/>
    <n v="7"/>
    <x v="2"/>
    <n v="0"/>
    <n v="0"/>
    <x v="0"/>
    <n v="1"/>
    <m/>
    <m/>
  </r>
  <r>
    <n v="29"/>
    <x v="0"/>
    <s v="Travel_Rarely"/>
    <n v="806"/>
    <s v="Research &amp; Development"/>
    <n v="7"/>
    <n v="3"/>
    <s v="Technical Degree"/>
    <n v="1"/>
    <n v="1299"/>
    <n v="2"/>
    <x v="0"/>
    <n v="39"/>
    <n v="3"/>
    <x v="1"/>
    <x v="2"/>
    <x v="2"/>
    <s v="Divorced"/>
    <n v="3339"/>
    <n v="17285"/>
    <n v="3"/>
    <s v="Y"/>
    <s v="Yes"/>
    <n v="13"/>
    <n v="3"/>
    <n v="1"/>
    <n v="80"/>
    <n v="2"/>
    <n v="10"/>
    <n v="2"/>
    <n v="3"/>
    <x v="5"/>
    <n v="7"/>
    <n v="7"/>
    <n v="7"/>
    <x v="1"/>
    <n v="1"/>
    <n v="60102"/>
    <x v="0"/>
    <n v="1"/>
    <m/>
    <m/>
  </r>
  <r>
    <n v="28"/>
    <x v="1"/>
    <s v="Travel_Rarely"/>
    <n v="640"/>
    <s v="Research &amp; Development"/>
    <n v="1"/>
    <n v="3"/>
    <s v="Technical Degree"/>
    <n v="1"/>
    <n v="1301"/>
    <n v="4"/>
    <x v="1"/>
    <n v="84"/>
    <n v="3"/>
    <x v="1"/>
    <x v="1"/>
    <x v="3"/>
    <s v="Single"/>
    <n v="2080"/>
    <n v="4732"/>
    <n v="2"/>
    <s v="Y"/>
    <s v="No"/>
    <n v="11"/>
    <n v="3"/>
    <n v="2"/>
    <n v="80"/>
    <n v="0"/>
    <n v="5"/>
    <n v="2"/>
    <n v="2"/>
    <x v="11"/>
    <n v="2"/>
    <n v="1"/>
    <n v="2"/>
    <x v="1"/>
    <n v="0"/>
    <n v="0"/>
    <x v="1"/>
    <n v="1"/>
    <m/>
    <m/>
  </r>
  <r>
    <n v="25"/>
    <x v="1"/>
    <s v="Travel_Rarely"/>
    <n v="266"/>
    <s v="Research &amp; Development"/>
    <n v="1"/>
    <n v="3"/>
    <s v="Medical"/>
    <n v="1"/>
    <n v="1303"/>
    <n v="4"/>
    <x v="0"/>
    <n v="40"/>
    <n v="3"/>
    <x v="1"/>
    <x v="1"/>
    <x v="1"/>
    <s v="Single"/>
    <n v="2096"/>
    <n v="18830"/>
    <n v="1"/>
    <s v="Y"/>
    <s v="No"/>
    <n v="18"/>
    <n v="3"/>
    <n v="4"/>
    <n v="80"/>
    <n v="0"/>
    <n v="2"/>
    <n v="3"/>
    <n v="2"/>
    <x v="4"/>
    <n v="2"/>
    <n v="2"/>
    <n v="1"/>
    <x v="1"/>
    <n v="0"/>
    <n v="0"/>
    <x v="1"/>
    <n v="1"/>
    <m/>
    <m/>
  </r>
  <r>
    <n v="32"/>
    <x v="1"/>
    <s v="Travel_Rarely"/>
    <n v="604"/>
    <s v="Sales"/>
    <n v="8"/>
    <n v="3"/>
    <s v="Medical"/>
    <n v="1"/>
    <n v="1304"/>
    <n v="3"/>
    <x v="1"/>
    <n v="56"/>
    <n v="4"/>
    <x v="0"/>
    <x v="0"/>
    <x v="0"/>
    <s v="Married"/>
    <n v="6209"/>
    <n v="11693"/>
    <n v="1"/>
    <s v="Y"/>
    <s v="No"/>
    <n v="15"/>
    <n v="3"/>
    <n v="3"/>
    <n v="80"/>
    <n v="2"/>
    <n v="10"/>
    <n v="4"/>
    <n v="4"/>
    <x v="1"/>
    <n v="7"/>
    <n v="0"/>
    <n v="8"/>
    <x v="0"/>
    <n v="0"/>
    <n v="0"/>
    <x v="4"/>
    <n v="1"/>
    <m/>
    <m/>
  </r>
  <r>
    <n v="45"/>
    <x v="1"/>
    <s v="Travel_Frequently"/>
    <n v="364"/>
    <s v="Research &amp; Development"/>
    <n v="25"/>
    <n v="3"/>
    <s v="Medical"/>
    <n v="1"/>
    <n v="1306"/>
    <n v="2"/>
    <x v="0"/>
    <n v="83"/>
    <n v="3"/>
    <x v="4"/>
    <x v="5"/>
    <x v="1"/>
    <s v="Single"/>
    <n v="18061"/>
    <n v="13035"/>
    <n v="3"/>
    <s v="Y"/>
    <s v="No"/>
    <n v="22"/>
    <n v="4"/>
    <n v="3"/>
    <n v="80"/>
    <n v="0"/>
    <n v="22"/>
    <n v="4"/>
    <n v="3"/>
    <x v="2"/>
    <n v="0"/>
    <n v="0"/>
    <n v="0"/>
    <x v="4"/>
    <n v="0"/>
    <n v="0"/>
    <x v="3"/>
    <n v="1"/>
    <m/>
    <m/>
  </r>
  <r>
    <n v="39"/>
    <x v="1"/>
    <s v="Travel_Rarely"/>
    <n v="412"/>
    <s v="Research &amp; Development"/>
    <n v="13"/>
    <n v="4"/>
    <s v="Medical"/>
    <n v="1"/>
    <n v="1307"/>
    <n v="3"/>
    <x v="0"/>
    <n v="94"/>
    <n v="2"/>
    <x v="3"/>
    <x v="5"/>
    <x v="1"/>
    <s v="Divorced"/>
    <n v="17123"/>
    <n v="17334"/>
    <n v="6"/>
    <s v="Y"/>
    <s v="Yes"/>
    <n v="13"/>
    <n v="3"/>
    <n v="4"/>
    <n v="80"/>
    <n v="2"/>
    <n v="21"/>
    <n v="4"/>
    <n v="3"/>
    <x v="27"/>
    <n v="9"/>
    <n v="15"/>
    <n v="2"/>
    <x v="4"/>
    <n v="0"/>
    <n v="0"/>
    <x v="3"/>
    <n v="1"/>
    <m/>
    <m/>
  </r>
  <r>
    <n v="58"/>
    <x v="1"/>
    <s v="Travel_Rarely"/>
    <n v="848"/>
    <s v="Research &amp; Development"/>
    <n v="23"/>
    <n v="4"/>
    <s v="Life Sciences"/>
    <n v="1"/>
    <n v="1308"/>
    <n v="1"/>
    <x v="1"/>
    <n v="88"/>
    <n v="3"/>
    <x v="1"/>
    <x v="1"/>
    <x v="2"/>
    <s v="Divorced"/>
    <n v="2372"/>
    <n v="26076"/>
    <n v="1"/>
    <s v="Y"/>
    <s v="No"/>
    <n v="12"/>
    <n v="3"/>
    <n v="4"/>
    <n v="80"/>
    <n v="2"/>
    <n v="2"/>
    <n v="3"/>
    <n v="3"/>
    <x v="4"/>
    <n v="2"/>
    <n v="2"/>
    <n v="2"/>
    <x v="1"/>
    <n v="0"/>
    <n v="0"/>
    <x v="1"/>
    <n v="1"/>
    <m/>
    <m/>
  </r>
  <r>
    <n v="32"/>
    <x v="0"/>
    <s v="Travel_Rarely"/>
    <n v="1089"/>
    <s v="Research &amp; Development"/>
    <n v="7"/>
    <n v="2"/>
    <s v="Life Sciences"/>
    <n v="1"/>
    <n v="1309"/>
    <n v="4"/>
    <x v="1"/>
    <n v="79"/>
    <n v="3"/>
    <x v="0"/>
    <x v="2"/>
    <x v="2"/>
    <s v="Married"/>
    <n v="4883"/>
    <n v="22845"/>
    <n v="1"/>
    <s v="Y"/>
    <s v="No"/>
    <n v="18"/>
    <n v="3"/>
    <n v="1"/>
    <n v="80"/>
    <n v="1"/>
    <n v="10"/>
    <n v="3"/>
    <n v="3"/>
    <x v="1"/>
    <n v="4"/>
    <n v="1"/>
    <n v="1"/>
    <x v="1"/>
    <n v="1"/>
    <n v="87894"/>
    <x v="0"/>
    <n v="1"/>
    <m/>
    <m/>
  </r>
  <r>
    <n v="39"/>
    <x v="0"/>
    <s v="Travel_Rarely"/>
    <n v="360"/>
    <s v="Research &amp; Development"/>
    <n v="23"/>
    <n v="3"/>
    <s v="Medical"/>
    <n v="1"/>
    <n v="1310"/>
    <n v="3"/>
    <x v="1"/>
    <n v="93"/>
    <n v="3"/>
    <x v="1"/>
    <x v="1"/>
    <x v="3"/>
    <s v="Single"/>
    <n v="3904"/>
    <n v="22154"/>
    <n v="0"/>
    <s v="Y"/>
    <s v="No"/>
    <n v="13"/>
    <n v="3"/>
    <n v="1"/>
    <n v="80"/>
    <n v="0"/>
    <n v="6"/>
    <n v="2"/>
    <n v="3"/>
    <x v="8"/>
    <n v="2"/>
    <n v="0"/>
    <n v="3"/>
    <x v="1"/>
    <n v="1"/>
    <n v="70272"/>
    <x v="0"/>
    <n v="1"/>
    <m/>
    <m/>
  </r>
  <r>
    <n v="30"/>
    <x v="1"/>
    <s v="Travel_Rarely"/>
    <n v="1138"/>
    <s v="Research &amp; Development"/>
    <n v="6"/>
    <n v="3"/>
    <s v="Technical Degree"/>
    <n v="1"/>
    <n v="1311"/>
    <n v="1"/>
    <x v="0"/>
    <n v="48"/>
    <n v="2"/>
    <x v="0"/>
    <x v="2"/>
    <x v="0"/>
    <s v="Married"/>
    <n v="4627"/>
    <n v="23631"/>
    <n v="0"/>
    <s v="Y"/>
    <s v="No"/>
    <n v="12"/>
    <n v="3"/>
    <n v="1"/>
    <n v="80"/>
    <n v="1"/>
    <n v="10"/>
    <n v="6"/>
    <n v="3"/>
    <x v="7"/>
    <n v="2"/>
    <n v="6"/>
    <n v="7"/>
    <x v="1"/>
    <n v="0"/>
    <n v="0"/>
    <x v="0"/>
    <n v="1"/>
    <m/>
    <m/>
  </r>
  <r>
    <n v="36"/>
    <x v="1"/>
    <s v="Travel_Rarely"/>
    <n v="325"/>
    <s v="Research &amp; Development"/>
    <n v="10"/>
    <n v="4"/>
    <s v="Technical Degree"/>
    <n v="1"/>
    <n v="1312"/>
    <n v="4"/>
    <x v="0"/>
    <n v="63"/>
    <n v="3"/>
    <x v="2"/>
    <x v="4"/>
    <x v="2"/>
    <s v="Married"/>
    <n v="7094"/>
    <n v="5747"/>
    <n v="3"/>
    <s v="Y"/>
    <s v="No"/>
    <n v="12"/>
    <n v="3"/>
    <n v="1"/>
    <n v="80"/>
    <n v="0"/>
    <n v="10"/>
    <n v="0"/>
    <n v="3"/>
    <x v="5"/>
    <n v="7"/>
    <n v="1"/>
    <n v="7"/>
    <x v="3"/>
    <n v="0"/>
    <n v="0"/>
    <x v="4"/>
    <n v="1"/>
    <m/>
    <m/>
  </r>
  <r>
    <n v="46"/>
    <x v="1"/>
    <s v="Travel_Rarely"/>
    <n v="991"/>
    <s v="Human Resources"/>
    <n v="1"/>
    <n v="2"/>
    <s v="Life Sciences"/>
    <n v="1"/>
    <n v="1314"/>
    <n v="4"/>
    <x v="0"/>
    <n v="44"/>
    <n v="3"/>
    <x v="1"/>
    <x v="8"/>
    <x v="3"/>
    <s v="Single"/>
    <n v="3423"/>
    <n v="22957"/>
    <n v="6"/>
    <s v="Y"/>
    <s v="No"/>
    <n v="12"/>
    <n v="3"/>
    <n v="3"/>
    <n v="80"/>
    <n v="0"/>
    <n v="10"/>
    <n v="3"/>
    <n v="4"/>
    <x v="5"/>
    <n v="6"/>
    <n v="5"/>
    <n v="7"/>
    <x v="5"/>
    <n v="0"/>
    <n v="0"/>
    <x v="0"/>
    <n v="1"/>
    <m/>
    <m/>
  </r>
  <r>
    <n v="28"/>
    <x v="1"/>
    <s v="Non-Travel"/>
    <n v="1476"/>
    <s v="Research &amp; Development"/>
    <n v="1"/>
    <n v="3"/>
    <s v="Life Sciences"/>
    <n v="1"/>
    <n v="1315"/>
    <n v="3"/>
    <x v="0"/>
    <n v="55"/>
    <n v="1"/>
    <x v="0"/>
    <x v="2"/>
    <x v="0"/>
    <s v="Married"/>
    <n v="6674"/>
    <n v="16392"/>
    <n v="0"/>
    <s v="Y"/>
    <s v="No"/>
    <n v="11"/>
    <n v="3"/>
    <n v="1"/>
    <n v="80"/>
    <n v="3"/>
    <n v="10"/>
    <n v="6"/>
    <n v="3"/>
    <x v="7"/>
    <n v="8"/>
    <n v="7"/>
    <n v="5"/>
    <x v="1"/>
    <n v="0"/>
    <n v="0"/>
    <x v="4"/>
    <n v="1"/>
    <m/>
    <m/>
  </r>
  <r>
    <n v="50"/>
    <x v="1"/>
    <s v="Travel_Rarely"/>
    <n v="1322"/>
    <s v="Research &amp; Development"/>
    <n v="28"/>
    <n v="3"/>
    <s v="Life Sciences"/>
    <n v="1"/>
    <n v="1317"/>
    <n v="4"/>
    <x v="0"/>
    <n v="43"/>
    <n v="3"/>
    <x v="3"/>
    <x v="7"/>
    <x v="3"/>
    <s v="Married"/>
    <n v="16880"/>
    <n v="22422"/>
    <n v="4"/>
    <s v="Y"/>
    <s v="Yes"/>
    <n v="11"/>
    <n v="3"/>
    <n v="2"/>
    <n v="80"/>
    <n v="0"/>
    <n v="25"/>
    <n v="2"/>
    <n v="3"/>
    <x v="11"/>
    <n v="2"/>
    <n v="1"/>
    <n v="2"/>
    <x v="1"/>
    <n v="0"/>
    <n v="0"/>
    <x v="3"/>
    <n v="1"/>
    <m/>
    <m/>
  </r>
  <r>
    <n v="40"/>
    <x v="0"/>
    <s v="Travel_Rarely"/>
    <n v="299"/>
    <s v="Sales"/>
    <n v="25"/>
    <n v="4"/>
    <s v="Marketing"/>
    <n v="1"/>
    <n v="1318"/>
    <n v="4"/>
    <x v="1"/>
    <n v="57"/>
    <n v="2"/>
    <x v="2"/>
    <x v="0"/>
    <x v="1"/>
    <s v="Single"/>
    <n v="9094"/>
    <n v="17235"/>
    <n v="2"/>
    <s v="Y"/>
    <s v="Yes"/>
    <n v="12"/>
    <n v="3"/>
    <n v="3"/>
    <n v="80"/>
    <n v="0"/>
    <n v="9"/>
    <n v="2"/>
    <n v="3"/>
    <x v="8"/>
    <n v="4"/>
    <n v="1"/>
    <n v="0"/>
    <x v="0"/>
    <n v="1"/>
    <n v="163692"/>
    <x v="2"/>
    <n v="1"/>
    <m/>
    <m/>
  </r>
  <r>
    <n v="52"/>
    <x v="0"/>
    <s v="Travel_Rarely"/>
    <n v="1030"/>
    <s v="Sales"/>
    <n v="5"/>
    <n v="3"/>
    <s v="Life Sciences"/>
    <n v="1"/>
    <n v="1319"/>
    <n v="2"/>
    <x v="1"/>
    <n v="64"/>
    <n v="3"/>
    <x v="2"/>
    <x v="0"/>
    <x v="1"/>
    <s v="Single"/>
    <n v="8446"/>
    <n v="21534"/>
    <n v="9"/>
    <s v="Y"/>
    <s v="Yes"/>
    <n v="19"/>
    <n v="3"/>
    <n v="3"/>
    <n v="80"/>
    <n v="0"/>
    <n v="10"/>
    <n v="2"/>
    <n v="2"/>
    <x v="3"/>
    <n v="7"/>
    <n v="7"/>
    <n v="7"/>
    <x v="0"/>
    <n v="1"/>
    <n v="152028"/>
    <x v="4"/>
    <n v="1"/>
    <m/>
    <m/>
  </r>
  <r>
    <n v="30"/>
    <x v="1"/>
    <s v="Travel_Rarely"/>
    <n v="634"/>
    <s v="Research &amp; Development"/>
    <n v="17"/>
    <n v="4"/>
    <s v="Medical"/>
    <n v="1"/>
    <n v="1321"/>
    <n v="2"/>
    <x v="0"/>
    <n v="95"/>
    <n v="3"/>
    <x v="2"/>
    <x v="5"/>
    <x v="3"/>
    <s v="Married"/>
    <n v="11916"/>
    <n v="25927"/>
    <n v="1"/>
    <s v="Y"/>
    <s v="Yes"/>
    <n v="23"/>
    <n v="4"/>
    <n v="4"/>
    <n v="80"/>
    <n v="2"/>
    <n v="9"/>
    <n v="2"/>
    <n v="3"/>
    <x v="7"/>
    <n v="1"/>
    <n v="0"/>
    <n v="8"/>
    <x v="4"/>
    <n v="0"/>
    <n v="0"/>
    <x v="2"/>
    <n v="1"/>
    <m/>
    <m/>
  </r>
  <r>
    <n v="39"/>
    <x v="1"/>
    <s v="Travel_Rarely"/>
    <n v="524"/>
    <s v="Research &amp; Development"/>
    <n v="18"/>
    <n v="2"/>
    <s v="Life Sciences"/>
    <n v="1"/>
    <n v="1322"/>
    <n v="1"/>
    <x v="1"/>
    <n v="32"/>
    <n v="3"/>
    <x v="0"/>
    <x v="3"/>
    <x v="2"/>
    <s v="Single"/>
    <n v="4534"/>
    <n v="13352"/>
    <n v="0"/>
    <s v="Y"/>
    <s v="No"/>
    <n v="11"/>
    <n v="3"/>
    <n v="1"/>
    <n v="80"/>
    <n v="0"/>
    <n v="9"/>
    <n v="6"/>
    <n v="3"/>
    <x v="3"/>
    <n v="7"/>
    <n v="1"/>
    <n v="7"/>
    <x v="2"/>
    <n v="0"/>
    <n v="0"/>
    <x v="0"/>
    <n v="1"/>
    <m/>
    <m/>
  </r>
  <r>
    <n v="31"/>
    <x v="1"/>
    <s v="Non-Travel"/>
    <n v="587"/>
    <s v="Sales"/>
    <n v="2"/>
    <n v="4"/>
    <s v="Life Sciences"/>
    <n v="1"/>
    <n v="1324"/>
    <n v="4"/>
    <x v="0"/>
    <n v="57"/>
    <n v="3"/>
    <x v="2"/>
    <x v="0"/>
    <x v="2"/>
    <s v="Divorced"/>
    <n v="9852"/>
    <n v="8935"/>
    <n v="1"/>
    <s v="Y"/>
    <s v="Yes"/>
    <n v="19"/>
    <n v="3"/>
    <n v="1"/>
    <n v="80"/>
    <n v="1"/>
    <n v="10"/>
    <n v="5"/>
    <n v="2"/>
    <x v="1"/>
    <n v="8"/>
    <n v="9"/>
    <n v="6"/>
    <x v="0"/>
    <n v="0"/>
    <n v="0"/>
    <x v="2"/>
    <n v="1"/>
    <m/>
    <m/>
  </r>
  <r>
    <n v="41"/>
    <x v="1"/>
    <s v="Non-Travel"/>
    <n v="256"/>
    <s v="Sales"/>
    <n v="10"/>
    <n v="2"/>
    <s v="Medical"/>
    <n v="1"/>
    <n v="1329"/>
    <n v="3"/>
    <x v="1"/>
    <n v="40"/>
    <n v="1"/>
    <x v="0"/>
    <x v="0"/>
    <x v="1"/>
    <s v="Single"/>
    <n v="6151"/>
    <n v="22074"/>
    <n v="1"/>
    <s v="Y"/>
    <s v="No"/>
    <n v="13"/>
    <n v="3"/>
    <n v="1"/>
    <n v="80"/>
    <n v="0"/>
    <n v="19"/>
    <n v="4"/>
    <n v="3"/>
    <x v="27"/>
    <n v="2"/>
    <n v="11"/>
    <n v="9"/>
    <x v="0"/>
    <n v="0"/>
    <n v="0"/>
    <x v="4"/>
    <n v="1"/>
    <m/>
    <m/>
  </r>
  <r>
    <n v="31"/>
    <x v="0"/>
    <s v="Travel_Frequently"/>
    <n v="1060"/>
    <s v="Sales"/>
    <n v="1"/>
    <n v="3"/>
    <s v="Life Sciences"/>
    <n v="1"/>
    <n v="1331"/>
    <n v="4"/>
    <x v="0"/>
    <n v="54"/>
    <n v="3"/>
    <x v="1"/>
    <x v="6"/>
    <x v="1"/>
    <s v="Single"/>
    <n v="2302"/>
    <n v="8319"/>
    <n v="1"/>
    <s v="Y"/>
    <s v="Yes"/>
    <n v="11"/>
    <n v="3"/>
    <n v="1"/>
    <n v="80"/>
    <n v="0"/>
    <n v="3"/>
    <n v="2"/>
    <n v="4"/>
    <x v="11"/>
    <n v="2"/>
    <n v="2"/>
    <n v="2"/>
    <x v="0"/>
    <n v="1"/>
    <n v="41436"/>
    <x v="1"/>
    <n v="1"/>
    <m/>
    <m/>
  </r>
  <r>
    <n v="44"/>
    <x v="0"/>
    <s v="Travel_Rarely"/>
    <n v="935"/>
    <s v="Research &amp; Development"/>
    <n v="3"/>
    <n v="3"/>
    <s v="Life Sciences"/>
    <n v="1"/>
    <n v="1333"/>
    <n v="1"/>
    <x v="1"/>
    <n v="89"/>
    <n v="3"/>
    <x v="1"/>
    <x v="2"/>
    <x v="3"/>
    <s v="Married"/>
    <n v="2362"/>
    <n v="14669"/>
    <n v="4"/>
    <s v="Y"/>
    <s v="No"/>
    <n v="12"/>
    <n v="3"/>
    <n v="3"/>
    <n v="80"/>
    <n v="0"/>
    <n v="10"/>
    <n v="4"/>
    <n v="4"/>
    <x v="11"/>
    <n v="2"/>
    <n v="1"/>
    <n v="2"/>
    <x v="1"/>
    <n v="1"/>
    <n v="42516"/>
    <x v="1"/>
    <n v="1"/>
    <m/>
    <m/>
  </r>
  <r>
    <n v="42"/>
    <x v="1"/>
    <s v="Non-Travel"/>
    <n v="495"/>
    <s v="Research &amp; Development"/>
    <n v="2"/>
    <n v="1"/>
    <s v="Life Sciences"/>
    <n v="1"/>
    <n v="1334"/>
    <n v="3"/>
    <x v="1"/>
    <n v="37"/>
    <n v="3"/>
    <x v="3"/>
    <x v="5"/>
    <x v="2"/>
    <s v="Married"/>
    <n v="17861"/>
    <n v="26582"/>
    <n v="0"/>
    <s v="Y"/>
    <s v="Yes"/>
    <n v="13"/>
    <n v="3"/>
    <n v="4"/>
    <n v="80"/>
    <n v="0"/>
    <n v="21"/>
    <n v="3"/>
    <n v="2"/>
    <x v="23"/>
    <n v="8"/>
    <n v="2"/>
    <n v="10"/>
    <x v="4"/>
    <n v="0"/>
    <n v="0"/>
    <x v="3"/>
    <n v="1"/>
    <m/>
    <m/>
  </r>
  <r>
    <n v="55"/>
    <x v="1"/>
    <s v="Travel_Rarely"/>
    <n v="282"/>
    <s v="Research &amp; Development"/>
    <n v="2"/>
    <n v="2"/>
    <s v="Medical"/>
    <n v="1"/>
    <n v="1336"/>
    <n v="4"/>
    <x v="0"/>
    <n v="58"/>
    <n v="1"/>
    <x v="4"/>
    <x v="5"/>
    <x v="2"/>
    <s v="Married"/>
    <n v="19187"/>
    <n v="6992"/>
    <n v="4"/>
    <s v="Y"/>
    <s v="No"/>
    <n v="14"/>
    <n v="3"/>
    <n v="4"/>
    <n v="80"/>
    <n v="1"/>
    <n v="23"/>
    <n v="5"/>
    <n v="3"/>
    <x v="27"/>
    <n v="9"/>
    <n v="9"/>
    <n v="11"/>
    <x v="4"/>
    <n v="0"/>
    <n v="0"/>
    <x v="3"/>
    <n v="1"/>
    <m/>
    <m/>
  </r>
  <r>
    <n v="56"/>
    <x v="1"/>
    <s v="Travel_Rarely"/>
    <n v="206"/>
    <s v="Human Resources"/>
    <n v="8"/>
    <n v="4"/>
    <s v="Life Sciences"/>
    <n v="1"/>
    <n v="1338"/>
    <n v="4"/>
    <x v="1"/>
    <n v="99"/>
    <n v="3"/>
    <x v="4"/>
    <x v="5"/>
    <x v="1"/>
    <s v="Single"/>
    <n v="19717"/>
    <n v="4022"/>
    <n v="6"/>
    <s v="Y"/>
    <s v="No"/>
    <n v="14"/>
    <n v="3"/>
    <n v="1"/>
    <n v="80"/>
    <n v="0"/>
    <n v="36"/>
    <n v="4"/>
    <n v="3"/>
    <x v="5"/>
    <n v="3"/>
    <n v="7"/>
    <n v="7"/>
    <x v="4"/>
    <n v="0"/>
    <n v="0"/>
    <x v="3"/>
    <n v="1"/>
    <m/>
    <m/>
  </r>
  <r>
    <n v="40"/>
    <x v="1"/>
    <s v="Non-Travel"/>
    <n v="458"/>
    <s v="Research &amp; Development"/>
    <n v="16"/>
    <n v="2"/>
    <s v="Life Sciences"/>
    <n v="1"/>
    <n v="1340"/>
    <n v="3"/>
    <x v="1"/>
    <n v="74"/>
    <n v="3"/>
    <x v="1"/>
    <x v="1"/>
    <x v="2"/>
    <s v="Divorced"/>
    <n v="3544"/>
    <n v="8532"/>
    <n v="9"/>
    <s v="Y"/>
    <s v="No"/>
    <n v="16"/>
    <n v="3"/>
    <n v="2"/>
    <n v="80"/>
    <n v="1"/>
    <n v="6"/>
    <n v="0"/>
    <n v="3"/>
    <x v="9"/>
    <n v="2"/>
    <n v="0"/>
    <n v="0"/>
    <x v="1"/>
    <n v="0"/>
    <n v="0"/>
    <x v="0"/>
    <n v="1"/>
    <m/>
    <m/>
  </r>
  <r>
    <n v="34"/>
    <x v="1"/>
    <s v="Travel_Rarely"/>
    <n v="943"/>
    <s v="Research &amp; Development"/>
    <n v="9"/>
    <n v="3"/>
    <s v="Life Sciences"/>
    <n v="1"/>
    <n v="1344"/>
    <n v="4"/>
    <x v="1"/>
    <n v="86"/>
    <n v="3"/>
    <x v="2"/>
    <x v="4"/>
    <x v="0"/>
    <s v="Divorced"/>
    <n v="8500"/>
    <n v="5494"/>
    <n v="0"/>
    <s v="Y"/>
    <s v="No"/>
    <n v="11"/>
    <n v="3"/>
    <n v="4"/>
    <n v="80"/>
    <n v="1"/>
    <n v="10"/>
    <n v="0"/>
    <n v="2"/>
    <x v="7"/>
    <n v="7"/>
    <n v="1"/>
    <n v="6"/>
    <x v="3"/>
    <n v="0"/>
    <n v="0"/>
    <x v="4"/>
    <n v="1"/>
    <m/>
    <m/>
  </r>
  <r>
    <n v="40"/>
    <x v="1"/>
    <s v="Travel_Rarely"/>
    <n v="523"/>
    <s v="Research &amp; Development"/>
    <n v="2"/>
    <n v="3"/>
    <s v="Life Sciences"/>
    <n v="1"/>
    <n v="1346"/>
    <n v="3"/>
    <x v="1"/>
    <n v="98"/>
    <n v="3"/>
    <x v="0"/>
    <x v="1"/>
    <x v="0"/>
    <s v="Single"/>
    <n v="4661"/>
    <n v="22455"/>
    <n v="1"/>
    <s v="Y"/>
    <s v="No"/>
    <n v="13"/>
    <n v="3"/>
    <n v="3"/>
    <n v="80"/>
    <n v="0"/>
    <n v="9"/>
    <n v="4"/>
    <n v="3"/>
    <x v="7"/>
    <n v="8"/>
    <n v="8"/>
    <n v="8"/>
    <x v="1"/>
    <n v="0"/>
    <n v="0"/>
    <x v="0"/>
    <n v="1"/>
    <m/>
    <m/>
  </r>
  <r>
    <n v="41"/>
    <x v="1"/>
    <s v="Travel_Frequently"/>
    <n v="1018"/>
    <s v="Sales"/>
    <n v="1"/>
    <n v="3"/>
    <s v="Marketing"/>
    <n v="1"/>
    <n v="1349"/>
    <n v="3"/>
    <x v="0"/>
    <n v="66"/>
    <n v="3"/>
    <x v="0"/>
    <x v="0"/>
    <x v="3"/>
    <s v="Divorced"/>
    <n v="4103"/>
    <n v="4297"/>
    <n v="0"/>
    <s v="Y"/>
    <s v="No"/>
    <n v="17"/>
    <n v="3"/>
    <n v="4"/>
    <n v="80"/>
    <n v="1"/>
    <n v="10"/>
    <n v="2"/>
    <n v="3"/>
    <x v="7"/>
    <n v="3"/>
    <n v="1"/>
    <n v="7"/>
    <x v="0"/>
    <n v="0"/>
    <n v="0"/>
    <x v="0"/>
    <n v="1"/>
    <m/>
    <m/>
  </r>
  <r>
    <n v="35"/>
    <x v="1"/>
    <s v="Travel_Frequently"/>
    <n v="482"/>
    <s v="Research &amp; Development"/>
    <n v="4"/>
    <n v="4"/>
    <s v="Life Sciences"/>
    <n v="1"/>
    <n v="1350"/>
    <n v="3"/>
    <x v="1"/>
    <n v="87"/>
    <n v="3"/>
    <x v="0"/>
    <x v="1"/>
    <x v="2"/>
    <s v="Single"/>
    <n v="4249"/>
    <n v="2690"/>
    <n v="1"/>
    <s v="Y"/>
    <s v="Yes"/>
    <n v="11"/>
    <n v="3"/>
    <n v="2"/>
    <n v="80"/>
    <n v="0"/>
    <n v="9"/>
    <n v="3"/>
    <n v="3"/>
    <x v="7"/>
    <n v="6"/>
    <n v="1"/>
    <n v="1"/>
    <x v="1"/>
    <n v="0"/>
    <n v="0"/>
    <x v="0"/>
    <n v="1"/>
    <m/>
    <m/>
  </r>
  <r>
    <n v="51"/>
    <x v="1"/>
    <s v="Travel_Rarely"/>
    <n v="770"/>
    <s v="Human Resources"/>
    <n v="5"/>
    <n v="3"/>
    <s v="Life Sciences"/>
    <n v="1"/>
    <n v="1352"/>
    <n v="3"/>
    <x v="1"/>
    <n v="84"/>
    <n v="3"/>
    <x v="3"/>
    <x v="5"/>
    <x v="1"/>
    <s v="Divorced"/>
    <n v="14026"/>
    <n v="17588"/>
    <n v="1"/>
    <s v="Y"/>
    <s v="Yes"/>
    <n v="11"/>
    <n v="3"/>
    <n v="2"/>
    <n v="80"/>
    <n v="1"/>
    <n v="33"/>
    <n v="2"/>
    <n v="3"/>
    <x v="26"/>
    <n v="9"/>
    <n v="0"/>
    <n v="10"/>
    <x v="4"/>
    <n v="0"/>
    <n v="0"/>
    <x v="3"/>
    <n v="1"/>
    <m/>
    <m/>
  </r>
  <r>
    <n v="38"/>
    <x v="1"/>
    <s v="Travel_Rarely"/>
    <n v="1009"/>
    <s v="Sales"/>
    <n v="2"/>
    <n v="2"/>
    <s v="Life Sciences"/>
    <n v="1"/>
    <n v="1355"/>
    <n v="2"/>
    <x v="0"/>
    <n v="31"/>
    <n v="3"/>
    <x v="0"/>
    <x v="0"/>
    <x v="3"/>
    <s v="Divorced"/>
    <n v="6893"/>
    <n v="19461"/>
    <n v="3"/>
    <s v="Y"/>
    <s v="No"/>
    <n v="15"/>
    <n v="3"/>
    <n v="4"/>
    <n v="80"/>
    <n v="1"/>
    <n v="11"/>
    <n v="3"/>
    <n v="3"/>
    <x v="5"/>
    <n v="7"/>
    <n v="1"/>
    <n v="7"/>
    <x v="0"/>
    <n v="0"/>
    <n v="0"/>
    <x v="4"/>
    <n v="1"/>
    <m/>
    <m/>
  </r>
  <r>
    <n v="34"/>
    <x v="1"/>
    <s v="Travel_Rarely"/>
    <n v="507"/>
    <s v="Sales"/>
    <n v="15"/>
    <n v="2"/>
    <s v="Medical"/>
    <n v="1"/>
    <n v="1356"/>
    <n v="3"/>
    <x v="0"/>
    <n v="66"/>
    <n v="3"/>
    <x v="0"/>
    <x v="0"/>
    <x v="3"/>
    <s v="Single"/>
    <n v="6125"/>
    <n v="23553"/>
    <n v="1"/>
    <s v="Y"/>
    <s v="No"/>
    <n v="12"/>
    <n v="3"/>
    <n v="4"/>
    <n v="80"/>
    <n v="0"/>
    <n v="10"/>
    <n v="6"/>
    <n v="4"/>
    <x v="1"/>
    <n v="8"/>
    <n v="9"/>
    <n v="6"/>
    <x v="0"/>
    <n v="0"/>
    <n v="0"/>
    <x v="4"/>
    <n v="1"/>
    <m/>
    <m/>
  </r>
  <r>
    <n v="25"/>
    <x v="1"/>
    <s v="Travel_Rarely"/>
    <n v="882"/>
    <s v="Research &amp; Development"/>
    <n v="19"/>
    <n v="1"/>
    <s v="Medical"/>
    <n v="1"/>
    <n v="1358"/>
    <n v="4"/>
    <x v="1"/>
    <n v="67"/>
    <n v="3"/>
    <x v="1"/>
    <x v="2"/>
    <x v="0"/>
    <s v="Married"/>
    <n v="3669"/>
    <n v="9075"/>
    <n v="3"/>
    <s v="Y"/>
    <s v="No"/>
    <n v="11"/>
    <n v="3"/>
    <n v="3"/>
    <n v="80"/>
    <n v="3"/>
    <n v="7"/>
    <n v="6"/>
    <n v="2"/>
    <x v="11"/>
    <n v="2"/>
    <n v="1"/>
    <n v="2"/>
    <x v="1"/>
    <n v="0"/>
    <n v="0"/>
    <x v="0"/>
    <n v="1"/>
    <m/>
    <m/>
  </r>
  <r>
    <n v="58"/>
    <x v="0"/>
    <s v="Travel_Rarely"/>
    <n v="601"/>
    <s v="Research &amp; Development"/>
    <n v="7"/>
    <n v="4"/>
    <s v="Medical"/>
    <n v="1"/>
    <n v="1360"/>
    <n v="3"/>
    <x v="0"/>
    <n v="53"/>
    <n v="2"/>
    <x v="2"/>
    <x v="3"/>
    <x v="3"/>
    <s v="Married"/>
    <n v="10008"/>
    <n v="12023"/>
    <n v="7"/>
    <s v="Y"/>
    <s v="Yes"/>
    <n v="14"/>
    <n v="3"/>
    <n v="4"/>
    <n v="80"/>
    <n v="0"/>
    <n v="31"/>
    <n v="0"/>
    <n v="2"/>
    <x v="1"/>
    <n v="9"/>
    <n v="5"/>
    <n v="9"/>
    <x v="2"/>
    <n v="1"/>
    <n v="180144"/>
    <x v="2"/>
    <n v="1"/>
    <m/>
    <m/>
  </r>
  <r>
    <n v="40"/>
    <x v="1"/>
    <s v="Travel_Rarely"/>
    <n v="329"/>
    <s v="Research &amp; Development"/>
    <n v="1"/>
    <n v="4"/>
    <s v="Life Sciences"/>
    <n v="1"/>
    <n v="1361"/>
    <n v="2"/>
    <x v="1"/>
    <n v="88"/>
    <n v="3"/>
    <x v="1"/>
    <x v="2"/>
    <x v="1"/>
    <s v="Married"/>
    <n v="2387"/>
    <n v="6762"/>
    <n v="3"/>
    <s v="Y"/>
    <s v="No"/>
    <n v="22"/>
    <n v="4"/>
    <n v="3"/>
    <n v="80"/>
    <n v="1"/>
    <n v="7"/>
    <n v="3"/>
    <n v="3"/>
    <x v="9"/>
    <n v="2"/>
    <n v="0"/>
    <n v="3"/>
    <x v="1"/>
    <n v="0"/>
    <n v="0"/>
    <x v="1"/>
    <n v="1"/>
    <m/>
    <m/>
  </r>
  <r>
    <n v="36"/>
    <x v="1"/>
    <s v="Travel_Frequently"/>
    <n v="607"/>
    <s v="Sales"/>
    <n v="7"/>
    <n v="3"/>
    <s v="Marketing"/>
    <n v="1"/>
    <n v="1362"/>
    <n v="1"/>
    <x v="0"/>
    <n v="83"/>
    <n v="4"/>
    <x v="0"/>
    <x v="0"/>
    <x v="3"/>
    <s v="Married"/>
    <n v="4639"/>
    <n v="2261"/>
    <n v="2"/>
    <s v="Y"/>
    <s v="No"/>
    <n v="16"/>
    <n v="3"/>
    <n v="4"/>
    <n v="80"/>
    <n v="1"/>
    <n v="17"/>
    <n v="2"/>
    <n v="2"/>
    <x v="15"/>
    <n v="7"/>
    <n v="6"/>
    <n v="13"/>
    <x v="0"/>
    <n v="0"/>
    <n v="0"/>
    <x v="0"/>
    <n v="1"/>
    <m/>
    <m/>
  </r>
  <r>
    <n v="48"/>
    <x v="1"/>
    <s v="Travel_Rarely"/>
    <n v="855"/>
    <s v="Research &amp; Development"/>
    <n v="4"/>
    <n v="3"/>
    <s v="Life Sciences"/>
    <n v="1"/>
    <n v="1363"/>
    <n v="4"/>
    <x v="1"/>
    <n v="54"/>
    <n v="3"/>
    <x v="2"/>
    <x v="3"/>
    <x v="0"/>
    <s v="Single"/>
    <n v="7898"/>
    <n v="18706"/>
    <n v="1"/>
    <s v="Y"/>
    <s v="No"/>
    <n v="11"/>
    <n v="3"/>
    <n v="3"/>
    <n v="80"/>
    <n v="0"/>
    <n v="11"/>
    <n v="2"/>
    <n v="3"/>
    <x v="1"/>
    <n v="9"/>
    <n v="0"/>
    <n v="8"/>
    <x v="2"/>
    <n v="0"/>
    <n v="0"/>
    <x v="4"/>
    <n v="1"/>
    <m/>
    <m/>
  </r>
  <r>
    <n v="27"/>
    <x v="1"/>
    <s v="Travel_Rarely"/>
    <n v="1291"/>
    <s v="Sales"/>
    <n v="11"/>
    <n v="3"/>
    <s v="Medical"/>
    <n v="1"/>
    <n v="1364"/>
    <n v="3"/>
    <x v="0"/>
    <n v="98"/>
    <n v="4"/>
    <x v="1"/>
    <x v="6"/>
    <x v="0"/>
    <s v="Married"/>
    <n v="2534"/>
    <n v="6527"/>
    <n v="8"/>
    <s v="Y"/>
    <s v="No"/>
    <n v="14"/>
    <n v="3"/>
    <n v="2"/>
    <n v="80"/>
    <n v="1"/>
    <n v="5"/>
    <n v="4"/>
    <n v="3"/>
    <x v="6"/>
    <n v="0"/>
    <n v="0"/>
    <n v="0"/>
    <x v="0"/>
    <n v="0"/>
    <n v="0"/>
    <x v="1"/>
    <n v="1"/>
    <m/>
    <m/>
  </r>
  <r>
    <n v="51"/>
    <x v="1"/>
    <s v="Travel_Rarely"/>
    <n v="1405"/>
    <s v="Research &amp; Development"/>
    <n v="11"/>
    <n v="2"/>
    <s v="Technical Degree"/>
    <n v="1"/>
    <n v="1367"/>
    <n v="4"/>
    <x v="0"/>
    <n v="82"/>
    <n v="2"/>
    <x v="3"/>
    <x v="3"/>
    <x v="1"/>
    <s v="Single"/>
    <n v="13142"/>
    <n v="24439"/>
    <n v="3"/>
    <s v="Y"/>
    <s v="No"/>
    <n v="16"/>
    <n v="3"/>
    <n v="2"/>
    <n v="80"/>
    <n v="0"/>
    <n v="29"/>
    <n v="1"/>
    <n v="2"/>
    <x v="8"/>
    <n v="2"/>
    <n v="0"/>
    <n v="3"/>
    <x v="2"/>
    <n v="0"/>
    <n v="0"/>
    <x v="3"/>
    <n v="1"/>
    <m/>
    <m/>
  </r>
  <r>
    <n v="18"/>
    <x v="1"/>
    <s v="Non-Travel"/>
    <n v="1124"/>
    <s v="Research &amp; Development"/>
    <n v="1"/>
    <n v="3"/>
    <s v="Life Sciences"/>
    <n v="1"/>
    <n v="1368"/>
    <n v="4"/>
    <x v="0"/>
    <n v="97"/>
    <n v="3"/>
    <x v="1"/>
    <x v="2"/>
    <x v="0"/>
    <s v="Single"/>
    <n v="1611"/>
    <n v="19305"/>
    <n v="1"/>
    <s v="Y"/>
    <s v="No"/>
    <n v="15"/>
    <n v="3"/>
    <n v="3"/>
    <n v="80"/>
    <n v="0"/>
    <n v="0"/>
    <n v="5"/>
    <n v="4"/>
    <x v="2"/>
    <n v="0"/>
    <n v="0"/>
    <n v="0"/>
    <x v="1"/>
    <n v="0"/>
    <n v="0"/>
    <x v="1"/>
    <n v="1"/>
    <m/>
    <m/>
  </r>
  <r>
    <n v="35"/>
    <x v="1"/>
    <s v="Travel_Rarely"/>
    <n v="817"/>
    <s v="Research &amp; Development"/>
    <n v="1"/>
    <n v="3"/>
    <s v="Medical"/>
    <n v="1"/>
    <n v="1369"/>
    <n v="4"/>
    <x v="0"/>
    <n v="60"/>
    <n v="2"/>
    <x v="0"/>
    <x v="2"/>
    <x v="0"/>
    <s v="Married"/>
    <n v="5363"/>
    <n v="10846"/>
    <n v="0"/>
    <s v="Y"/>
    <s v="No"/>
    <n v="12"/>
    <n v="3"/>
    <n v="2"/>
    <n v="80"/>
    <n v="1"/>
    <n v="10"/>
    <n v="0"/>
    <n v="3"/>
    <x v="7"/>
    <n v="7"/>
    <n v="0"/>
    <n v="0"/>
    <x v="1"/>
    <n v="0"/>
    <n v="0"/>
    <x v="0"/>
    <n v="1"/>
    <m/>
    <m/>
  </r>
  <r>
    <n v="27"/>
    <x v="1"/>
    <s v="Travel_Frequently"/>
    <n v="793"/>
    <s v="Sales"/>
    <n v="2"/>
    <n v="1"/>
    <s v="Life Sciences"/>
    <n v="1"/>
    <n v="1371"/>
    <n v="4"/>
    <x v="1"/>
    <n v="43"/>
    <n v="1"/>
    <x v="0"/>
    <x v="0"/>
    <x v="0"/>
    <s v="Single"/>
    <n v="5071"/>
    <n v="20392"/>
    <n v="3"/>
    <s v="Y"/>
    <s v="No"/>
    <n v="20"/>
    <n v="4"/>
    <n v="2"/>
    <n v="80"/>
    <n v="0"/>
    <n v="8"/>
    <n v="3"/>
    <n v="3"/>
    <x v="0"/>
    <n v="2"/>
    <n v="0"/>
    <n v="0"/>
    <x v="0"/>
    <n v="0"/>
    <n v="0"/>
    <x v="0"/>
    <n v="1"/>
    <m/>
    <m/>
  </r>
  <r>
    <n v="55"/>
    <x v="0"/>
    <s v="Travel_Rarely"/>
    <n v="267"/>
    <s v="Sales"/>
    <n v="13"/>
    <n v="4"/>
    <s v="Marketing"/>
    <n v="1"/>
    <n v="1372"/>
    <n v="1"/>
    <x v="1"/>
    <n v="85"/>
    <n v="4"/>
    <x v="3"/>
    <x v="0"/>
    <x v="2"/>
    <s v="Single"/>
    <n v="13695"/>
    <n v="9277"/>
    <n v="6"/>
    <s v="Y"/>
    <s v="Yes"/>
    <n v="17"/>
    <n v="3"/>
    <n v="3"/>
    <n v="80"/>
    <n v="0"/>
    <n v="24"/>
    <n v="2"/>
    <n v="2"/>
    <x v="27"/>
    <n v="7"/>
    <n v="3"/>
    <n v="8"/>
    <x v="0"/>
    <n v="1"/>
    <n v="246510"/>
    <x v="3"/>
    <n v="1"/>
    <m/>
    <m/>
  </r>
  <r>
    <n v="56"/>
    <x v="1"/>
    <s v="Travel_Rarely"/>
    <n v="1369"/>
    <s v="Research &amp; Development"/>
    <n v="23"/>
    <n v="3"/>
    <s v="Life Sciences"/>
    <n v="1"/>
    <n v="1373"/>
    <n v="4"/>
    <x v="1"/>
    <n v="68"/>
    <n v="3"/>
    <x v="3"/>
    <x v="3"/>
    <x v="1"/>
    <s v="Married"/>
    <n v="13402"/>
    <n v="18235"/>
    <n v="4"/>
    <s v="Y"/>
    <s v="Yes"/>
    <n v="12"/>
    <n v="3"/>
    <n v="1"/>
    <n v="80"/>
    <n v="1"/>
    <n v="33"/>
    <n v="0"/>
    <n v="3"/>
    <x v="27"/>
    <n v="16"/>
    <n v="15"/>
    <n v="9"/>
    <x v="2"/>
    <n v="0"/>
    <n v="0"/>
    <x v="3"/>
    <n v="1"/>
    <m/>
    <m/>
  </r>
  <r>
    <n v="34"/>
    <x v="1"/>
    <s v="Non-Travel"/>
    <n v="999"/>
    <s v="Research &amp; Development"/>
    <n v="26"/>
    <n v="1"/>
    <s v="Technical Degree"/>
    <n v="1"/>
    <n v="1374"/>
    <n v="1"/>
    <x v="0"/>
    <n v="92"/>
    <n v="2"/>
    <x v="1"/>
    <x v="1"/>
    <x v="2"/>
    <s v="Divorced"/>
    <n v="2029"/>
    <n v="15891"/>
    <n v="1"/>
    <s v="Y"/>
    <s v="No"/>
    <n v="20"/>
    <n v="4"/>
    <n v="3"/>
    <n v="80"/>
    <n v="3"/>
    <n v="5"/>
    <n v="2"/>
    <n v="3"/>
    <x v="8"/>
    <n v="4"/>
    <n v="0"/>
    <n v="0"/>
    <x v="1"/>
    <n v="0"/>
    <n v="0"/>
    <x v="1"/>
    <n v="1"/>
    <m/>
    <m/>
  </r>
  <r>
    <n v="40"/>
    <x v="1"/>
    <s v="Travel_Rarely"/>
    <n v="1202"/>
    <s v="Research &amp; Development"/>
    <n v="2"/>
    <n v="1"/>
    <s v="Medical"/>
    <n v="1"/>
    <n v="1375"/>
    <n v="2"/>
    <x v="0"/>
    <n v="89"/>
    <n v="4"/>
    <x v="0"/>
    <x v="4"/>
    <x v="2"/>
    <s v="Divorced"/>
    <n v="6377"/>
    <n v="13888"/>
    <n v="5"/>
    <s v="Y"/>
    <s v="No"/>
    <n v="20"/>
    <n v="4"/>
    <n v="2"/>
    <n v="80"/>
    <n v="3"/>
    <n v="15"/>
    <n v="0"/>
    <n v="3"/>
    <x v="12"/>
    <n v="11"/>
    <n v="11"/>
    <n v="8"/>
    <x v="3"/>
    <n v="0"/>
    <n v="0"/>
    <x v="4"/>
    <n v="1"/>
    <m/>
    <m/>
  </r>
  <r>
    <n v="34"/>
    <x v="1"/>
    <s v="Travel_Rarely"/>
    <n v="285"/>
    <s v="Research &amp; Development"/>
    <n v="29"/>
    <n v="3"/>
    <s v="Medical"/>
    <n v="1"/>
    <n v="1377"/>
    <n v="2"/>
    <x v="1"/>
    <n v="86"/>
    <n v="3"/>
    <x v="0"/>
    <x v="2"/>
    <x v="2"/>
    <s v="Married"/>
    <n v="5429"/>
    <n v="17491"/>
    <n v="4"/>
    <s v="Y"/>
    <s v="No"/>
    <n v="13"/>
    <n v="3"/>
    <n v="1"/>
    <n v="80"/>
    <n v="2"/>
    <n v="10"/>
    <n v="1"/>
    <n v="3"/>
    <x v="3"/>
    <n v="7"/>
    <n v="7"/>
    <n v="7"/>
    <x v="1"/>
    <n v="0"/>
    <n v="0"/>
    <x v="0"/>
    <n v="1"/>
    <m/>
    <m/>
  </r>
  <r>
    <n v="31"/>
    <x v="0"/>
    <s v="Travel_Frequently"/>
    <n v="703"/>
    <s v="Sales"/>
    <n v="2"/>
    <n v="3"/>
    <s v="Life Sciences"/>
    <n v="1"/>
    <n v="1379"/>
    <n v="3"/>
    <x v="0"/>
    <n v="90"/>
    <n v="2"/>
    <x v="1"/>
    <x v="6"/>
    <x v="0"/>
    <s v="Single"/>
    <n v="2785"/>
    <n v="11882"/>
    <n v="7"/>
    <s v="Y"/>
    <s v="No"/>
    <n v="14"/>
    <n v="3"/>
    <n v="3"/>
    <n v="80"/>
    <n v="0"/>
    <n v="3"/>
    <n v="3"/>
    <n v="4"/>
    <x v="6"/>
    <n v="0"/>
    <n v="0"/>
    <n v="0"/>
    <x v="0"/>
    <n v="1"/>
    <n v="50130"/>
    <x v="1"/>
    <n v="1"/>
    <m/>
    <m/>
  </r>
  <r>
    <n v="35"/>
    <x v="0"/>
    <s v="Travel_Frequently"/>
    <n v="662"/>
    <s v="Sales"/>
    <n v="18"/>
    <n v="4"/>
    <s v="Marketing"/>
    <n v="1"/>
    <n v="1380"/>
    <n v="4"/>
    <x v="0"/>
    <n v="67"/>
    <n v="3"/>
    <x v="0"/>
    <x v="0"/>
    <x v="2"/>
    <s v="Married"/>
    <n v="4614"/>
    <n v="23288"/>
    <n v="0"/>
    <s v="Y"/>
    <s v="Yes"/>
    <n v="18"/>
    <n v="3"/>
    <n v="3"/>
    <n v="80"/>
    <n v="1"/>
    <n v="5"/>
    <n v="0"/>
    <n v="2"/>
    <x v="9"/>
    <n v="2"/>
    <n v="3"/>
    <n v="2"/>
    <x v="0"/>
    <n v="1"/>
    <n v="83052"/>
    <x v="0"/>
    <n v="1"/>
    <m/>
    <m/>
  </r>
  <r>
    <n v="38"/>
    <x v="1"/>
    <s v="Travel_Frequently"/>
    <n v="693"/>
    <s v="Research &amp; Development"/>
    <n v="7"/>
    <n v="3"/>
    <s v="Life Sciences"/>
    <n v="1"/>
    <n v="1382"/>
    <n v="4"/>
    <x v="1"/>
    <n v="57"/>
    <n v="4"/>
    <x v="1"/>
    <x v="1"/>
    <x v="2"/>
    <s v="Divorced"/>
    <n v="2610"/>
    <n v="15748"/>
    <n v="1"/>
    <s v="Y"/>
    <s v="No"/>
    <n v="11"/>
    <n v="3"/>
    <n v="4"/>
    <n v="80"/>
    <n v="3"/>
    <n v="4"/>
    <n v="2"/>
    <n v="3"/>
    <x v="9"/>
    <n v="2"/>
    <n v="0"/>
    <n v="3"/>
    <x v="1"/>
    <n v="0"/>
    <n v="0"/>
    <x v="1"/>
    <n v="1"/>
    <m/>
    <m/>
  </r>
  <r>
    <n v="34"/>
    <x v="1"/>
    <s v="Travel_Rarely"/>
    <n v="404"/>
    <s v="Research &amp; Development"/>
    <n v="2"/>
    <n v="4"/>
    <s v="Technical Degree"/>
    <n v="1"/>
    <n v="1383"/>
    <n v="3"/>
    <x v="0"/>
    <n v="98"/>
    <n v="3"/>
    <x v="0"/>
    <x v="4"/>
    <x v="0"/>
    <s v="Single"/>
    <n v="6687"/>
    <n v="6163"/>
    <n v="1"/>
    <s v="Y"/>
    <s v="No"/>
    <n v="11"/>
    <n v="3"/>
    <n v="4"/>
    <n v="80"/>
    <n v="0"/>
    <n v="14"/>
    <n v="2"/>
    <n v="4"/>
    <x v="13"/>
    <n v="11"/>
    <n v="4"/>
    <n v="11"/>
    <x v="3"/>
    <n v="0"/>
    <n v="0"/>
    <x v="4"/>
    <n v="1"/>
    <m/>
    <m/>
  </r>
  <r>
    <n v="28"/>
    <x v="1"/>
    <s v="Travel_Rarely"/>
    <n v="736"/>
    <s v="Sales"/>
    <n v="26"/>
    <n v="3"/>
    <s v="Life Sciences"/>
    <n v="1"/>
    <n v="1387"/>
    <n v="3"/>
    <x v="1"/>
    <n v="48"/>
    <n v="2"/>
    <x v="0"/>
    <x v="0"/>
    <x v="3"/>
    <s v="Married"/>
    <n v="4724"/>
    <n v="24232"/>
    <n v="1"/>
    <s v="Y"/>
    <s v="No"/>
    <n v="11"/>
    <n v="3"/>
    <n v="3"/>
    <n v="80"/>
    <n v="1"/>
    <n v="5"/>
    <n v="0"/>
    <n v="3"/>
    <x v="8"/>
    <n v="3"/>
    <n v="0"/>
    <n v="4"/>
    <x v="0"/>
    <n v="0"/>
    <n v="0"/>
    <x v="0"/>
    <n v="1"/>
    <m/>
    <m/>
  </r>
  <r>
    <n v="31"/>
    <x v="0"/>
    <s v="Travel_Rarely"/>
    <n v="330"/>
    <s v="Research &amp; Development"/>
    <n v="22"/>
    <n v="4"/>
    <s v="Medical"/>
    <n v="1"/>
    <n v="1389"/>
    <n v="4"/>
    <x v="1"/>
    <n v="98"/>
    <n v="3"/>
    <x v="0"/>
    <x v="3"/>
    <x v="2"/>
    <s v="Married"/>
    <n v="6179"/>
    <n v="21057"/>
    <n v="1"/>
    <s v="Y"/>
    <s v="Yes"/>
    <n v="15"/>
    <n v="3"/>
    <n v="4"/>
    <n v="80"/>
    <n v="2"/>
    <n v="10"/>
    <n v="3"/>
    <n v="2"/>
    <x v="1"/>
    <n v="2"/>
    <n v="6"/>
    <n v="7"/>
    <x v="2"/>
    <n v="1"/>
    <n v="111222"/>
    <x v="4"/>
    <n v="1"/>
    <m/>
    <m/>
  </r>
  <r>
    <n v="39"/>
    <x v="1"/>
    <s v="Travel_Rarely"/>
    <n v="1498"/>
    <s v="Sales"/>
    <n v="21"/>
    <n v="4"/>
    <s v="Life Sciences"/>
    <n v="1"/>
    <n v="1390"/>
    <n v="1"/>
    <x v="1"/>
    <n v="44"/>
    <n v="2"/>
    <x v="0"/>
    <x v="0"/>
    <x v="0"/>
    <s v="Married"/>
    <n v="6120"/>
    <n v="3567"/>
    <n v="3"/>
    <s v="Y"/>
    <s v="Yes"/>
    <n v="12"/>
    <n v="3"/>
    <n v="4"/>
    <n v="80"/>
    <n v="2"/>
    <n v="8"/>
    <n v="2"/>
    <n v="4"/>
    <x v="8"/>
    <n v="4"/>
    <n v="1"/>
    <n v="4"/>
    <x v="0"/>
    <n v="0"/>
    <n v="0"/>
    <x v="4"/>
    <n v="1"/>
    <m/>
    <m/>
  </r>
  <r>
    <n v="51"/>
    <x v="1"/>
    <s v="Travel_Frequently"/>
    <n v="541"/>
    <s v="Sales"/>
    <n v="2"/>
    <n v="3"/>
    <s v="Marketing"/>
    <n v="1"/>
    <n v="1391"/>
    <n v="2"/>
    <x v="1"/>
    <n v="52"/>
    <n v="3"/>
    <x v="2"/>
    <x v="0"/>
    <x v="1"/>
    <s v="Married"/>
    <n v="10596"/>
    <n v="15395"/>
    <n v="2"/>
    <s v="Y"/>
    <s v="No"/>
    <n v="11"/>
    <n v="3"/>
    <n v="2"/>
    <n v="80"/>
    <n v="0"/>
    <n v="14"/>
    <n v="5"/>
    <n v="3"/>
    <x v="9"/>
    <n v="2"/>
    <n v="3"/>
    <n v="2"/>
    <x v="0"/>
    <n v="0"/>
    <n v="0"/>
    <x v="2"/>
    <n v="1"/>
    <m/>
    <m/>
  </r>
  <r>
    <n v="41"/>
    <x v="1"/>
    <s v="Travel_Frequently"/>
    <n v="1200"/>
    <s v="Research &amp; Development"/>
    <n v="22"/>
    <n v="3"/>
    <s v="Life Sciences"/>
    <n v="1"/>
    <n v="1392"/>
    <n v="4"/>
    <x v="0"/>
    <n v="75"/>
    <n v="3"/>
    <x v="0"/>
    <x v="1"/>
    <x v="0"/>
    <s v="Divorced"/>
    <n v="5467"/>
    <n v="13953"/>
    <n v="3"/>
    <s v="Y"/>
    <s v="Yes"/>
    <n v="14"/>
    <n v="3"/>
    <n v="1"/>
    <n v="80"/>
    <n v="2"/>
    <n v="12"/>
    <n v="4"/>
    <n v="2"/>
    <x v="0"/>
    <n v="2"/>
    <n v="3"/>
    <n v="3"/>
    <x v="1"/>
    <n v="0"/>
    <n v="0"/>
    <x v="0"/>
    <n v="1"/>
    <m/>
    <m/>
  </r>
  <r>
    <n v="37"/>
    <x v="1"/>
    <s v="Travel_Rarely"/>
    <n v="1439"/>
    <s v="Research &amp; Development"/>
    <n v="4"/>
    <n v="1"/>
    <s v="Life Sciences"/>
    <n v="1"/>
    <n v="1394"/>
    <n v="3"/>
    <x v="1"/>
    <n v="54"/>
    <n v="3"/>
    <x v="1"/>
    <x v="1"/>
    <x v="2"/>
    <s v="Married"/>
    <n v="2996"/>
    <n v="5182"/>
    <n v="7"/>
    <s v="Y"/>
    <s v="Yes"/>
    <n v="15"/>
    <n v="3"/>
    <n v="4"/>
    <n v="80"/>
    <n v="0"/>
    <n v="8"/>
    <n v="2"/>
    <n v="3"/>
    <x v="0"/>
    <n v="4"/>
    <n v="1"/>
    <n v="3"/>
    <x v="1"/>
    <n v="0"/>
    <n v="0"/>
    <x v="1"/>
    <n v="1"/>
    <m/>
    <m/>
  </r>
  <r>
    <n v="33"/>
    <x v="1"/>
    <s v="Travel_Frequently"/>
    <n v="1111"/>
    <s v="Sales"/>
    <n v="5"/>
    <n v="1"/>
    <s v="Life Sciences"/>
    <n v="1"/>
    <n v="1395"/>
    <n v="2"/>
    <x v="1"/>
    <n v="61"/>
    <n v="3"/>
    <x v="0"/>
    <x v="0"/>
    <x v="0"/>
    <s v="Married"/>
    <n v="9998"/>
    <n v="19293"/>
    <n v="6"/>
    <s v="Y"/>
    <s v="No"/>
    <n v="13"/>
    <n v="3"/>
    <n v="1"/>
    <n v="80"/>
    <n v="0"/>
    <n v="8"/>
    <n v="2"/>
    <n v="4"/>
    <x v="8"/>
    <n v="4"/>
    <n v="1"/>
    <n v="2"/>
    <x v="0"/>
    <n v="0"/>
    <n v="0"/>
    <x v="2"/>
    <n v="1"/>
    <m/>
    <m/>
  </r>
  <r>
    <n v="32"/>
    <x v="1"/>
    <s v="Travel_Rarely"/>
    <n v="499"/>
    <s v="Sales"/>
    <n v="2"/>
    <n v="1"/>
    <s v="Marketing"/>
    <n v="1"/>
    <n v="1396"/>
    <n v="3"/>
    <x v="1"/>
    <n v="36"/>
    <n v="3"/>
    <x v="0"/>
    <x v="0"/>
    <x v="1"/>
    <s v="Married"/>
    <n v="4078"/>
    <n v="20497"/>
    <n v="0"/>
    <s v="Y"/>
    <s v="Yes"/>
    <n v="13"/>
    <n v="3"/>
    <n v="1"/>
    <n v="80"/>
    <n v="3"/>
    <n v="4"/>
    <n v="3"/>
    <n v="2"/>
    <x v="11"/>
    <n v="2"/>
    <n v="1"/>
    <n v="2"/>
    <x v="0"/>
    <n v="0"/>
    <n v="0"/>
    <x v="0"/>
    <n v="1"/>
    <m/>
    <m/>
  </r>
  <r>
    <n v="39"/>
    <x v="1"/>
    <s v="Non-Travel"/>
    <n v="1485"/>
    <s v="Research &amp; Development"/>
    <n v="25"/>
    <n v="2"/>
    <s v="Life Sciences"/>
    <n v="1"/>
    <n v="1397"/>
    <n v="3"/>
    <x v="1"/>
    <n v="71"/>
    <n v="3"/>
    <x v="2"/>
    <x v="4"/>
    <x v="2"/>
    <s v="Married"/>
    <n v="10920"/>
    <n v="3449"/>
    <n v="3"/>
    <s v="Y"/>
    <s v="No"/>
    <n v="21"/>
    <n v="4"/>
    <n v="2"/>
    <n v="80"/>
    <n v="1"/>
    <n v="13"/>
    <n v="2"/>
    <n v="3"/>
    <x v="0"/>
    <n v="4"/>
    <n v="0"/>
    <n v="5"/>
    <x v="3"/>
    <n v="0"/>
    <n v="0"/>
    <x v="2"/>
    <n v="1"/>
    <m/>
    <m/>
  </r>
  <r>
    <n v="25"/>
    <x v="1"/>
    <s v="Travel_Rarely"/>
    <n v="1372"/>
    <s v="Sales"/>
    <n v="18"/>
    <n v="1"/>
    <s v="Life Sciences"/>
    <n v="1"/>
    <n v="1399"/>
    <n v="1"/>
    <x v="1"/>
    <n v="93"/>
    <n v="4"/>
    <x v="0"/>
    <x v="0"/>
    <x v="2"/>
    <s v="Married"/>
    <n v="6232"/>
    <n v="12477"/>
    <n v="2"/>
    <s v="Y"/>
    <s v="No"/>
    <n v="11"/>
    <n v="3"/>
    <n v="2"/>
    <n v="80"/>
    <n v="0"/>
    <n v="6"/>
    <n v="3"/>
    <n v="2"/>
    <x v="11"/>
    <n v="2"/>
    <n v="1"/>
    <n v="2"/>
    <x v="0"/>
    <n v="0"/>
    <n v="0"/>
    <x v="4"/>
    <n v="1"/>
    <m/>
    <m/>
  </r>
  <r>
    <n v="52"/>
    <x v="1"/>
    <s v="Travel_Frequently"/>
    <n v="322"/>
    <s v="Research &amp; Development"/>
    <n v="28"/>
    <n v="2"/>
    <s v="Medical"/>
    <n v="1"/>
    <n v="1401"/>
    <n v="4"/>
    <x v="0"/>
    <n v="59"/>
    <n v="4"/>
    <x v="3"/>
    <x v="3"/>
    <x v="2"/>
    <s v="Married"/>
    <n v="13247"/>
    <n v="9731"/>
    <n v="2"/>
    <s v="Y"/>
    <s v="Yes"/>
    <n v="11"/>
    <n v="3"/>
    <n v="2"/>
    <n v="80"/>
    <n v="1"/>
    <n v="24"/>
    <n v="3"/>
    <n v="2"/>
    <x v="8"/>
    <n v="3"/>
    <n v="0"/>
    <n v="2"/>
    <x v="2"/>
    <n v="0"/>
    <n v="0"/>
    <x v="3"/>
    <n v="1"/>
    <m/>
    <m/>
  </r>
  <r>
    <n v="43"/>
    <x v="1"/>
    <s v="Travel_Rarely"/>
    <n v="930"/>
    <s v="Research &amp; Development"/>
    <n v="6"/>
    <n v="3"/>
    <s v="Medical"/>
    <n v="1"/>
    <n v="1402"/>
    <n v="1"/>
    <x v="0"/>
    <n v="73"/>
    <n v="2"/>
    <x v="0"/>
    <x v="1"/>
    <x v="2"/>
    <s v="Single"/>
    <n v="4081"/>
    <n v="20003"/>
    <n v="1"/>
    <s v="Y"/>
    <s v="Yes"/>
    <n v="14"/>
    <n v="3"/>
    <n v="1"/>
    <n v="80"/>
    <n v="0"/>
    <n v="20"/>
    <n v="3"/>
    <n v="1"/>
    <x v="23"/>
    <n v="7"/>
    <n v="1"/>
    <n v="8"/>
    <x v="1"/>
    <n v="0"/>
    <n v="0"/>
    <x v="0"/>
    <n v="1"/>
    <m/>
    <m/>
  </r>
  <r>
    <n v="27"/>
    <x v="1"/>
    <s v="Travel_Rarely"/>
    <n v="205"/>
    <s v="Sales"/>
    <n v="10"/>
    <n v="3"/>
    <s v="Marketing"/>
    <n v="1"/>
    <n v="1403"/>
    <n v="4"/>
    <x v="0"/>
    <n v="98"/>
    <n v="2"/>
    <x v="0"/>
    <x v="0"/>
    <x v="0"/>
    <s v="Married"/>
    <n v="5769"/>
    <n v="7100"/>
    <n v="1"/>
    <s v="Y"/>
    <s v="Yes"/>
    <n v="11"/>
    <n v="3"/>
    <n v="4"/>
    <n v="80"/>
    <n v="0"/>
    <n v="6"/>
    <n v="3"/>
    <n v="3"/>
    <x v="0"/>
    <n v="2"/>
    <n v="4"/>
    <n v="4"/>
    <x v="0"/>
    <n v="0"/>
    <n v="0"/>
    <x v="0"/>
    <n v="1"/>
    <m/>
    <m/>
  </r>
  <r>
    <n v="27"/>
    <x v="0"/>
    <s v="Travel_Rarely"/>
    <n v="135"/>
    <s v="Research &amp; Development"/>
    <n v="17"/>
    <n v="4"/>
    <s v="Life Sciences"/>
    <n v="1"/>
    <n v="1405"/>
    <n v="4"/>
    <x v="0"/>
    <n v="51"/>
    <n v="3"/>
    <x v="1"/>
    <x v="1"/>
    <x v="2"/>
    <s v="Single"/>
    <n v="2394"/>
    <n v="25681"/>
    <n v="1"/>
    <s v="Y"/>
    <s v="Yes"/>
    <n v="13"/>
    <n v="3"/>
    <n v="4"/>
    <n v="80"/>
    <n v="0"/>
    <n v="8"/>
    <n v="2"/>
    <n v="3"/>
    <x v="3"/>
    <n v="2"/>
    <n v="7"/>
    <n v="7"/>
    <x v="1"/>
    <n v="1"/>
    <n v="43092"/>
    <x v="1"/>
    <n v="1"/>
    <m/>
    <m/>
  </r>
  <r>
    <n v="26"/>
    <x v="1"/>
    <s v="Travel_Rarely"/>
    <n v="683"/>
    <s v="Research &amp; Development"/>
    <n v="2"/>
    <n v="1"/>
    <s v="Medical"/>
    <n v="1"/>
    <n v="1407"/>
    <n v="1"/>
    <x v="1"/>
    <n v="36"/>
    <n v="2"/>
    <x v="1"/>
    <x v="1"/>
    <x v="0"/>
    <s v="Single"/>
    <n v="3904"/>
    <n v="4050"/>
    <n v="0"/>
    <s v="Y"/>
    <s v="No"/>
    <n v="12"/>
    <n v="3"/>
    <n v="4"/>
    <n v="80"/>
    <n v="0"/>
    <n v="5"/>
    <n v="2"/>
    <n v="3"/>
    <x v="9"/>
    <n v="3"/>
    <n v="1"/>
    <n v="1"/>
    <x v="1"/>
    <n v="0"/>
    <n v="0"/>
    <x v="0"/>
    <n v="1"/>
    <m/>
    <m/>
  </r>
  <r>
    <n v="42"/>
    <x v="1"/>
    <s v="Travel_Rarely"/>
    <n v="1147"/>
    <s v="Human Resources"/>
    <n v="10"/>
    <n v="3"/>
    <s v="Human Resources"/>
    <n v="1"/>
    <n v="1408"/>
    <n v="3"/>
    <x v="0"/>
    <n v="31"/>
    <n v="3"/>
    <x v="3"/>
    <x v="5"/>
    <x v="3"/>
    <s v="Married"/>
    <n v="16799"/>
    <n v="16616"/>
    <n v="0"/>
    <s v="Y"/>
    <s v="No"/>
    <n v="14"/>
    <n v="3"/>
    <n v="3"/>
    <n v="80"/>
    <n v="1"/>
    <n v="21"/>
    <n v="5"/>
    <n v="3"/>
    <x v="23"/>
    <n v="7"/>
    <n v="0"/>
    <n v="9"/>
    <x v="4"/>
    <n v="0"/>
    <n v="0"/>
    <x v="3"/>
    <n v="1"/>
    <m/>
    <m/>
  </r>
  <r>
    <n v="52"/>
    <x v="1"/>
    <s v="Travel_Rarely"/>
    <n v="258"/>
    <s v="Research &amp; Development"/>
    <n v="8"/>
    <n v="4"/>
    <s v="Other"/>
    <n v="1"/>
    <n v="1409"/>
    <n v="3"/>
    <x v="0"/>
    <n v="54"/>
    <n v="3"/>
    <x v="1"/>
    <x v="2"/>
    <x v="3"/>
    <s v="Married"/>
    <n v="2950"/>
    <n v="17363"/>
    <n v="9"/>
    <s v="Y"/>
    <s v="No"/>
    <n v="13"/>
    <n v="3"/>
    <n v="3"/>
    <n v="80"/>
    <n v="0"/>
    <n v="12"/>
    <n v="2"/>
    <n v="1"/>
    <x v="8"/>
    <n v="4"/>
    <n v="0"/>
    <n v="4"/>
    <x v="1"/>
    <n v="0"/>
    <n v="0"/>
    <x v="1"/>
    <n v="1"/>
    <m/>
    <m/>
  </r>
  <r>
    <n v="37"/>
    <x v="1"/>
    <s v="Travel_Rarely"/>
    <n v="1462"/>
    <s v="Research &amp; Development"/>
    <n v="11"/>
    <n v="3"/>
    <s v="Medical"/>
    <n v="1"/>
    <n v="1411"/>
    <n v="1"/>
    <x v="0"/>
    <n v="94"/>
    <n v="3"/>
    <x v="1"/>
    <x v="2"/>
    <x v="2"/>
    <s v="Single"/>
    <n v="3629"/>
    <n v="19106"/>
    <n v="4"/>
    <s v="Y"/>
    <s v="No"/>
    <n v="18"/>
    <n v="3"/>
    <n v="1"/>
    <n v="80"/>
    <n v="0"/>
    <n v="8"/>
    <n v="6"/>
    <n v="3"/>
    <x v="11"/>
    <n v="2"/>
    <n v="0"/>
    <n v="2"/>
    <x v="1"/>
    <n v="0"/>
    <n v="0"/>
    <x v="0"/>
    <n v="1"/>
    <m/>
    <m/>
  </r>
  <r>
    <n v="35"/>
    <x v="1"/>
    <s v="Travel_Frequently"/>
    <n v="200"/>
    <s v="Research &amp; Development"/>
    <n v="18"/>
    <n v="2"/>
    <s v="Life Sciences"/>
    <n v="1"/>
    <n v="1412"/>
    <n v="3"/>
    <x v="1"/>
    <n v="60"/>
    <n v="3"/>
    <x v="2"/>
    <x v="3"/>
    <x v="0"/>
    <s v="Single"/>
    <n v="9362"/>
    <n v="19944"/>
    <n v="2"/>
    <s v="Y"/>
    <s v="No"/>
    <n v="11"/>
    <n v="3"/>
    <n v="3"/>
    <n v="80"/>
    <n v="0"/>
    <n v="10"/>
    <n v="2"/>
    <n v="3"/>
    <x v="4"/>
    <n v="2"/>
    <n v="2"/>
    <n v="2"/>
    <x v="2"/>
    <n v="0"/>
    <n v="0"/>
    <x v="2"/>
    <n v="1"/>
    <m/>
    <m/>
  </r>
  <r>
    <n v="25"/>
    <x v="1"/>
    <s v="Travel_Rarely"/>
    <n v="949"/>
    <s v="Research &amp; Development"/>
    <n v="1"/>
    <n v="3"/>
    <s v="Technical Degree"/>
    <n v="1"/>
    <n v="1415"/>
    <n v="1"/>
    <x v="1"/>
    <n v="81"/>
    <n v="3"/>
    <x v="1"/>
    <x v="2"/>
    <x v="0"/>
    <s v="Married"/>
    <n v="3229"/>
    <n v="4910"/>
    <n v="4"/>
    <s v="Y"/>
    <s v="No"/>
    <n v="11"/>
    <n v="3"/>
    <n v="2"/>
    <n v="80"/>
    <n v="1"/>
    <n v="7"/>
    <n v="2"/>
    <n v="2"/>
    <x v="11"/>
    <n v="2"/>
    <n v="0"/>
    <n v="2"/>
    <x v="1"/>
    <n v="0"/>
    <n v="0"/>
    <x v="0"/>
    <n v="1"/>
    <m/>
    <m/>
  </r>
  <r>
    <n v="26"/>
    <x v="1"/>
    <s v="Travel_Rarely"/>
    <n v="652"/>
    <s v="Research &amp; Development"/>
    <n v="7"/>
    <n v="3"/>
    <s v="Other"/>
    <n v="1"/>
    <n v="1417"/>
    <n v="3"/>
    <x v="1"/>
    <n v="100"/>
    <n v="4"/>
    <x v="1"/>
    <x v="2"/>
    <x v="3"/>
    <s v="Single"/>
    <n v="3578"/>
    <n v="23577"/>
    <n v="0"/>
    <s v="Y"/>
    <s v="No"/>
    <n v="12"/>
    <n v="3"/>
    <n v="4"/>
    <n v="80"/>
    <n v="0"/>
    <n v="8"/>
    <n v="2"/>
    <n v="3"/>
    <x v="5"/>
    <n v="7"/>
    <n v="0"/>
    <n v="7"/>
    <x v="1"/>
    <n v="0"/>
    <n v="0"/>
    <x v="0"/>
    <n v="1"/>
    <m/>
    <m/>
  </r>
  <r>
    <n v="29"/>
    <x v="1"/>
    <s v="Travel_Rarely"/>
    <n v="332"/>
    <s v="Human Resources"/>
    <n v="17"/>
    <n v="3"/>
    <s v="Other"/>
    <n v="1"/>
    <n v="1419"/>
    <n v="2"/>
    <x v="1"/>
    <n v="51"/>
    <n v="2"/>
    <x v="2"/>
    <x v="8"/>
    <x v="3"/>
    <s v="Single"/>
    <n v="7988"/>
    <n v="9769"/>
    <n v="1"/>
    <s v="Y"/>
    <s v="No"/>
    <n v="13"/>
    <n v="3"/>
    <n v="1"/>
    <n v="80"/>
    <n v="0"/>
    <n v="10"/>
    <n v="3"/>
    <n v="2"/>
    <x v="1"/>
    <n v="9"/>
    <n v="0"/>
    <n v="9"/>
    <x v="5"/>
    <n v="0"/>
    <n v="0"/>
    <x v="4"/>
    <n v="1"/>
    <m/>
    <m/>
  </r>
  <r>
    <n v="49"/>
    <x v="0"/>
    <s v="Travel_Frequently"/>
    <n v="1475"/>
    <s v="Research &amp; Development"/>
    <n v="28"/>
    <n v="2"/>
    <s v="Life Sciences"/>
    <n v="1"/>
    <n v="1420"/>
    <n v="1"/>
    <x v="1"/>
    <n v="97"/>
    <n v="2"/>
    <x v="0"/>
    <x v="2"/>
    <x v="3"/>
    <s v="Single"/>
    <n v="4284"/>
    <n v="22710"/>
    <n v="3"/>
    <s v="Y"/>
    <s v="No"/>
    <n v="20"/>
    <n v="4"/>
    <n v="1"/>
    <n v="80"/>
    <n v="0"/>
    <n v="20"/>
    <n v="2"/>
    <n v="3"/>
    <x v="9"/>
    <n v="3"/>
    <n v="1"/>
    <n v="3"/>
    <x v="1"/>
    <n v="1"/>
    <n v="77112"/>
    <x v="0"/>
    <n v="1"/>
    <m/>
    <m/>
  </r>
  <r>
    <n v="29"/>
    <x v="0"/>
    <s v="Travel_Frequently"/>
    <n v="337"/>
    <s v="Research &amp; Development"/>
    <n v="14"/>
    <n v="1"/>
    <s v="Other"/>
    <n v="1"/>
    <n v="1421"/>
    <n v="3"/>
    <x v="0"/>
    <n v="84"/>
    <n v="3"/>
    <x v="2"/>
    <x v="4"/>
    <x v="0"/>
    <s v="Single"/>
    <n v="7553"/>
    <n v="22930"/>
    <n v="0"/>
    <s v="Y"/>
    <s v="Yes"/>
    <n v="12"/>
    <n v="3"/>
    <n v="1"/>
    <n v="80"/>
    <n v="0"/>
    <n v="9"/>
    <n v="1"/>
    <n v="3"/>
    <x v="3"/>
    <n v="7"/>
    <n v="7"/>
    <n v="7"/>
    <x v="3"/>
    <n v="1"/>
    <n v="135954"/>
    <x v="4"/>
    <n v="1"/>
    <m/>
    <m/>
  </r>
  <r>
    <n v="54"/>
    <x v="1"/>
    <s v="Travel_Rarely"/>
    <n v="971"/>
    <s v="Research &amp; Development"/>
    <n v="1"/>
    <n v="3"/>
    <s v="Medical"/>
    <n v="1"/>
    <n v="1422"/>
    <n v="4"/>
    <x v="0"/>
    <n v="54"/>
    <n v="3"/>
    <x v="3"/>
    <x v="7"/>
    <x v="0"/>
    <s v="Single"/>
    <n v="17328"/>
    <n v="5652"/>
    <n v="6"/>
    <s v="Y"/>
    <s v="No"/>
    <n v="19"/>
    <n v="3"/>
    <n v="4"/>
    <n v="80"/>
    <n v="0"/>
    <n v="29"/>
    <n v="3"/>
    <n v="2"/>
    <x v="23"/>
    <n v="7"/>
    <n v="12"/>
    <n v="7"/>
    <x v="1"/>
    <n v="0"/>
    <n v="0"/>
    <x v="3"/>
    <n v="1"/>
    <m/>
    <m/>
  </r>
  <r>
    <n v="58"/>
    <x v="1"/>
    <s v="Travel_Rarely"/>
    <n v="1055"/>
    <s v="Research &amp; Development"/>
    <n v="1"/>
    <n v="3"/>
    <s v="Medical"/>
    <n v="1"/>
    <n v="1423"/>
    <n v="4"/>
    <x v="0"/>
    <n v="76"/>
    <n v="3"/>
    <x v="4"/>
    <x v="7"/>
    <x v="3"/>
    <s v="Married"/>
    <n v="19701"/>
    <n v="22456"/>
    <n v="3"/>
    <s v="Y"/>
    <s v="Yes"/>
    <n v="21"/>
    <n v="4"/>
    <n v="3"/>
    <n v="80"/>
    <n v="1"/>
    <n v="32"/>
    <n v="3"/>
    <n v="3"/>
    <x v="7"/>
    <n v="8"/>
    <n v="1"/>
    <n v="5"/>
    <x v="1"/>
    <n v="0"/>
    <n v="0"/>
    <x v="3"/>
    <n v="1"/>
    <m/>
    <m/>
  </r>
  <r>
    <n v="55"/>
    <x v="1"/>
    <s v="Travel_Rarely"/>
    <n v="1136"/>
    <s v="Research &amp; Development"/>
    <n v="1"/>
    <n v="4"/>
    <s v="Medical"/>
    <n v="1"/>
    <n v="1424"/>
    <n v="2"/>
    <x v="1"/>
    <n v="81"/>
    <n v="4"/>
    <x v="3"/>
    <x v="7"/>
    <x v="0"/>
    <s v="Divorced"/>
    <n v="14732"/>
    <n v="12414"/>
    <n v="2"/>
    <s v="Y"/>
    <s v="No"/>
    <n v="13"/>
    <n v="3"/>
    <n v="4"/>
    <n v="80"/>
    <n v="2"/>
    <n v="31"/>
    <n v="4"/>
    <n v="4"/>
    <x v="5"/>
    <n v="7"/>
    <n v="0"/>
    <n v="0"/>
    <x v="1"/>
    <n v="0"/>
    <n v="0"/>
    <x v="3"/>
    <n v="1"/>
    <m/>
    <m/>
  </r>
  <r>
    <n v="36"/>
    <x v="1"/>
    <s v="Travel_Rarely"/>
    <n v="1174"/>
    <s v="Sales"/>
    <n v="3"/>
    <n v="4"/>
    <s v="Marketing"/>
    <n v="1"/>
    <n v="1425"/>
    <n v="1"/>
    <x v="0"/>
    <n v="99"/>
    <n v="3"/>
    <x v="0"/>
    <x v="0"/>
    <x v="1"/>
    <s v="Single"/>
    <n v="9278"/>
    <n v="20763"/>
    <n v="3"/>
    <s v="Y"/>
    <s v="Yes"/>
    <n v="16"/>
    <n v="3"/>
    <n v="4"/>
    <n v="80"/>
    <n v="0"/>
    <n v="15"/>
    <n v="3"/>
    <n v="3"/>
    <x v="8"/>
    <n v="4"/>
    <n v="0"/>
    <n v="1"/>
    <x v="0"/>
    <n v="0"/>
    <n v="0"/>
    <x v="2"/>
    <n v="1"/>
    <m/>
    <m/>
  </r>
  <r>
    <n v="31"/>
    <x v="0"/>
    <s v="Travel_Frequently"/>
    <n v="667"/>
    <s v="Sales"/>
    <n v="1"/>
    <n v="4"/>
    <s v="Life Sciences"/>
    <n v="1"/>
    <n v="1427"/>
    <n v="2"/>
    <x v="0"/>
    <n v="50"/>
    <n v="1"/>
    <x v="1"/>
    <x v="6"/>
    <x v="2"/>
    <s v="Single"/>
    <n v="1359"/>
    <n v="16154"/>
    <n v="1"/>
    <s v="Y"/>
    <s v="No"/>
    <n v="12"/>
    <n v="3"/>
    <n v="2"/>
    <n v="80"/>
    <n v="0"/>
    <n v="1"/>
    <n v="3"/>
    <n v="3"/>
    <x v="6"/>
    <n v="0"/>
    <n v="0"/>
    <n v="0"/>
    <x v="0"/>
    <n v="1"/>
    <n v="24462"/>
    <x v="1"/>
    <n v="1"/>
    <m/>
    <m/>
  </r>
  <r>
    <n v="30"/>
    <x v="1"/>
    <s v="Travel_Rarely"/>
    <n v="855"/>
    <s v="Sales"/>
    <n v="7"/>
    <n v="4"/>
    <s v="Marketing"/>
    <n v="1"/>
    <n v="1428"/>
    <n v="4"/>
    <x v="0"/>
    <n v="73"/>
    <n v="3"/>
    <x v="0"/>
    <x v="0"/>
    <x v="3"/>
    <s v="Divorced"/>
    <n v="4779"/>
    <n v="12761"/>
    <n v="7"/>
    <s v="Y"/>
    <s v="No"/>
    <n v="14"/>
    <n v="3"/>
    <n v="2"/>
    <n v="80"/>
    <n v="2"/>
    <n v="8"/>
    <n v="3"/>
    <n v="3"/>
    <x v="11"/>
    <n v="2"/>
    <n v="0"/>
    <n v="2"/>
    <x v="0"/>
    <n v="0"/>
    <n v="0"/>
    <x v="0"/>
    <n v="1"/>
    <m/>
    <m/>
  </r>
  <r>
    <n v="31"/>
    <x v="1"/>
    <s v="Travel_Rarely"/>
    <n v="182"/>
    <s v="Research &amp; Development"/>
    <n v="8"/>
    <n v="5"/>
    <s v="Life Sciences"/>
    <n v="1"/>
    <n v="1430"/>
    <n v="1"/>
    <x v="0"/>
    <n v="93"/>
    <n v="3"/>
    <x v="3"/>
    <x v="7"/>
    <x v="1"/>
    <s v="Single"/>
    <n v="16422"/>
    <n v="8847"/>
    <n v="3"/>
    <s v="Y"/>
    <s v="No"/>
    <n v="11"/>
    <n v="3"/>
    <n v="3"/>
    <n v="80"/>
    <n v="0"/>
    <n v="9"/>
    <n v="3"/>
    <n v="4"/>
    <x v="11"/>
    <n v="2"/>
    <n v="1"/>
    <n v="0"/>
    <x v="1"/>
    <n v="0"/>
    <n v="0"/>
    <x v="3"/>
    <n v="1"/>
    <m/>
    <m/>
  </r>
  <r>
    <n v="34"/>
    <x v="1"/>
    <s v="Travel_Frequently"/>
    <n v="560"/>
    <s v="Research &amp; Development"/>
    <n v="1"/>
    <n v="4"/>
    <s v="Other"/>
    <n v="1"/>
    <n v="1431"/>
    <n v="4"/>
    <x v="1"/>
    <n v="91"/>
    <n v="3"/>
    <x v="1"/>
    <x v="1"/>
    <x v="3"/>
    <s v="Divorced"/>
    <n v="2996"/>
    <n v="20284"/>
    <n v="5"/>
    <s v="Y"/>
    <s v="No"/>
    <n v="14"/>
    <n v="3"/>
    <n v="3"/>
    <n v="80"/>
    <n v="2"/>
    <n v="10"/>
    <n v="2"/>
    <n v="3"/>
    <x v="9"/>
    <n v="3"/>
    <n v="1"/>
    <n v="3"/>
    <x v="1"/>
    <n v="0"/>
    <n v="0"/>
    <x v="1"/>
    <n v="1"/>
    <m/>
    <m/>
  </r>
  <r>
    <n v="31"/>
    <x v="0"/>
    <s v="Travel_Rarely"/>
    <n v="202"/>
    <s v="Research &amp; Development"/>
    <n v="8"/>
    <n v="3"/>
    <s v="Life Sciences"/>
    <n v="1"/>
    <n v="1433"/>
    <n v="1"/>
    <x v="0"/>
    <n v="34"/>
    <n v="2"/>
    <x v="1"/>
    <x v="1"/>
    <x v="1"/>
    <s v="Single"/>
    <n v="1261"/>
    <n v="22262"/>
    <n v="1"/>
    <s v="Y"/>
    <s v="No"/>
    <n v="12"/>
    <n v="3"/>
    <n v="3"/>
    <n v="80"/>
    <n v="0"/>
    <n v="1"/>
    <n v="3"/>
    <n v="4"/>
    <x v="6"/>
    <n v="0"/>
    <n v="0"/>
    <n v="0"/>
    <x v="1"/>
    <n v="1"/>
    <n v="22698"/>
    <x v="1"/>
    <n v="1"/>
    <m/>
    <m/>
  </r>
  <r>
    <n v="27"/>
    <x v="1"/>
    <s v="Travel_Rarely"/>
    <n v="1377"/>
    <s v="Research &amp; Development"/>
    <n v="11"/>
    <n v="1"/>
    <s v="Life Sciences"/>
    <n v="1"/>
    <n v="1434"/>
    <n v="2"/>
    <x v="1"/>
    <n v="91"/>
    <n v="3"/>
    <x v="1"/>
    <x v="2"/>
    <x v="3"/>
    <s v="Married"/>
    <n v="2099"/>
    <n v="7679"/>
    <n v="0"/>
    <s v="Y"/>
    <s v="No"/>
    <n v="14"/>
    <n v="3"/>
    <n v="2"/>
    <n v="80"/>
    <n v="0"/>
    <n v="6"/>
    <n v="3"/>
    <n v="4"/>
    <x v="8"/>
    <n v="0"/>
    <n v="1"/>
    <n v="4"/>
    <x v="1"/>
    <n v="0"/>
    <n v="0"/>
    <x v="1"/>
    <n v="1"/>
    <m/>
    <m/>
  </r>
  <r>
    <n v="36"/>
    <x v="1"/>
    <s v="Travel_Rarely"/>
    <n v="172"/>
    <s v="Research &amp; Development"/>
    <n v="4"/>
    <n v="4"/>
    <s v="Life Sciences"/>
    <n v="1"/>
    <n v="1435"/>
    <n v="1"/>
    <x v="1"/>
    <n v="37"/>
    <n v="2"/>
    <x v="0"/>
    <x v="2"/>
    <x v="0"/>
    <s v="Single"/>
    <n v="5810"/>
    <n v="22604"/>
    <n v="1"/>
    <s v="Y"/>
    <s v="No"/>
    <n v="16"/>
    <n v="3"/>
    <n v="3"/>
    <n v="80"/>
    <n v="0"/>
    <n v="10"/>
    <n v="2"/>
    <n v="2"/>
    <x v="1"/>
    <n v="4"/>
    <n v="1"/>
    <n v="8"/>
    <x v="1"/>
    <n v="0"/>
    <n v="0"/>
    <x v="0"/>
    <n v="1"/>
    <m/>
    <m/>
  </r>
  <r>
    <n v="36"/>
    <x v="1"/>
    <s v="Travel_Rarely"/>
    <n v="329"/>
    <s v="Sales"/>
    <n v="16"/>
    <n v="4"/>
    <s v="Marketing"/>
    <n v="1"/>
    <n v="1436"/>
    <n v="3"/>
    <x v="0"/>
    <n v="98"/>
    <n v="2"/>
    <x v="0"/>
    <x v="0"/>
    <x v="3"/>
    <s v="Married"/>
    <n v="5647"/>
    <n v="13494"/>
    <n v="4"/>
    <s v="Y"/>
    <s v="No"/>
    <n v="13"/>
    <n v="3"/>
    <n v="1"/>
    <n v="80"/>
    <n v="2"/>
    <n v="11"/>
    <n v="3"/>
    <n v="2"/>
    <x v="11"/>
    <n v="2"/>
    <n v="0"/>
    <n v="2"/>
    <x v="0"/>
    <n v="0"/>
    <n v="0"/>
    <x v="0"/>
    <n v="1"/>
    <m/>
    <m/>
  </r>
  <r>
    <n v="47"/>
    <x v="1"/>
    <s v="Travel_Rarely"/>
    <n v="465"/>
    <s v="Research &amp; Development"/>
    <n v="1"/>
    <n v="3"/>
    <s v="Technical Degree"/>
    <n v="1"/>
    <n v="1438"/>
    <n v="1"/>
    <x v="1"/>
    <n v="74"/>
    <n v="3"/>
    <x v="1"/>
    <x v="1"/>
    <x v="0"/>
    <s v="Married"/>
    <n v="3420"/>
    <n v="10205"/>
    <n v="7"/>
    <s v="Y"/>
    <s v="No"/>
    <n v="12"/>
    <n v="3"/>
    <n v="3"/>
    <n v="80"/>
    <n v="1"/>
    <n v="17"/>
    <n v="2"/>
    <n v="2"/>
    <x v="0"/>
    <n v="5"/>
    <n v="1"/>
    <n v="2"/>
    <x v="1"/>
    <n v="0"/>
    <n v="0"/>
    <x v="0"/>
    <n v="1"/>
    <m/>
    <m/>
  </r>
  <r>
    <n v="25"/>
    <x v="0"/>
    <s v="Travel_Rarely"/>
    <n v="383"/>
    <s v="Sales"/>
    <n v="9"/>
    <n v="2"/>
    <s v="Life Sciences"/>
    <n v="1"/>
    <n v="1439"/>
    <n v="1"/>
    <x v="1"/>
    <n v="68"/>
    <n v="2"/>
    <x v="1"/>
    <x v="6"/>
    <x v="3"/>
    <s v="Married"/>
    <n v="4400"/>
    <n v="15182"/>
    <n v="3"/>
    <s v="Y"/>
    <s v="No"/>
    <n v="12"/>
    <n v="3"/>
    <n v="1"/>
    <n v="80"/>
    <n v="0"/>
    <n v="6"/>
    <n v="2"/>
    <n v="3"/>
    <x v="11"/>
    <n v="2"/>
    <n v="2"/>
    <n v="2"/>
    <x v="0"/>
    <n v="1"/>
    <n v="79200"/>
    <x v="0"/>
    <n v="1"/>
    <m/>
    <m/>
  </r>
  <r>
    <n v="37"/>
    <x v="1"/>
    <s v="Non-Travel"/>
    <n v="1413"/>
    <s v="Research &amp; Development"/>
    <n v="5"/>
    <n v="2"/>
    <s v="Technical Degree"/>
    <n v="1"/>
    <n v="1440"/>
    <n v="3"/>
    <x v="1"/>
    <n v="84"/>
    <n v="4"/>
    <x v="1"/>
    <x v="2"/>
    <x v="2"/>
    <s v="Single"/>
    <n v="3500"/>
    <n v="25470"/>
    <n v="0"/>
    <s v="Y"/>
    <s v="No"/>
    <n v="14"/>
    <n v="3"/>
    <n v="1"/>
    <n v="80"/>
    <n v="0"/>
    <n v="7"/>
    <n v="2"/>
    <n v="1"/>
    <x v="0"/>
    <n v="5"/>
    <n v="1"/>
    <n v="3"/>
    <x v="1"/>
    <n v="0"/>
    <n v="0"/>
    <x v="0"/>
    <n v="1"/>
    <m/>
    <m/>
  </r>
  <r>
    <n v="56"/>
    <x v="1"/>
    <s v="Travel_Rarely"/>
    <n v="1255"/>
    <s v="Research &amp; Development"/>
    <n v="1"/>
    <n v="2"/>
    <s v="Life Sciences"/>
    <n v="1"/>
    <n v="1441"/>
    <n v="1"/>
    <x v="0"/>
    <n v="90"/>
    <n v="3"/>
    <x v="1"/>
    <x v="1"/>
    <x v="3"/>
    <s v="Married"/>
    <n v="2066"/>
    <n v="10494"/>
    <n v="2"/>
    <s v="Y"/>
    <s v="No"/>
    <n v="22"/>
    <n v="4"/>
    <n v="4"/>
    <n v="80"/>
    <n v="1"/>
    <n v="5"/>
    <n v="3"/>
    <n v="4"/>
    <x v="11"/>
    <n v="2"/>
    <n v="1"/>
    <n v="0"/>
    <x v="1"/>
    <n v="0"/>
    <n v="0"/>
    <x v="1"/>
    <n v="1"/>
    <m/>
    <m/>
  </r>
  <r>
    <n v="47"/>
    <x v="1"/>
    <s v="Travel_Rarely"/>
    <n v="359"/>
    <s v="Research &amp; Development"/>
    <n v="2"/>
    <n v="4"/>
    <s v="Medical"/>
    <n v="1"/>
    <n v="1443"/>
    <n v="1"/>
    <x v="0"/>
    <n v="82"/>
    <n v="3"/>
    <x v="3"/>
    <x v="7"/>
    <x v="2"/>
    <s v="Married"/>
    <n v="17169"/>
    <n v="26703"/>
    <n v="3"/>
    <s v="Y"/>
    <s v="No"/>
    <n v="19"/>
    <n v="3"/>
    <n v="2"/>
    <n v="80"/>
    <n v="2"/>
    <n v="26"/>
    <n v="2"/>
    <n v="4"/>
    <x v="23"/>
    <n v="17"/>
    <n v="5"/>
    <n v="6"/>
    <x v="1"/>
    <n v="0"/>
    <n v="0"/>
    <x v="3"/>
    <n v="1"/>
    <m/>
    <m/>
  </r>
  <r>
    <n v="24"/>
    <x v="1"/>
    <s v="Travel_Rarely"/>
    <n v="1476"/>
    <s v="Sales"/>
    <n v="4"/>
    <n v="1"/>
    <s v="Medical"/>
    <n v="1"/>
    <n v="1445"/>
    <n v="4"/>
    <x v="0"/>
    <n v="42"/>
    <n v="3"/>
    <x v="0"/>
    <x v="0"/>
    <x v="2"/>
    <s v="Married"/>
    <n v="4162"/>
    <n v="15211"/>
    <n v="1"/>
    <s v="Y"/>
    <s v="Yes"/>
    <n v="12"/>
    <n v="3"/>
    <n v="3"/>
    <n v="80"/>
    <n v="2"/>
    <n v="5"/>
    <n v="3"/>
    <n v="3"/>
    <x v="8"/>
    <n v="4"/>
    <n v="0"/>
    <n v="3"/>
    <x v="0"/>
    <n v="0"/>
    <n v="0"/>
    <x v="0"/>
    <n v="1"/>
    <m/>
    <m/>
  </r>
  <r>
    <n v="32"/>
    <x v="1"/>
    <s v="Travel_Rarely"/>
    <n v="601"/>
    <s v="Sales"/>
    <n v="7"/>
    <n v="5"/>
    <s v="Marketing"/>
    <n v="1"/>
    <n v="1446"/>
    <n v="4"/>
    <x v="1"/>
    <n v="97"/>
    <n v="3"/>
    <x v="0"/>
    <x v="0"/>
    <x v="0"/>
    <s v="Married"/>
    <n v="9204"/>
    <n v="23343"/>
    <n v="4"/>
    <s v="Y"/>
    <s v="No"/>
    <n v="12"/>
    <n v="3"/>
    <n v="3"/>
    <n v="80"/>
    <n v="1"/>
    <n v="7"/>
    <n v="3"/>
    <n v="2"/>
    <x v="9"/>
    <n v="3"/>
    <n v="0"/>
    <n v="3"/>
    <x v="0"/>
    <n v="0"/>
    <n v="0"/>
    <x v="2"/>
    <n v="1"/>
    <m/>
    <m/>
  </r>
  <r>
    <n v="34"/>
    <x v="1"/>
    <s v="Travel_Rarely"/>
    <n v="401"/>
    <s v="Research &amp; Development"/>
    <n v="1"/>
    <n v="3"/>
    <s v="Life Sciences"/>
    <n v="1"/>
    <n v="1447"/>
    <n v="4"/>
    <x v="0"/>
    <n v="86"/>
    <n v="2"/>
    <x v="1"/>
    <x v="2"/>
    <x v="1"/>
    <s v="Married"/>
    <n v="3294"/>
    <n v="3708"/>
    <n v="5"/>
    <s v="Y"/>
    <s v="No"/>
    <n v="17"/>
    <n v="3"/>
    <n v="1"/>
    <n v="80"/>
    <n v="1"/>
    <n v="7"/>
    <n v="2"/>
    <n v="2"/>
    <x v="8"/>
    <n v="4"/>
    <n v="0"/>
    <n v="2"/>
    <x v="1"/>
    <n v="0"/>
    <n v="0"/>
    <x v="0"/>
    <n v="1"/>
    <m/>
    <m/>
  </r>
  <r>
    <n v="41"/>
    <x v="1"/>
    <s v="Travel_Rarely"/>
    <n v="1283"/>
    <s v="Research &amp; Development"/>
    <n v="5"/>
    <n v="5"/>
    <s v="Medical"/>
    <n v="1"/>
    <n v="1448"/>
    <n v="2"/>
    <x v="1"/>
    <n v="90"/>
    <n v="4"/>
    <x v="1"/>
    <x v="1"/>
    <x v="2"/>
    <s v="Married"/>
    <n v="2127"/>
    <n v="5561"/>
    <n v="2"/>
    <s v="Y"/>
    <s v="Yes"/>
    <n v="12"/>
    <n v="3"/>
    <n v="1"/>
    <n v="80"/>
    <n v="0"/>
    <n v="7"/>
    <n v="5"/>
    <n v="2"/>
    <x v="9"/>
    <n v="2"/>
    <n v="0"/>
    <n v="3"/>
    <x v="1"/>
    <n v="0"/>
    <n v="0"/>
    <x v="1"/>
    <n v="1"/>
    <m/>
    <m/>
  </r>
  <r>
    <n v="40"/>
    <x v="1"/>
    <s v="Non-Travel"/>
    <n v="663"/>
    <s v="Research &amp; Development"/>
    <n v="9"/>
    <n v="4"/>
    <s v="Other"/>
    <n v="1"/>
    <n v="1449"/>
    <n v="3"/>
    <x v="1"/>
    <n v="81"/>
    <n v="3"/>
    <x v="0"/>
    <x v="2"/>
    <x v="2"/>
    <s v="Divorced"/>
    <n v="3975"/>
    <n v="23099"/>
    <n v="3"/>
    <s v="Y"/>
    <s v="No"/>
    <n v="11"/>
    <n v="3"/>
    <n v="3"/>
    <n v="80"/>
    <n v="2"/>
    <n v="11"/>
    <n v="2"/>
    <n v="4"/>
    <x v="3"/>
    <n v="7"/>
    <n v="0"/>
    <n v="7"/>
    <x v="1"/>
    <n v="0"/>
    <n v="0"/>
    <x v="0"/>
    <n v="1"/>
    <m/>
    <m/>
  </r>
  <r>
    <n v="31"/>
    <x v="1"/>
    <s v="Travel_Rarely"/>
    <n v="326"/>
    <s v="Sales"/>
    <n v="8"/>
    <n v="2"/>
    <s v="Life Sciences"/>
    <n v="1"/>
    <n v="1453"/>
    <n v="1"/>
    <x v="1"/>
    <n v="31"/>
    <n v="3"/>
    <x v="2"/>
    <x v="0"/>
    <x v="0"/>
    <s v="Divorced"/>
    <n v="10793"/>
    <n v="8386"/>
    <n v="1"/>
    <s v="Y"/>
    <s v="No"/>
    <n v="18"/>
    <n v="3"/>
    <n v="1"/>
    <n v="80"/>
    <n v="1"/>
    <n v="13"/>
    <n v="5"/>
    <n v="3"/>
    <x v="20"/>
    <n v="7"/>
    <n v="9"/>
    <n v="9"/>
    <x v="0"/>
    <n v="0"/>
    <n v="0"/>
    <x v="2"/>
    <n v="1"/>
    <m/>
    <m/>
  </r>
  <r>
    <n v="46"/>
    <x v="0"/>
    <s v="Travel_Rarely"/>
    <n v="377"/>
    <s v="Sales"/>
    <n v="9"/>
    <n v="3"/>
    <s v="Marketing"/>
    <n v="1"/>
    <n v="1457"/>
    <n v="1"/>
    <x v="1"/>
    <n v="52"/>
    <n v="3"/>
    <x v="2"/>
    <x v="0"/>
    <x v="0"/>
    <s v="Divorced"/>
    <n v="10096"/>
    <n v="15986"/>
    <n v="4"/>
    <s v="Y"/>
    <s v="No"/>
    <n v="11"/>
    <n v="3"/>
    <n v="1"/>
    <n v="80"/>
    <n v="1"/>
    <n v="28"/>
    <n v="1"/>
    <n v="4"/>
    <x v="5"/>
    <n v="7"/>
    <n v="4"/>
    <n v="3"/>
    <x v="0"/>
    <n v="1"/>
    <n v="181728"/>
    <x v="2"/>
    <n v="1"/>
    <m/>
    <m/>
  </r>
  <r>
    <n v="39"/>
    <x v="0"/>
    <s v="Non-Travel"/>
    <n v="592"/>
    <s v="Research &amp; Development"/>
    <n v="2"/>
    <n v="3"/>
    <s v="Life Sciences"/>
    <n v="1"/>
    <n v="1458"/>
    <n v="1"/>
    <x v="0"/>
    <n v="54"/>
    <n v="2"/>
    <x v="1"/>
    <x v="2"/>
    <x v="3"/>
    <s v="Single"/>
    <n v="3646"/>
    <n v="17181"/>
    <n v="2"/>
    <s v="Y"/>
    <s v="Yes"/>
    <n v="23"/>
    <n v="4"/>
    <n v="2"/>
    <n v="80"/>
    <n v="0"/>
    <n v="11"/>
    <n v="2"/>
    <n v="4"/>
    <x v="6"/>
    <n v="0"/>
    <n v="0"/>
    <n v="0"/>
    <x v="1"/>
    <n v="1"/>
    <n v="65628"/>
    <x v="0"/>
    <n v="1"/>
    <m/>
    <m/>
  </r>
  <r>
    <n v="31"/>
    <x v="0"/>
    <s v="Travel_Frequently"/>
    <n v="1445"/>
    <s v="Research &amp; Development"/>
    <n v="1"/>
    <n v="5"/>
    <s v="Life Sciences"/>
    <n v="1"/>
    <n v="1459"/>
    <n v="3"/>
    <x v="0"/>
    <n v="100"/>
    <n v="4"/>
    <x v="2"/>
    <x v="3"/>
    <x v="1"/>
    <s v="Single"/>
    <n v="7446"/>
    <n v="8931"/>
    <n v="1"/>
    <s v="Y"/>
    <s v="No"/>
    <n v="11"/>
    <n v="3"/>
    <n v="1"/>
    <n v="80"/>
    <n v="0"/>
    <n v="10"/>
    <n v="2"/>
    <n v="3"/>
    <x v="1"/>
    <n v="8"/>
    <n v="4"/>
    <n v="7"/>
    <x v="2"/>
    <n v="1"/>
    <n v="134028"/>
    <x v="4"/>
    <n v="1"/>
    <m/>
    <m/>
  </r>
  <r>
    <n v="45"/>
    <x v="1"/>
    <s v="Travel_Rarely"/>
    <n v="1038"/>
    <s v="Research &amp; Development"/>
    <n v="20"/>
    <n v="3"/>
    <s v="Medical"/>
    <n v="1"/>
    <n v="1460"/>
    <n v="2"/>
    <x v="1"/>
    <n v="95"/>
    <n v="1"/>
    <x v="2"/>
    <x v="4"/>
    <x v="3"/>
    <s v="Divorced"/>
    <n v="10851"/>
    <n v="19863"/>
    <n v="2"/>
    <s v="Y"/>
    <s v="Yes"/>
    <n v="18"/>
    <n v="3"/>
    <n v="2"/>
    <n v="80"/>
    <n v="1"/>
    <n v="24"/>
    <n v="2"/>
    <n v="3"/>
    <x v="5"/>
    <n v="7"/>
    <n v="0"/>
    <n v="7"/>
    <x v="3"/>
    <n v="0"/>
    <n v="0"/>
    <x v="2"/>
    <n v="1"/>
    <m/>
    <m/>
  </r>
  <r>
    <n v="31"/>
    <x v="1"/>
    <s v="Travel_Rarely"/>
    <n v="1398"/>
    <s v="Human Resources"/>
    <n v="8"/>
    <n v="2"/>
    <s v="Medical"/>
    <n v="1"/>
    <n v="1461"/>
    <n v="4"/>
    <x v="0"/>
    <n v="96"/>
    <n v="4"/>
    <x v="1"/>
    <x v="8"/>
    <x v="1"/>
    <s v="Single"/>
    <n v="2109"/>
    <n v="24609"/>
    <n v="9"/>
    <s v="Y"/>
    <s v="No"/>
    <n v="18"/>
    <n v="3"/>
    <n v="4"/>
    <n v="80"/>
    <n v="0"/>
    <n v="8"/>
    <n v="3"/>
    <n v="3"/>
    <x v="11"/>
    <n v="2"/>
    <n v="0"/>
    <n v="2"/>
    <x v="5"/>
    <n v="0"/>
    <n v="0"/>
    <x v="1"/>
    <n v="1"/>
    <m/>
    <m/>
  </r>
  <r>
    <n v="31"/>
    <x v="0"/>
    <s v="Travel_Frequently"/>
    <n v="523"/>
    <s v="Research &amp; Development"/>
    <n v="2"/>
    <n v="3"/>
    <s v="Life Sciences"/>
    <n v="1"/>
    <n v="1464"/>
    <n v="2"/>
    <x v="1"/>
    <n v="94"/>
    <n v="3"/>
    <x v="1"/>
    <x v="2"/>
    <x v="0"/>
    <s v="Married"/>
    <n v="3722"/>
    <n v="21081"/>
    <n v="6"/>
    <s v="Y"/>
    <s v="Yes"/>
    <n v="13"/>
    <n v="3"/>
    <n v="3"/>
    <n v="80"/>
    <n v="1"/>
    <n v="7"/>
    <n v="2"/>
    <n v="1"/>
    <x v="4"/>
    <n v="2"/>
    <n v="2"/>
    <n v="2"/>
    <x v="1"/>
    <n v="1"/>
    <n v="66996"/>
    <x v="0"/>
    <n v="1"/>
    <m/>
    <m/>
  </r>
  <r>
    <n v="45"/>
    <x v="1"/>
    <s v="Travel_Rarely"/>
    <n v="1448"/>
    <s v="Research &amp; Development"/>
    <n v="29"/>
    <n v="3"/>
    <s v="Technical Degree"/>
    <n v="1"/>
    <n v="1465"/>
    <n v="2"/>
    <x v="1"/>
    <n v="55"/>
    <n v="3"/>
    <x v="2"/>
    <x v="3"/>
    <x v="0"/>
    <s v="Married"/>
    <n v="9380"/>
    <n v="14720"/>
    <n v="4"/>
    <s v="Y"/>
    <s v="Yes"/>
    <n v="18"/>
    <n v="3"/>
    <n v="4"/>
    <n v="80"/>
    <n v="2"/>
    <n v="10"/>
    <n v="4"/>
    <n v="4"/>
    <x v="11"/>
    <n v="1"/>
    <n v="1"/>
    <n v="2"/>
    <x v="2"/>
    <n v="0"/>
    <n v="0"/>
    <x v="2"/>
    <n v="1"/>
    <m/>
    <m/>
  </r>
  <r>
    <n v="48"/>
    <x v="1"/>
    <s v="Travel_Rarely"/>
    <n v="1221"/>
    <s v="Sales"/>
    <n v="7"/>
    <n v="3"/>
    <s v="Marketing"/>
    <n v="1"/>
    <n v="1466"/>
    <n v="3"/>
    <x v="1"/>
    <n v="96"/>
    <n v="3"/>
    <x v="0"/>
    <x v="0"/>
    <x v="3"/>
    <s v="Divorced"/>
    <n v="5486"/>
    <n v="24795"/>
    <n v="4"/>
    <s v="Y"/>
    <s v="No"/>
    <n v="11"/>
    <n v="3"/>
    <n v="1"/>
    <n v="80"/>
    <n v="3"/>
    <n v="15"/>
    <n v="3"/>
    <n v="3"/>
    <x v="4"/>
    <n v="2"/>
    <n v="2"/>
    <n v="2"/>
    <x v="0"/>
    <n v="0"/>
    <n v="0"/>
    <x v="0"/>
    <n v="1"/>
    <m/>
    <m/>
  </r>
  <r>
    <n v="34"/>
    <x v="0"/>
    <s v="Travel_Rarely"/>
    <n v="1107"/>
    <s v="Human Resources"/>
    <n v="9"/>
    <n v="4"/>
    <s v="Technical Degree"/>
    <n v="1"/>
    <n v="1467"/>
    <n v="1"/>
    <x v="0"/>
    <n v="52"/>
    <n v="3"/>
    <x v="1"/>
    <x v="8"/>
    <x v="2"/>
    <s v="Married"/>
    <n v="2742"/>
    <n v="3072"/>
    <n v="1"/>
    <s v="Y"/>
    <s v="No"/>
    <n v="15"/>
    <n v="3"/>
    <n v="4"/>
    <n v="80"/>
    <n v="0"/>
    <n v="2"/>
    <n v="0"/>
    <n v="3"/>
    <x v="4"/>
    <n v="2"/>
    <n v="2"/>
    <n v="2"/>
    <x v="5"/>
    <n v="1"/>
    <n v="49356"/>
    <x v="1"/>
    <n v="1"/>
    <m/>
    <m/>
  </r>
  <r>
    <n v="40"/>
    <x v="1"/>
    <s v="Non-Travel"/>
    <n v="218"/>
    <s v="Research &amp; Development"/>
    <n v="8"/>
    <n v="1"/>
    <s v="Medical"/>
    <n v="1"/>
    <n v="1468"/>
    <n v="4"/>
    <x v="1"/>
    <n v="55"/>
    <n v="2"/>
    <x v="2"/>
    <x v="7"/>
    <x v="1"/>
    <s v="Divorced"/>
    <n v="13757"/>
    <n v="25178"/>
    <n v="2"/>
    <s v="Y"/>
    <s v="No"/>
    <n v="11"/>
    <n v="3"/>
    <n v="3"/>
    <n v="80"/>
    <n v="1"/>
    <n v="16"/>
    <n v="5"/>
    <n v="3"/>
    <x v="7"/>
    <n v="8"/>
    <n v="4"/>
    <n v="8"/>
    <x v="1"/>
    <n v="0"/>
    <n v="0"/>
    <x v="3"/>
    <n v="1"/>
    <m/>
    <m/>
  </r>
  <r>
    <n v="28"/>
    <x v="1"/>
    <s v="Travel_Rarely"/>
    <n v="866"/>
    <s v="Sales"/>
    <n v="5"/>
    <n v="3"/>
    <s v="Medical"/>
    <n v="1"/>
    <n v="1469"/>
    <n v="4"/>
    <x v="1"/>
    <n v="84"/>
    <n v="3"/>
    <x v="0"/>
    <x v="0"/>
    <x v="3"/>
    <s v="Single"/>
    <n v="8463"/>
    <n v="23490"/>
    <n v="0"/>
    <s v="Y"/>
    <s v="No"/>
    <n v="18"/>
    <n v="3"/>
    <n v="4"/>
    <n v="80"/>
    <n v="0"/>
    <n v="6"/>
    <n v="4"/>
    <n v="3"/>
    <x v="8"/>
    <n v="4"/>
    <n v="1"/>
    <n v="3"/>
    <x v="0"/>
    <n v="0"/>
    <n v="0"/>
    <x v="4"/>
    <n v="1"/>
    <m/>
    <m/>
  </r>
  <r>
    <n v="44"/>
    <x v="1"/>
    <s v="Non-Travel"/>
    <n v="981"/>
    <s v="Research &amp; Development"/>
    <n v="5"/>
    <n v="3"/>
    <s v="Life Sciences"/>
    <n v="1"/>
    <n v="1471"/>
    <n v="3"/>
    <x v="1"/>
    <n v="90"/>
    <n v="2"/>
    <x v="1"/>
    <x v="2"/>
    <x v="2"/>
    <s v="Single"/>
    <n v="3162"/>
    <n v="7973"/>
    <n v="3"/>
    <s v="Y"/>
    <s v="No"/>
    <n v="14"/>
    <n v="3"/>
    <n v="4"/>
    <n v="80"/>
    <n v="0"/>
    <n v="7"/>
    <n v="5"/>
    <n v="3"/>
    <x v="8"/>
    <n v="2"/>
    <n v="0"/>
    <n v="3"/>
    <x v="1"/>
    <n v="0"/>
    <n v="0"/>
    <x v="0"/>
    <n v="1"/>
    <m/>
    <m/>
  </r>
  <r>
    <n v="53"/>
    <x v="1"/>
    <s v="Travel_Rarely"/>
    <n v="447"/>
    <s v="Research &amp; Development"/>
    <n v="2"/>
    <n v="3"/>
    <s v="Medical"/>
    <n v="1"/>
    <n v="1472"/>
    <n v="4"/>
    <x v="1"/>
    <n v="39"/>
    <n v="4"/>
    <x v="3"/>
    <x v="7"/>
    <x v="1"/>
    <s v="Single"/>
    <n v="16598"/>
    <n v="19764"/>
    <n v="4"/>
    <s v="Y"/>
    <s v="No"/>
    <n v="12"/>
    <n v="3"/>
    <n v="2"/>
    <n v="80"/>
    <n v="0"/>
    <n v="35"/>
    <n v="2"/>
    <n v="2"/>
    <x v="7"/>
    <n v="8"/>
    <n v="8"/>
    <n v="8"/>
    <x v="1"/>
    <n v="0"/>
    <n v="0"/>
    <x v="3"/>
    <n v="1"/>
    <m/>
    <m/>
  </r>
  <r>
    <n v="49"/>
    <x v="1"/>
    <s v="Travel_Rarely"/>
    <n v="1495"/>
    <s v="Research &amp; Development"/>
    <n v="5"/>
    <n v="4"/>
    <s v="Technical Degree"/>
    <n v="1"/>
    <n v="1473"/>
    <n v="1"/>
    <x v="1"/>
    <n v="96"/>
    <n v="3"/>
    <x v="0"/>
    <x v="4"/>
    <x v="2"/>
    <s v="Married"/>
    <n v="6651"/>
    <n v="21534"/>
    <n v="2"/>
    <s v="Y"/>
    <s v="No"/>
    <n v="14"/>
    <n v="3"/>
    <n v="2"/>
    <n v="80"/>
    <n v="1"/>
    <n v="20"/>
    <n v="0"/>
    <n v="2"/>
    <x v="11"/>
    <n v="2"/>
    <n v="1"/>
    <n v="2"/>
    <x v="3"/>
    <n v="0"/>
    <n v="0"/>
    <x v="4"/>
    <n v="1"/>
    <m/>
    <m/>
  </r>
  <r>
    <n v="40"/>
    <x v="1"/>
    <s v="Travel_Rarely"/>
    <n v="896"/>
    <s v="Research &amp; Development"/>
    <n v="2"/>
    <n v="3"/>
    <s v="Medical"/>
    <n v="1"/>
    <n v="1474"/>
    <n v="3"/>
    <x v="1"/>
    <n v="68"/>
    <n v="3"/>
    <x v="1"/>
    <x v="1"/>
    <x v="2"/>
    <s v="Divorced"/>
    <n v="2345"/>
    <n v="8045"/>
    <n v="2"/>
    <s v="Y"/>
    <s v="No"/>
    <n v="14"/>
    <n v="3"/>
    <n v="3"/>
    <n v="80"/>
    <n v="1"/>
    <n v="8"/>
    <n v="3"/>
    <n v="4"/>
    <x v="11"/>
    <n v="1"/>
    <n v="1"/>
    <n v="2"/>
    <x v="1"/>
    <n v="0"/>
    <n v="0"/>
    <x v="1"/>
    <n v="1"/>
    <m/>
    <m/>
  </r>
  <r>
    <n v="44"/>
    <x v="1"/>
    <s v="Travel_Rarely"/>
    <n v="1467"/>
    <s v="Research &amp; Development"/>
    <n v="20"/>
    <n v="3"/>
    <s v="Life Sciences"/>
    <n v="1"/>
    <n v="1475"/>
    <n v="4"/>
    <x v="1"/>
    <n v="49"/>
    <n v="3"/>
    <x v="1"/>
    <x v="1"/>
    <x v="1"/>
    <s v="Single"/>
    <n v="3420"/>
    <n v="21158"/>
    <n v="1"/>
    <s v="Y"/>
    <s v="No"/>
    <n v="13"/>
    <n v="3"/>
    <n v="3"/>
    <n v="80"/>
    <n v="0"/>
    <n v="6"/>
    <n v="3"/>
    <n v="2"/>
    <x v="8"/>
    <n v="2"/>
    <n v="1"/>
    <n v="3"/>
    <x v="1"/>
    <n v="0"/>
    <n v="0"/>
    <x v="0"/>
    <n v="1"/>
    <m/>
    <m/>
  </r>
  <r>
    <n v="33"/>
    <x v="1"/>
    <s v="Travel_Frequently"/>
    <n v="430"/>
    <s v="Sales"/>
    <n v="7"/>
    <n v="3"/>
    <s v="Medical"/>
    <n v="1"/>
    <n v="1477"/>
    <n v="4"/>
    <x v="1"/>
    <n v="54"/>
    <n v="3"/>
    <x v="0"/>
    <x v="0"/>
    <x v="3"/>
    <s v="Married"/>
    <n v="4373"/>
    <n v="17456"/>
    <n v="0"/>
    <s v="Y"/>
    <s v="No"/>
    <n v="14"/>
    <n v="3"/>
    <n v="1"/>
    <n v="80"/>
    <n v="2"/>
    <n v="5"/>
    <n v="2"/>
    <n v="3"/>
    <x v="9"/>
    <n v="3"/>
    <n v="0"/>
    <n v="3"/>
    <x v="0"/>
    <n v="0"/>
    <n v="0"/>
    <x v="0"/>
    <n v="1"/>
    <m/>
    <m/>
  </r>
  <r>
    <n v="34"/>
    <x v="1"/>
    <s v="Travel_Rarely"/>
    <n v="1326"/>
    <s v="Sales"/>
    <n v="3"/>
    <n v="3"/>
    <s v="Other"/>
    <n v="1"/>
    <n v="1478"/>
    <n v="4"/>
    <x v="1"/>
    <n v="81"/>
    <n v="1"/>
    <x v="0"/>
    <x v="0"/>
    <x v="3"/>
    <s v="Single"/>
    <n v="4759"/>
    <n v="15891"/>
    <n v="3"/>
    <s v="Y"/>
    <s v="No"/>
    <n v="18"/>
    <n v="3"/>
    <n v="4"/>
    <n v="80"/>
    <n v="0"/>
    <n v="15"/>
    <n v="2"/>
    <n v="3"/>
    <x v="20"/>
    <n v="9"/>
    <n v="3"/>
    <n v="12"/>
    <x v="0"/>
    <n v="0"/>
    <n v="0"/>
    <x v="0"/>
    <n v="1"/>
    <m/>
    <m/>
  </r>
  <r>
    <n v="30"/>
    <x v="1"/>
    <s v="Travel_Rarely"/>
    <n v="1358"/>
    <s v="Sales"/>
    <n v="16"/>
    <n v="1"/>
    <s v="Life Sciences"/>
    <n v="1"/>
    <n v="1479"/>
    <n v="4"/>
    <x v="1"/>
    <n v="96"/>
    <n v="3"/>
    <x v="0"/>
    <x v="0"/>
    <x v="2"/>
    <s v="Married"/>
    <n v="5301"/>
    <n v="2939"/>
    <n v="8"/>
    <s v="Y"/>
    <s v="No"/>
    <n v="15"/>
    <n v="3"/>
    <n v="3"/>
    <n v="80"/>
    <n v="2"/>
    <n v="4"/>
    <n v="2"/>
    <n v="2"/>
    <x v="4"/>
    <n v="1"/>
    <n v="2"/>
    <n v="2"/>
    <x v="0"/>
    <n v="0"/>
    <n v="0"/>
    <x v="0"/>
    <n v="1"/>
    <m/>
    <m/>
  </r>
  <r>
    <n v="42"/>
    <x v="1"/>
    <s v="Travel_Frequently"/>
    <n v="748"/>
    <s v="Research &amp; Development"/>
    <n v="9"/>
    <n v="2"/>
    <s v="Medical"/>
    <n v="1"/>
    <n v="1480"/>
    <n v="1"/>
    <x v="0"/>
    <n v="74"/>
    <n v="3"/>
    <x v="1"/>
    <x v="2"/>
    <x v="0"/>
    <s v="Single"/>
    <n v="3673"/>
    <n v="16458"/>
    <n v="1"/>
    <s v="Y"/>
    <s v="No"/>
    <n v="13"/>
    <n v="3"/>
    <n v="3"/>
    <n v="80"/>
    <n v="0"/>
    <n v="12"/>
    <n v="3"/>
    <n v="3"/>
    <x v="12"/>
    <n v="9"/>
    <n v="5"/>
    <n v="8"/>
    <x v="1"/>
    <n v="0"/>
    <n v="0"/>
    <x v="0"/>
    <n v="1"/>
    <m/>
    <m/>
  </r>
  <r>
    <n v="44"/>
    <x v="1"/>
    <s v="Travel_Frequently"/>
    <n v="383"/>
    <s v="Sales"/>
    <n v="1"/>
    <n v="5"/>
    <s v="Marketing"/>
    <n v="1"/>
    <n v="1481"/>
    <n v="1"/>
    <x v="0"/>
    <n v="79"/>
    <n v="3"/>
    <x v="0"/>
    <x v="0"/>
    <x v="2"/>
    <s v="Married"/>
    <n v="4768"/>
    <n v="9282"/>
    <n v="7"/>
    <s v="Y"/>
    <s v="No"/>
    <n v="12"/>
    <n v="3"/>
    <n v="3"/>
    <n v="80"/>
    <n v="1"/>
    <n v="11"/>
    <n v="4"/>
    <n v="2"/>
    <x v="6"/>
    <n v="0"/>
    <n v="0"/>
    <n v="0"/>
    <x v="0"/>
    <n v="0"/>
    <n v="0"/>
    <x v="0"/>
    <n v="1"/>
    <m/>
    <m/>
  </r>
  <r>
    <n v="30"/>
    <x v="1"/>
    <s v="Non-Travel"/>
    <n v="990"/>
    <s v="Research &amp; Development"/>
    <n v="7"/>
    <n v="3"/>
    <s v="Technical Degree"/>
    <n v="1"/>
    <n v="1482"/>
    <n v="3"/>
    <x v="1"/>
    <n v="64"/>
    <n v="3"/>
    <x v="1"/>
    <x v="1"/>
    <x v="2"/>
    <s v="Divorced"/>
    <n v="1274"/>
    <n v="7152"/>
    <n v="1"/>
    <s v="Y"/>
    <s v="No"/>
    <n v="13"/>
    <n v="3"/>
    <n v="2"/>
    <n v="80"/>
    <n v="2"/>
    <n v="1"/>
    <n v="2"/>
    <n v="2"/>
    <x v="6"/>
    <n v="0"/>
    <n v="0"/>
    <n v="0"/>
    <x v="1"/>
    <n v="0"/>
    <n v="0"/>
    <x v="1"/>
    <n v="1"/>
    <m/>
    <m/>
  </r>
  <r>
    <n v="57"/>
    <x v="1"/>
    <s v="Travel_Rarely"/>
    <n v="405"/>
    <s v="Research &amp; Development"/>
    <n v="1"/>
    <n v="2"/>
    <s v="Life Sciences"/>
    <n v="1"/>
    <n v="1483"/>
    <n v="2"/>
    <x v="1"/>
    <n v="93"/>
    <n v="4"/>
    <x v="0"/>
    <x v="1"/>
    <x v="2"/>
    <s v="Married"/>
    <n v="4900"/>
    <n v="2721"/>
    <n v="0"/>
    <s v="Y"/>
    <s v="No"/>
    <n v="24"/>
    <n v="4"/>
    <n v="1"/>
    <n v="80"/>
    <n v="1"/>
    <n v="13"/>
    <n v="2"/>
    <n v="2"/>
    <x v="12"/>
    <n v="9"/>
    <n v="2"/>
    <n v="8"/>
    <x v="1"/>
    <n v="0"/>
    <n v="0"/>
    <x v="0"/>
    <n v="1"/>
    <m/>
    <m/>
  </r>
  <r>
    <n v="49"/>
    <x v="1"/>
    <s v="Travel_Rarely"/>
    <n v="1490"/>
    <s v="Research &amp; Development"/>
    <n v="7"/>
    <n v="4"/>
    <s v="Life Sciences"/>
    <n v="1"/>
    <n v="1484"/>
    <n v="3"/>
    <x v="1"/>
    <n v="35"/>
    <n v="3"/>
    <x v="2"/>
    <x v="4"/>
    <x v="1"/>
    <s v="Divorced"/>
    <n v="10466"/>
    <n v="20948"/>
    <n v="3"/>
    <s v="Y"/>
    <s v="No"/>
    <n v="14"/>
    <n v="3"/>
    <n v="2"/>
    <n v="80"/>
    <n v="2"/>
    <n v="29"/>
    <n v="3"/>
    <n v="3"/>
    <x v="3"/>
    <n v="7"/>
    <n v="0"/>
    <n v="7"/>
    <x v="3"/>
    <n v="0"/>
    <n v="0"/>
    <x v="2"/>
    <n v="1"/>
    <m/>
    <m/>
  </r>
  <r>
    <n v="34"/>
    <x v="1"/>
    <s v="Travel_Frequently"/>
    <n v="829"/>
    <s v="Research &amp; Development"/>
    <n v="15"/>
    <n v="3"/>
    <s v="Medical"/>
    <n v="1"/>
    <n v="1485"/>
    <n v="2"/>
    <x v="1"/>
    <n v="71"/>
    <n v="3"/>
    <x v="3"/>
    <x v="7"/>
    <x v="3"/>
    <s v="Divorced"/>
    <n v="17007"/>
    <n v="11929"/>
    <n v="7"/>
    <s v="Y"/>
    <s v="No"/>
    <n v="14"/>
    <n v="3"/>
    <n v="4"/>
    <n v="80"/>
    <n v="2"/>
    <n v="16"/>
    <n v="3"/>
    <n v="2"/>
    <x v="13"/>
    <n v="8"/>
    <n v="6"/>
    <n v="9"/>
    <x v="1"/>
    <n v="0"/>
    <n v="0"/>
    <x v="3"/>
    <n v="1"/>
    <m/>
    <m/>
  </r>
  <r>
    <n v="28"/>
    <x v="0"/>
    <s v="Travel_Frequently"/>
    <n v="1496"/>
    <s v="Sales"/>
    <n v="1"/>
    <n v="3"/>
    <s v="Technical Degree"/>
    <n v="1"/>
    <n v="1486"/>
    <n v="1"/>
    <x v="1"/>
    <n v="92"/>
    <n v="3"/>
    <x v="1"/>
    <x v="6"/>
    <x v="2"/>
    <s v="Married"/>
    <n v="2909"/>
    <n v="15747"/>
    <n v="3"/>
    <s v="Y"/>
    <s v="No"/>
    <n v="15"/>
    <n v="3"/>
    <n v="4"/>
    <n v="80"/>
    <n v="1"/>
    <n v="5"/>
    <n v="3"/>
    <n v="4"/>
    <x v="11"/>
    <n v="2"/>
    <n v="1"/>
    <n v="2"/>
    <x v="0"/>
    <n v="1"/>
    <n v="52362"/>
    <x v="1"/>
    <n v="1"/>
    <m/>
    <m/>
  </r>
  <r>
    <n v="29"/>
    <x v="0"/>
    <s v="Travel_Frequently"/>
    <n v="115"/>
    <s v="Sales"/>
    <n v="13"/>
    <n v="3"/>
    <s v="Technical Degree"/>
    <n v="1"/>
    <n v="1487"/>
    <n v="1"/>
    <x v="0"/>
    <n v="51"/>
    <n v="3"/>
    <x v="0"/>
    <x v="0"/>
    <x v="1"/>
    <s v="Single"/>
    <n v="5765"/>
    <n v="17485"/>
    <n v="5"/>
    <s v="Y"/>
    <s v="No"/>
    <n v="11"/>
    <n v="3"/>
    <n v="1"/>
    <n v="80"/>
    <n v="0"/>
    <n v="7"/>
    <n v="4"/>
    <n v="1"/>
    <x v="8"/>
    <n v="3"/>
    <n v="0"/>
    <n v="0"/>
    <x v="0"/>
    <n v="1"/>
    <n v="103770"/>
    <x v="0"/>
    <n v="1"/>
    <m/>
    <m/>
  </r>
  <r>
    <n v="34"/>
    <x v="0"/>
    <s v="Travel_Rarely"/>
    <n v="790"/>
    <s v="Sales"/>
    <n v="24"/>
    <n v="4"/>
    <s v="Medical"/>
    <n v="1"/>
    <n v="1489"/>
    <n v="1"/>
    <x v="0"/>
    <n v="40"/>
    <n v="2"/>
    <x v="0"/>
    <x v="0"/>
    <x v="1"/>
    <s v="Single"/>
    <n v="4599"/>
    <n v="7815"/>
    <n v="0"/>
    <s v="Y"/>
    <s v="Yes"/>
    <n v="23"/>
    <n v="4"/>
    <n v="3"/>
    <n v="80"/>
    <n v="0"/>
    <n v="16"/>
    <n v="2"/>
    <n v="4"/>
    <x v="15"/>
    <n v="9"/>
    <n v="10"/>
    <n v="10"/>
    <x v="0"/>
    <n v="1"/>
    <n v="82782"/>
    <x v="0"/>
    <n v="1"/>
    <m/>
    <m/>
  </r>
  <r>
    <n v="35"/>
    <x v="1"/>
    <s v="Travel_Rarely"/>
    <n v="660"/>
    <s v="Sales"/>
    <n v="7"/>
    <n v="1"/>
    <s v="Life Sciences"/>
    <n v="1"/>
    <n v="1492"/>
    <n v="4"/>
    <x v="1"/>
    <n v="76"/>
    <n v="3"/>
    <x v="1"/>
    <x v="6"/>
    <x v="2"/>
    <s v="Married"/>
    <n v="2404"/>
    <n v="16192"/>
    <n v="1"/>
    <s v="Y"/>
    <s v="No"/>
    <n v="13"/>
    <n v="3"/>
    <n v="1"/>
    <n v="80"/>
    <n v="1"/>
    <n v="1"/>
    <n v="3"/>
    <n v="3"/>
    <x v="6"/>
    <n v="0"/>
    <n v="0"/>
    <n v="0"/>
    <x v="0"/>
    <n v="0"/>
    <n v="0"/>
    <x v="1"/>
    <n v="1"/>
    <m/>
    <m/>
  </r>
  <r>
    <n v="24"/>
    <x v="0"/>
    <s v="Travel_Frequently"/>
    <n v="381"/>
    <s v="Research &amp; Development"/>
    <n v="9"/>
    <n v="3"/>
    <s v="Medical"/>
    <n v="1"/>
    <n v="1494"/>
    <n v="2"/>
    <x v="1"/>
    <n v="89"/>
    <n v="3"/>
    <x v="1"/>
    <x v="2"/>
    <x v="3"/>
    <s v="Single"/>
    <n v="3172"/>
    <n v="16998"/>
    <n v="2"/>
    <s v="Y"/>
    <s v="Yes"/>
    <n v="11"/>
    <n v="3"/>
    <n v="3"/>
    <n v="80"/>
    <n v="0"/>
    <n v="4"/>
    <n v="2"/>
    <n v="2"/>
    <x v="2"/>
    <n v="0"/>
    <n v="0"/>
    <n v="0"/>
    <x v="1"/>
    <n v="1"/>
    <n v="57096"/>
    <x v="0"/>
    <n v="1"/>
    <m/>
    <m/>
  </r>
  <r>
    <n v="24"/>
    <x v="1"/>
    <s v="Non-Travel"/>
    <n v="830"/>
    <s v="Sales"/>
    <n v="13"/>
    <n v="2"/>
    <s v="Life Sciences"/>
    <n v="1"/>
    <n v="1495"/>
    <n v="4"/>
    <x v="0"/>
    <n v="78"/>
    <n v="3"/>
    <x v="1"/>
    <x v="6"/>
    <x v="1"/>
    <s v="Married"/>
    <n v="2033"/>
    <n v="7103"/>
    <n v="1"/>
    <s v="Y"/>
    <s v="No"/>
    <n v="13"/>
    <n v="3"/>
    <n v="3"/>
    <n v="80"/>
    <n v="1"/>
    <n v="1"/>
    <n v="2"/>
    <n v="3"/>
    <x v="6"/>
    <n v="0"/>
    <n v="0"/>
    <n v="0"/>
    <x v="0"/>
    <n v="0"/>
    <n v="0"/>
    <x v="1"/>
    <n v="1"/>
    <m/>
    <m/>
  </r>
  <r>
    <n v="44"/>
    <x v="1"/>
    <s v="Travel_Frequently"/>
    <n v="1193"/>
    <s v="Research &amp; Development"/>
    <n v="2"/>
    <n v="1"/>
    <s v="Medical"/>
    <n v="1"/>
    <n v="1496"/>
    <n v="2"/>
    <x v="1"/>
    <n v="86"/>
    <n v="3"/>
    <x v="2"/>
    <x v="3"/>
    <x v="2"/>
    <s v="Single"/>
    <n v="10209"/>
    <n v="19719"/>
    <n v="5"/>
    <s v="Y"/>
    <s v="Yes"/>
    <n v="18"/>
    <n v="3"/>
    <n v="2"/>
    <n v="80"/>
    <n v="0"/>
    <n v="16"/>
    <n v="2"/>
    <n v="2"/>
    <x v="4"/>
    <n v="2"/>
    <n v="2"/>
    <n v="2"/>
    <x v="2"/>
    <n v="0"/>
    <n v="0"/>
    <x v="2"/>
    <n v="1"/>
    <m/>
    <m/>
  </r>
  <r>
    <n v="29"/>
    <x v="1"/>
    <s v="Travel_Rarely"/>
    <n v="1246"/>
    <s v="Sales"/>
    <n v="19"/>
    <n v="3"/>
    <s v="Life Sciences"/>
    <n v="1"/>
    <n v="1497"/>
    <n v="3"/>
    <x v="1"/>
    <n v="77"/>
    <n v="2"/>
    <x v="0"/>
    <x v="0"/>
    <x v="2"/>
    <s v="Divorced"/>
    <n v="8620"/>
    <n v="23757"/>
    <n v="1"/>
    <s v="Y"/>
    <s v="No"/>
    <n v="14"/>
    <n v="3"/>
    <n v="3"/>
    <n v="80"/>
    <n v="2"/>
    <n v="10"/>
    <n v="3"/>
    <n v="3"/>
    <x v="1"/>
    <n v="7"/>
    <n v="0"/>
    <n v="4"/>
    <x v="0"/>
    <n v="0"/>
    <n v="0"/>
    <x v="4"/>
    <n v="1"/>
    <m/>
    <m/>
  </r>
  <r>
    <n v="30"/>
    <x v="1"/>
    <s v="Travel_Rarely"/>
    <n v="330"/>
    <s v="Human Resources"/>
    <n v="1"/>
    <n v="3"/>
    <s v="Life Sciences"/>
    <n v="1"/>
    <n v="1499"/>
    <n v="3"/>
    <x v="1"/>
    <n v="46"/>
    <n v="3"/>
    <x v="1"/>
    <x v="8"/>
    <x v="2"/>
    <s v="Divorced"/>
    <n v="2064"/>
    <n v="15428"/>
    <n v="0"/>
    <s v="Y"/>
    <s v="No"/>
    <n v="21"/>
    <n v="4"/>
    <n v="1"/>
    <n v="80"/>
    <n v="1"/>
    <n v="6"/>
    <n v="3"/>
    <n v="4"/>
    <x v="8"/>
    <n v="3"/>
    <n v="1"/>
    <n v="3"/>
    <x v="5"/>
    <n v="0"/>
    <n v="0"/>
    <x v="1"/>
    <n v="1"/>
    <m/>
    <m/>
  </r>
  <r>
    <n v="55"/>
    <x v="1"/>
    <s v="Travel_Rarely"/>
    <n v="1229"/>
    <s v="Research &amp; Development"/>
    <n v="4"/>
    <n v="4"/>
    <s v="Life Sciences"/>
    <n v="1"/>
    <n v="1501"/>
    <n v="4"/>
    <x v="1"/>
    <n v="30"/>
    <n v="3"/>
    <x v="0"/>
    <x v="4"/>
    <x v="2"/>
    <s v="Married"/>
    <n v="4035"/>
    <n v="16143"/>
    <n v="0"/>
    <s v="Y"/>
    <s v="Yes"/>
    <n v="16"/>
    <n v="3"/>
    <n v="2"/>
    <n v="80"/>
    <n v="0"/>
    <n v="4"/>
    <n v="2"/>
    <n v="3"/>
    <x v="11"/>
    <n v="2"/>
    <n v="1"/>
    <n v="2"/>
    <x v="3"/>
    <n v="0"/>
    <n v="0"/>
    <x v="0"/>
    <n v="1"/>
    <m/>
    <m/>
  </r>
  <r>
    <n v="33"/>
    <x v="1"/>
    <s v="Travel_Rarely"/>
    <n v="1099"/>
    <s v="Research &amp; Development"/>
    <n v="4"/>
    <n v="4"/>
    <s v="Medical"/>
    <n v="1"/>
    <n v="1502"/>
    <n v="1"/>
    <x v="0"/>
    <n v="82"/>
    <n v="2"/>
    <x v="1"/>
    <x v="2"/>
    <x v="1"/>
    <s v="Married"/>
    <n v="3838"/>
    <n v="8192"/>
    <n v="8"/>
    <s v="Y"/>
    <s v="No"/>
    <n v="11"/>
    <n v="3"/>
    <n v="4"/>
    <n v="80"/>
    <n v="0"/>
    <n v="8"/>
    <n v="5"/>
    <n v="3"/>
    <x v="8"/>
    <n v="4"/>
    <n v="0"/>
    <n v="2"/>
    <x v="1"/>
    <n v="0"/>
    <n v="0"/>
    <x v="0"/>
    <n v="1"/>
    <m/>
    <m/>
  </r>
  <r>
    <n v="47"/>
    <x v="1"/>
    <s v="Travel_Rarely"/>
    <n v="571"/>
    <s v="Sales"/>
    <n v="14"/>
    <n v="3"/>
    <s v="Medical"/>
    <n v="1"/>
    <n v="1503"/>
    <n v="3"/>
    <x v="0"/>
    <n v="78"/>
    <n v="3"/>
    <x v="0"/>
    <x v="0"/>
    <x v="2"/>
    <s v="Married"/>
    <n v="4591"/>
    <n v="24200"/>
    <n v="3"/>
    <s v="Y"/>
    <s v="Yes"/>
    <n v="17"/>
    <n v="3"/>
    <n v="3"/>
    <n v="80"/>
    <n v="1"/>
    <n v="11"/>
    <n v="4"/>
    <n v="2"/>
    <x v="8"/>
    <n v="4"/>
    <n v="1"/>
    <n v="2"/>
    <x v="0"/>
    <n v="0"/>
    <n v="0"/>
    <x v="0"/>
    <n v="1"/>
    <m/>
    <m/>
  </r>
  <r>
    <n v="28"/>
    <x v="0"/>
    <s v="Travel_Frequently"/>
    <n v="289"/>
    <s v="Research &amp; Development"/>
    <n v="2"/>
    <n v="2"/>
    <s v="Medical"/>
    <n v="1"/>
    <n v="1504"/>
    <n v="3"/>
    <x v="1"/>
    <n v="38"/>
    <n v="2"/>
    <x v="1"/>
    <x v="2"/>
    <x v="3"/>
    <s v="Single"/>
    <n v="2561"/>
    <n v="5355"/>
    <n v="7"/>
    <s v="Y"/>
    <s v="No"/>
    <n v="11"/>
    <n v="3"/>
    <n v="3"/>
    <n v="80"/>
    <n v="0"/>
    <n v="8"/>
    <n v="2"/>
    <n v="2"/>
    <x v="2"/>
    <n v="0"/>
    <n v="0"/>
    <n v="0"/>
    <x v="1"/>
    <n v="1"/>
    <n v="46098"/>
    <x v="1"/>
    <n v="1"/>
    <m/>
    <m/>
  </r>
  <r>
    <n v="28"/>
    <x v="1"/>
    <s v="Travel_Rarely"/>
    <n v="1423"/>
    <s v="Research &amp; Development"/>
    <n v="1"/>
    <n v="3"/>
    <s v="Life Sciences"/>
    <n v="1"/>
    <n v="1506"/>
    <n v="1"/>
    <x v="1"/>
    <n v="72"/>
    <n v="2"/>
    <x v="1"/>
    <x v="1"/>
    <x v="2"/>
    <s v="Divorced"/>
    <n v="1563"/>
    <n v="12530"/>
    <n v="1"/>
    <s v="Y"/>
    <s v="No"/>
    <n v="14"/>
    <n v="3"/>
    <n v="4"/>
    <n v="80"/>
    <n v="1"/>
    <n v="1"/>
    <n v="2"/>
    <n v="1"/>
    <x v="6"/>
    <n v="0"/>
    <n v="0"/>
    <n v="0"/>
    <x v="1"/>
    <n v="0"/>
    <n v="0"/>
    <x v="1"/>
    <n v="1"/>
    <m/>
    <m/>
  </r>
  <r>
    <n v="28"/>
    <x v="1"/>
    <s v="Travel_Frequently"/>
    <n v="467"/>
    <s v="Sales"/>
    <n v="7"/>
    <n v="3"/>
    <s v="Life Sciences"/>
    <n v="1"/>
    <n v="1507"/>
    <n v="3"/>
    <x v="1"/>
    <n v="55"/>
    <n v="3"/>
    <x v="0"/>
    <x v="0"/>
    <x v="3"/>
    <s v="Single"/>
    <n v="4898"/>
    <n v="11827"/>
    <n v="0"/>
    <s v="Y"/>
    <s v="No"/>
    <n v="14"/>
    <n v="3"/>
    <n v="4"/>
    <n v="80"/>
    <n v="0"/>
    <n v="5"/>
    <n v="5"/>
    <n v="3"/>
    <x v="9"/>
    <n v="2"/>
    <n v="1"/>
    <n v="3"/>
    <x v="0"/>
    <n v="0"/>
    <n v="0"/>
    <x v="0"/>
    <n v="1"/>
    <m/>
    <m/>
  </r>
  <r>
    <n v="49"/>
    <x v="1"/>
    <s v="Travel_Rarely"/>
    <n v="271"/>
    <s v="Research &amp; Development"/>
    <n v="3"/>
    <n v="2"/>
    <s v="Medical"/>
    <n v="1"/>
    <n v="1509"/>
    <n v="3"/>
    <x v="0"/>
    <n v="43"/>
    <n v="2"/>
    <x v="0"/>
    <x v="2"/>
    <x v="3"/>
    <s v="Married"/>
    <n v="4789"/>
    <n v="23070"/>
    <n v="4"/>
    <s v="Y"/>
    <s v="No"/>
    <n v="25"/>
    <n v="4"/>
    <n v="1"/>
    <n v="80"/>
    <n v="1"/>
    <n v="10"/>
    <n v="3"/>
    <n v="3"/>
    <x v="11"/>
    <n v="2"/>
    <n v="1"/>
    <n v="2"/>
    <x v="1"/>
    <n v="0"/>
    <n v="0"/>
    <x v="0"/>
    <n v="1"/>
    <m/>
    <m/>
  </r>
  <r>
    <n v="29"/>
    <x v="1"/>
    <s v="Travel_Frequently"/>
    <n v="410"/>
    <s v="Research &amp; Development"/>
    <n v="2"/>
    <n v="1"/>
    <s v="Life Sciences"/>
    <n v="1"/>
    <n v="1513"/>
    <n v="4"/>
    <x v="0"/>
    <n v="97"/>
    <n v="3"/>
    <x v="1"/>
    <x v="2"/>
    <x v="1"/>
    <s v="Married"/>
    <n v="3180"/>
    <n v="4668"/>
    <n v="0"/>
    <s v="Y"/>
    <s v="No"/>
    <n v="13"/>
    <n v="3"/>
    <n v="3"/>
    <n v="80"/>
    <n v="3"/>
    <n v="4"/>
    <n v="3"/>
    <n v="3"/>
    <x v="11"/>
    <n v="2"/>
    <n v="0"/>
    <n v="2"/>
    <x v="1"/>
    <n v="0"/>
    <n v="0"/>
    <x v="0"/>
    <n v="1"/>
    <m/>
    <m/>
  </r>
  <r>
    <n v="28"/>
    <x v="1"/>
    <s v="Travel_Rarely"/>
    <n v="1083"/>
    <s v="Research &amp; Development"/>
    <n v="29"/>
    <n v="1"/>
    <s v="Life Sciences"/>
    <n v="1"/>
    <n v="1514"/>
    <n v="3"/>
    <x v="1"/>
    <n v="96"/>
    <n v="1"/>
    <x v="0"/>
    <x v="3"/>
    <x v="1"/>
    <s v="Married"/>
    <n v="6549"/>
    <n v="3173"/>
    <n v="1"/>
    <s v="Y"/>
    <s v="No"/>
    <n v="14"/>
    <n v="3"/>
    <n v="2"/>
    <n v="80"/>
    <n v="2"/>
    <n v="8"/>
    <n v="2"/>
    <n v="2"/>
    <x v="3"/>
    <n v="6"/>
    <n v="1"/>
    <n v="7"/>
    <x v="2"/>
    <n v="0"/>
    <n v="0"/>
    <x v="4"/>
    <n v="1"/>
    <m/>
    <m/>
  </r>
  <r>
    <n v="33"/>
    <x v="1"/>
    <s v="Travel_Rarely"/>
    <n v="516"/>
    <s v="Research &amp; Development"/>
    <n v="8"/>
    <n v="5"/>
    <s v="Life Sciences"/>
    <n v="1"/>
    <n v="1515"/>
    <n v="4"/>
    <x v="1"/>
    <n v="69"/>
    <n v="3"/>
    <x v="0"/>
    <x v="4"/>
    <x v="2"/>
    <s v="Single"/>
    <n v="6388"/>
    <n v="22049"/>
    <n v="2"/>
    <s v="Y"/>
    <s v="Yes"/>
    <n v="17"/>
    <n v="3"/>
    <n v="1"/>
    <n v="80"/>
    <n v="0"/>
    <n v="14"/>
    <n v="6"/>
    <n v="3"/>
    <x v="2"/>
    <n v="0"/>
    <n v="0"/>
    <n v="0"/>
    <x v="3"/>
    <n v="0"/>
    <n v="0"/>
    <x v="4"/>
    <n v="1"/>
    <m/>
    <m/>
  </r>
  <r>
    <n v="32"/>
    <x v="1"/>
    <s v="Travel_Rarely"/>
    <n v="495"/>
    <s v="Research &amp; Development"/>
    <n v="10"/>
    <n v="3"/>
    <s v="Medical"/>
    <n v="1"/>
    <n v="1516"/>
    <n v="3"/>
    <x v="1"/>
    <n v="64"/>
    <n v="3"/>
    <x v="2"/>
    <x v="5"/>
    <x v="0"/>
    <s v="Single"/>
    <n v="11244"/>
    <n v="21072"/>
    <n v="2"/>
    <s v="Y"/>
    <s v="No"/>
    <n v="25"/>
    <n v="4"/>
    <n v="2"/>
    <n v="80"/>
    <n v="0"/>
    <n v="10"/>
    <n v="5"/>
    <n v="4"/>
    <x v="8"/>
    <n v="2"/>
    <n v="0"/>
    <n v="0"/>
    <x v="4"/>
    <n v="0"/>
    <n v="0"/>
    <x v="2"/>
    <n v="1"/>
    <m/>
    <m/>
  </r>
  <r>
    <n v="54"/>
    <x v="1"/>
    <s v="Travel_Frequently"/>
    <n v="1050"/>
    <s v="Research &amp; Development"/>
    <n v="11"/>
    <n v="4"/>
    <s v="Medical"/>
    <n v="1"/>
    <n v="1520"/>
    <n v="2"/>
    <x v="0"/>
    <n v="87"/>
    <n v="3"/>
    <x v="3"/>
    <x v="5"/>
    <x v="0"/>
    <s v="Divorced"/>
    <n v="16032"/>
    <n v="24456"/>
    <n v="3"/>
    <s v="Y"/>
    <s v="No"/>
    <n v="20"/>
    <n v="4"/>
    <n v="1"/>
    <n v="80"/>
    <n v="1"/>
    <n v="26"/>
    <n v="2"/>
    <n v="3"/>
    <x v="13"/>
    <n v="9"/>
    <n v="1"/>
    <n v="12"/>
    <x v="4"/>
    <n v="0"/>
    <n v="0"/>
    <x v="3"/>
    <n v="1"/>
    <m/>
    <m/>
  </r>
  <r>
    <n v="29"/>
    <x v="0"/>
    <s v="Travel_Rarely"/>
    <n v="224"/>
    <s v="Research &amp; Development"/>
    <n v="1"/>
    <n v="4"/>
    <s v="Technical Degree"/>
    <n v="1"/>
    <n v="1522"/>
    <n v="1"/>
    <x v="1"/>
    <n v="100"/>
    <n v="2"/>
    <x v="1"/>
    <x v="1"/>
    <x v="3"/>
    <s v="Single"/>
    <n v="2362"/>
    <n v="7568"/>
    <n v="6"/>
    <s v="Y"/>
    <s v="No"/>
    <n v="13"/>
    <n v="3"/>
    <n v="3"/>
    <n v="80"/>
    <n v="0"/>
    <n v="11"/>
    <n v="2"/>
    <n v="1"/>
    <x v="7"/>
    <n v="7"/>
    <n v="0"/>
    <n v="7"/>
    <x v="1"/>
    <n v="1"/>
    <n v="42516"/>
    <x v="1"/>
    <n v="1"/>
    <m/>
    <m/>
  </r>
  <r>
    <n v="44"/>
    <x v="1"/>
    <s v="Travel_Rarely"/>
    <n v="136"/>
    <s v="Research &amp; Development"/>
    <n v="28"/>
    <n v="3"/>
    <s v="Life Sciences"/>
    <n v="1"/>
    <n v="1523"/>
    <n v="4"/>
    <x v="1"/>
    <n v="32"/>
    <n v="3"/>
    <x v="3"/>
    <x v="7"/>
    <x v="3"/>
    <s v="Married"/>
    <n v="16328"/>
    <n v="22074"/>
    <n v="3"/>
    <s v="Y"/>
    <s v="No"/>
    <n v="13"/>
    <n v="3"/>
    <n v="3"/>
    <n v="80"/>
    <n v="1"/>
    <n v="24"/>
    <n v="1"/>
    <n v="4"/>
    <x v="23"/>
    <n v="6"/>
    <n v="14"/>
    <n v="17"/>
    <x v="1"/>
    <n v="0"/>
    <n v="0"/>
    <x v="3"/>
    <n v="1"/>
    <m/>
    <m/>
  </r>
  <r>
    <n v="39"/>
    <x v="1"/>
    <s v="Travel_Rarely"/>
    <n v="1089"/>
    <s v="Research &amp; Development"/>
    <n v="6"/>
    <n v="3"/>
    <s v="Life Sciences"/>
    <n v="1"/>
    <n v="1525"/>
    <n v="2"/>
    <x v="0"/>
    <n v="32"/>
    <n v="3"/>
    <x v="2"/>
    <x v="3"/>
    <x v="1"/>
    <s v="Single"/>
    <n v="8376"/>
    <n v="9150"/>
    <n v="4"/>
    <s v="Y"/>
    <s v="No"/>
    <n v="18"/>
    <n v="3"/>
    <n v="4"/>
    <n v="80"/>
    <n v="0"/>
    <n v="9"/>
    <n v="3"/>
    <n v="3"/>
    <x v="4"/>
    <n v="0"/>
    <n v="2"/>
    <n v="2"/>
    <x v="2"/>
    <n v="0"/>
    <n v="0"/>
    <x v="4"/>
    <n v="1"/>
    <m/>
    <m/>
  </r>
  <r>
    <n v="46"/>
    <x v="1"/>
    <s v="Travel_Rarely"/>
    <n v="228"/>
    <s v="Sales"/>
    <n v="3"/>
    <n v="3"/>
    <s v="Life Sciences"/>
    <n v="1"/>
    <n v="1527"/>
    <n v="3"/>
    <x v="0"/>
    <n v="51"/>
    <n v="3"/>
    <x v="3"/>
    <x v="5"/>
    <x v="1"/>
    <s v="Married"/>
    <n v="16606"/>
    <n v="11380"/>
    <n v="8"/>
    <s v="Y"/>
    <s v="No"/>
    <n v="12"/>
    <n v="3"/>
    <n v="4"/>
    <n v="80"/>
    <n v="1"/>
    <n v="23"/>
    <n v="2"/>
    <n v="4"/>
    <x v="20"/>
    <n v="12"/>
    <n v="5"/>
    <n v="1"/>
    <x v="4"/>
    <n v="0"/>
    <n v="0"/>
    <x v="3"/>
    <n v="1"/>
    <m/>
    <m/>
  </r>
  <r>
    <n v="35"/>
    <x v="1"/>
    <s v="Travel_Rarely"/>
    <n v="1029"/>
    <s v="Research &amp; Development"/>
    <n v="16"/>
    <n v="3"/>
    <s v="Life Sciences"/>
    <n v="1"/>
    <n v="1529"/>
    <n v="4"/>
    <x v="0"/>
    <n v="91"/>
    <n v="2"/>
    <x v="2"/>
    <x v="4"/>
    <x v="1"/>
    <s v="Single"/>
    <n v="8606"/>
    <n v="21195"/>
    <n v="1"/>
    <s v="Y"/>
    <s v="No"/>
    <n v="19"/>
    <n v="3"/>
    <n v="4"/>
    <n v="80"/>
    <n v="0"/>
    <n v="11"/>
    <n v="3"/>
    <n v="1"/>
    <x v="19"/>
    <n v="8"/>
    <n v="3"/>
    <n v="3"/>
    <x v="3"/>
    <n v="0"/>
    <n v="0"/>
    <x v="4"/>
    <n v="1"/>
    <m/>
    <m/>
  </r>
  <r>
    <n v="23"/>
    <x v="1"/>
    <s v="Travel_Rarely"/>
    <n v="507"/>
    <s v="Research &amp; Development"/>
    <n v="20"/>
    <n v="1"/>
    <s v="Life Sciences"/>
    <n v="1"/>
    <n v="1533"/>
    <n v="1"/>
    <x v="1"/>
    <n v="97"/>
    <n v="3"/>
    <x v="0"/>
    <x v="2"/>
    <x v="2"/>
    <s v="Single"/>
    <n v="2272"/>
    <n v="24812"/>
    <n v="0"/>
    <s v="Y"/>
    <s v="No"/>
    <n v="14"/>
    <n v="3"/>
    <n v="2"/>
    <n v="80"/>
    <n v="0"/>
    <n v="5"/>
    <n v="2"/>
    <n v="3"/>
    <x v="9"/>
    <n v="3"/>
    <n v="1"/>
    <n v="2"/>
    <x v="1"/>
    <n v="0"/>
    <n v="0"/>
    <x v="1"/>
    <n v="1"/>
    <m/>
    <m/>
  </r>
  <r>
    <n v="40"/>
    <x v="0"/>
    <s v="Travel_Rarely"/>
    <n v="676"/>
    <s v="Research &amp; Development"/>
    <n v="9"/>
    <n v="4"/>
    <s v="Life Sciences"/>
    <n v="1"/>
    <n v="1534"/>
    <n v="4"/>
    <x v="1"/>
    <n v="86"/>
    <n v="3"/>
    <x v="1"/>
    <x v="2"/>
    <x v="3"/>
    <s v="Single"/>
    <n v="2018"/>
    <n v="21831"/>
    <n v="3"/>
    <s v="Y"/>
    <s v="No"/>
    <n v="14"/>
    <n v="3"/>
    <n v="2"/>
    <n v="80"/>
    <n v="0"/>
    <n v="15"/>
    <n v="3"/>
    <n v="1"/>
    <x v="8"/>
    <n v="4"/>
    <n v="1"/>
    <n v="0"/>
    <x v="1"/>
    <n v="1"/>
    <n v="36324"/>
    <x v="1"/>
    <n v="1"/>
    <m/>
    <m/>
  </r>
  <r>
    <n v="34"/>
    <x v="1"/>
    <s v="Travel_Rarely"/>
    <n v="971"/>
    <s v="Sales"/>
    <n v="1"/>
    <n v="3"/>
    <s v="Technical Degree"/>
    <n v="1"/>
    <n v="1535"/>
    <n v="4"/>
    <x v="1"/>
    <n v="64"/>
    <n v="2"/>
    <x v="2"/>
    <x v="0"/>
    <x v="2"/>
    <s v="Married"/>
    <n v="7083"/>
    <n v="12288"/>
    <n v="1"/>
    <s v="Y"/>
    <s v="Yes"/>
    <n v="14"/>
    <n v="3"/>
    <n v="4"/>
    <n v="80"/>
    <n v="0"/>
    <n v="10"/>
    <n v="3"/>
    <n v="3"/>
    <x v="1"/>
    <n v="9"/>
    <n v="8"/>
    <n v="6"/>
    <x v="0"/>
    <n v="0"/>
    <n v="0"/>
    <x v="4"/>
    <n v="1"/>
    <m/>
    <m/>
  </r>
  <r>
    <n v="31"/>
    <x v="0"/>
    <s v="Travel_Frequently"/>
    <n v="561"/>
    <s v="Research &amp; Development"/>
    <n v="3"/>
    <n v="3"/>
    <s v="Life Sciences"/>
    <n v="1"/>
    <n v="1537"/>
    <n v="4"/>
    <x v="0"/>
    <n v="33"/>
    <n v="3"/>
    <x v="1"/>
    <x v="1"/>
    <x v="2"/>
    <s v="Single"/>
    <n v="4084"/>
    <n v="4156"/>
    <n v="1"/>
    <s v="Y"/>
    <s v="No"/>
    <n v="12"/>
    <n v="3"/>
    <n v="1"/>
    <n v="80"/>
    <n v="0"/>
    <n v="7"/>
    <n v="2"/>
    <n v="1"/>
    <x v="5"/>
    <n v="2"/>
    <n v="7"/>
    <n v="7"/>
    <x v="1"/>
    <n v="1"/>
    <n v="73512"/>
    <x v="0"/>
    <n v="1"/>
    <m/>
    <m/>
  </r>
  <r>
    <n v="50"/>
    <x v="1"/>
    <s v="Travel_Frequently"/>
    <n v="333"/>
    <s v="Research &amp; Development"/>
    <n v="22"/>
    <n v="5"/>
    <s v="Medical"/>
    <n v="1"/>
    <n v="1539"/>
    <n v="3"/>
    <x v="1"/>
    <n v="88"/>
    <n v="1"/>
    <x v="3"/>
    <x v="7"/>
    <x v="0"/>
    <s v="Single"/>
    <n v="14411"/>
    <n v="24450"/>
    <n v="1"/>
    <s v="Y"/>
    <s v="Yes"/>
    <n v="13"/>
    <n v="3"/>
    <n v="4"/>
    <n v="80"/>
    <n v="0"/>
    <n v="32"/>
    <n v="2"/>
    <n v="3"/>
    <x v="32"/>
    <n v="6"/>
    <n v="13"/>
    <n v="9"/>
    <x v="1"/>
    <n v="0"/>
    <n v="0"/>
    <x v="3"/>
    <n v="1"/>
    <m/>
    <m/>
  </r>
  <r>
    <n v="34"/>
    <x v="1"/>
    <s v="Travel_Rarely"/>
    <n v="1440"/>
    <s v="Sales"/>
    <n v="7"/>
    <n v="2"/>
    <s v="Technical Degree"/>
    <n v="1"/>
    <n v="1541"/>
    <n v="2"/>
    <x v="1"/>
    <n v="55"/>
    <n v="3"/>
    <x v="1"/>
    <x v="6"/>
    <x v="2"/>
    <s v="Married"/>
    <n v="2308"/>
    <n v="4944"/>
    <n v="0"/>
    <s v="Y"/>
    <s v="Yes"/>
    <n v="25"/>
    <n v="4"/>
    <n v="2"/>
    <n v="80"/>
    <n v="1"/>
    <n v="12"/>
    <n v="4"/>
    <n v="3"/>
    <x v="19"/>
    <n v="10"/>
    <n v="5"/>
    <n v="7"/>
    <x v="0"/>
    <n v="0"/>
    <n v="0"/>
    <x v="1"/>
    <n v="1"/>
    <m/>
    <m/>
  </r>
  <r>
    <n v="42"/>
    <x v="1"/>
    <s v="Travel_Rarely"/>
    <n v="1210"/>
    <s v="Research &amp; Development"/>
    <n v="2"/>
    <n v="3"/>
    <s v="Medical"/>
    <n v="1"/>
    <n v="1542"/>
    <n v="3"/>
    <x v="1"/>
    <n v="68"/>
    <n v="2"/>
    <x v="1"/>
    <x v="2"/>
    <x v="1"/>
    <s v="Married"/>
    <n v="4841"/>
    <n v="24052"/>
    <n v="4"/>
    <s v="Y"/>
    <s v="No"/>
    <n v="14"/>
    <n v="3"/>
    <n v="2"/>
    <n v="80"/>
    <n v="1"/>
    <n v="4"/>
    <n v="3"/>
    <n v="3"/>
    <x v="6"/>
    <n v="0"/>
    <n v="0"/>
    <n v="0"/>
    <x v="1"/>
    <n v="0"/>
    <n v="0"/>
    <x v="0"/>
    <n v="1"/>
    <m/>
    <m/>
  </r>
  <r>
    <n v="37"/>
    <x v="1"/>
    <s v="Travel_Rarely"/>
    <n v="674"/>
    <s v="Research &amp; Development"/>
    <n v="13"/>
    <n v="3"/>
    <s v="Medical"/>
    <n v="1"/>
    <n v="1543"/>
    <n v="1"/>
    <x v="1"/>
    <n v="47"/>
    <n v="3"/>
    <x v="0"/>
    <x v="1"/>
    <x v="0"/>
    <s v="Married"/>
    <n v="4285"/>
    <n v="3031"/>
    <n v="1"/>
    <s v="Y"/>
    <s v="No"/>
    <n v="17"/>
    <n v="3"/>
    <n v="1"/>
    <n v="80"/>
    <n v="0"/>
    <n v="10"/>
    <n v="2"/>
    <n v="3"/>
    <x v="1"/>
    <n v="8"/>
    <n v="3"/>
    <n v="7"/>
    <x v="1"/>
    <n v="0"/>
    <n v="0"/>
    <x v="0"/>
    <n v="1"/>
    <m/>
    <m/>
  </r>
  <r>
    <n v="29"/>
    <x v="1"/>
    <s v="Travel_Rarely"/>
    <n v="441"/>
    <s v="Research &amp; Development"/>
    <n v="8"/>
    <n v="1"/>
    <s v="Other"/>
    <n v="1"/>
    <n v="1544"/>
    <n v="3"/>
    <x v="0"/>
    <n v="39"/>
    <n v="1"/>
    <x v="0"/>
    <x v="4"/>
    <x v="3"/>
    <s v="Married"/>
    <n v="9715"/>
    <n v="7288"/>
    <n v="3"/>
    <s v="Y"/>
    <s v="No"/>
    <n v="13"/>
    <n v="3"/>
    <n v="3"/>
    <n v="80"/>
    <n v="1"/>
    <n v="9"/>
    <n v="3"/>
    <n v="3"/>
    <x v="5"/>
    <n v="7"/>
    <n v="0"/>
    <n v="7"/>
    <x v="3"/>
    <n v="0"/>
    <n v="0"/>
    <x v="2"/>
    <n v="1"/>
    <m/>
    <m/>
  </r>
  <r>
    <n v="33"/>
    <x v="1"/>
    <s v="Travel_Rarely"/>
    <n v="575"/>
    <s v="Research &amp; Development"/>
    <n v="25"/>
    <n v="3"/>
    <s v="Life Sciences"/>
    <n v="1"/>
    <n v="1545"/>
    <n v="4"/>
    <x v="1"/>
    <n v="44"/>
    <n v="2"/>
    <x v="0"/>
    <x v="3"/>
    <x v="1"/>
    <s v="Single"/>
    <n v="4320"/>
    <n v="24152"/>
    <n v="1"/>
    <s v="Y"/>
    <s v="No"/>
    <n v="13"/>
    <n v="3"/>
    <n v="4"/>
    <n v="80"/>
    <n v="0"/>
    <n v="5"/>
    <n v="2"/>
    <n v="3"/>
    <x v="8"/>
    <n v="3"/>
    <n v="0"/>
    <n v="2"/>
    <x v="2"/>
    <n v="0"/>
    <n v="0"/>
    <x v="0"/>
    <n v="1"/>
    <m/>
    <m/>
  </r>
  <r>
    <n v="45"/>
    <x v="1"/>
    <s v="Travel_Rarely"/>
    <n v="950"/>
    <s v="Research &amp; Development"/>
    <n v="28"/>
    <n v="3"/>
    <s v="Technical Degree"/>
    <n v="1"/>
    <n v="1546"/>
    <n v="4"/>
    <x v="1"/>
    <n v="97"/>
    <n v="3"/>
    <x v="1"/>
    <x v="1"/>
    <x v="0"/>
    <s v="Married"/>
    <n v="2132"/>
    <n v="4585"/>
    <n v="4"/>
    <s v="Y"/>
    <s v="No"/>
    <n v="20"/>
    <n v="4"/>
    <n v="4"/>
    <n v="80"/>
    <n v="1"/>
    <n v="8"/>
    <n v="3"/>
    <n v="3"/>
    <x v="8"/>
    <n v="4"/>
    <n v="0"/>
    <n v="3"/>
    <x v="1"/>
    <n v="0"/>
    <n v="0"/>
    <x v="1"/>
    <n v="1"/>
    <m/>
    <m/>
  </r>
  <r>
    <n v="42"/>
    <x v="1"/>
    <s v="Travel_Frequently"/>
    <n v="288"/>
    <s v="Research &amp; Development"/>
    <n v="2"/>
    <n v="3"/>
    <s v="Life Sciences"/>
    <n v="1"/>
    <n v="1547"/>
    <n v="4"/>
    <x v="1"/>
    <n v="40"/>
    <n v="3"/>
    <x v="2"/>
    <x v="4"/>
    <x v="0"/>
    <s v="Married"/>
    <n v="10124"/>
    <n v="18611"/>
    <n v="2"/>
    <s v="Y"/>
    <s v="Yes"/>
    <n v="14"/>
    <n v="3"/>
    <n v="3"/>
    <n v="80"/>
    <n v="1"/>
    <n v="24"/>
    <n v="3"/>
    <n v="1"/>
    <x v="23"/>
    <n v="8"/>
    <n v="13"/>
    <n v="9"/>
    <x v="3"/>
    <n v="0"/>
    <n v="0"/>
    <x v="2"/>
    <n v="1"/>
    <m/>
    <m/>
  </r>
  <r>
    <n v="40"/>
    <x v="1"/>
    <s v="Travel_Rarely"/>
    <n v="1342"/>
    <s v="Sales"/>
    <n v="9"/>
    <n v="2"/>
    <s v="Medical"/>
    <n v="1"/>
    <n v="1548"/>
    <n v="1"/>
    <x v="1"/>
    <n v="47"/>
    <n v="3"/>
    <x v="0"/>
    <x v="0"/>
    <x v="3"/>
    <s v="Married"/>
    <n v="5473"/>
    <n v="19345"/>
    <n v="0"/>
    <s v="Y"/>
    <s v="No"/>
    <n v="12"/>
    <n v="3"/>
    <n v="4"/>
    <n v="80"/>
    <n v="0"/>
    <n v="9"/>
    <n v="5"/>
    <n v="4"/>
    <x v="3"/>
    <n v="4"/>
    <n v="7"/>
    <n v="1"/>
    <x v="0"/>
    <n v="0"/>
    <n v="0"/>
    <x v="0"/>
    <n v="1"/>
    <m/>
    <m/>
  </r>
  <r>
    <n v="33"/>
    <x v="1"/>
    <s v="Travel_Rarely"/>
    <n v="589"/>
    <s v="Research &amp; Development"/>
    <n v="28"/>
    <n v="4"/>
    <s v="Life Sciences"/>
    <n v="1"/>
    <n v="1549"/>
    <n v="2"/>
    <x v="1"/>
    <n v="79"/>
    <n v="3"/>
    <x v="0"/>
    <x v="2"/>
    <x v="2"/>
    <s v="Married"/>
    <n v="5207"/>
    <n v="22949"/>
    <n v="1"/>
    <s v="Y"/>
    <s v="Yes"/>
    <n v="12"/>
    <n v="3"/>
    <n v="2"/>
    <n v="80"/>
    <n v="1"/>
    <n v="15"/>
    <n v="3"/>
    <n v="3"/>
    <x v="15"/>
    <n v="14"/>
    <n v="5"/>
    <n v="7"/>
    <x v="1"/>
    <n v="0"/>
    <n v="0"/>
    <x v="0"/>
    <n v="1"/>
    <m/>
    <m/>
  </r>
  <r>
    <n v="40"/>
    <x v="1"/>
    <s v="Travel_Rarely"/>
    <n v="898"/>
    <s v="Human Resources"/>
    <n v="6"/>
    <n v="2"/>
    <s v="Medical"/>
    <n v="1"/>
    <n v="1550"/>
    <n v="3"/>
    <x v="1"/>
    <n v="38"/>
    <n v="3"/>
    <x v="3"/>
    <x v="5"/>
    <x v="0"/>
    <s v="Single"/>
    <n v="16437"/>
    <n v="17381"/>
    <n v="1"/>
    <s v="Y"/>
    <s v="Yes"/>
    <n v="21"/>
    <n v="4"/>
    <n v="4"/>
    <n v="80"/>
    <n v="0"/>
    <n v="21"/>
    <n v="2"/>
    <n v="3"/>
    <x v="17"/>
    <n v="7"/>
    <n v="7"/>
    <n v="7"/>
    <x v="4"/>
    <n v="0"/>
    <n v="0"/>
    <x v="3"/>
    <n v="1"/>
    <m/>
    <m/>
  </r>
  <r>
    <n v="24"/>
    <x v="1"/>
    <s v="Travel_Rarely"/>
    <n v="350"/>
    <s v="Research &amp; Development"/>
    <n v="21"/>
    <n v="2"/>
    <s v="Technical Degree"/>
    <n v="1"/>
    <n v="1551"/>
    <n v="3"/>
    <x v="1"/>
    <n v="57"/>
    <n v="2"/>
    <x v="1"/>
    <x v="2"/>
    <x v="3"/>
    <s v="Divorced"/>
    <n v="2296"/>
    <n v="10036"/>
    <n v="0"/>
    <s v="Y"/>
    <s v="No"/>
    <n v="14"/>
    <n v="3"/>
    <n v="2"/>
    <n v="80"/>
    <n v="3"/>
    <n v="2"/>
    <n v="3"/>
    <n v="3"/>
    <x v="6"/>
    <n v="1"/>
    <n v="0"/>
    <n v="0"/>
    <x v="1"/>
    <n v="0"/>
    <n v="0"/>
    <x v="1"/>
    <n v="1"/>
    <m/>
    <m/>
  </r>
  <r>
    <n v="40"/>
    <x v="1"/>
    <s v="Non-Travel"/>
    <n v="1142"/>
    <s v="Research &amp; Development"/>
    <n v="8"/>
    <n v="2"/>
    <s v="Life Sciences"/>
    <n v="1"/>
    <n v="1552"/>
    <n v="4"/>
    <x v="1"/>
    <n v="72"/>
    <n v="3"/>
    <x v="0"/>
    <x v="4"/>
    <x v="0"/>
    <s v="Divorced"/>
    <n v="4069"/>
    <n v="8841"/>
    <n v="3"/>
    <s v="Y"/>
    <s v="Yes"/>
    <n v="18"/>
    <n v="3"/>
    <n v="3"/>
    <n v="80"/>
    <n v="0"/>
    <n v="8"/>
    <n v="2"/>
    <n v="3"/>
    <x v="4"/>
    <n v="2"/>
    <n v="2"/>
    <n v="2"/>
    <x v="3"/>
    <n v="0"/>
    <n v="0"/>
    <x v="0"/>
    <n v="1"/>
    <m/>
    <m/>
  </r>
  <r>
    <n v="45"/>
    <x v="1"/>
    <s v="Travel_Rarely"/>
    <n v="538"/>
    <s v="Research &amp; Development"/>
    <n v="1"/>
    <n v="4"/>
    <s v="Technical Degree"/>
    <n v="1"/>
    <n v="1553"/>
    <n v="1"/>
    <x v="1"/>
    <n v="66"/>
    <n v="3"/>
    <x v="2"/>
    <x v="4"/>
    <x v="1"/>
    <s v="Divorced"/>
    <n v="7441"/>
    <n v="20933"/>
    <n v="1"/>
    <s v="Y"/>
    <s v="No"/>
    <n v="12"/>
    <n v="3"/>
    <n v="1"/>
    <n v="80"/>
    <n v="3"/>
    <n v="10"/>
    <n v="4"/>
    <n v="3"/>
    <x v="1"/>
    <n v="8"/>
    <n v="7"/>
    <n v="7"/>
    <x v="3"/>
    <n v="0"/>
    <n v="0"/>
    <x v="4"/>
    <n v="1"/>
    <m/>
    <m/>
  </r>
  <r>
    <n v="35"/>
    <x v="1"/>
    <s v="Travel_Rarely"/>
    <n v="1402"/>
    <s v="Sales"/>
    <n v="28"/>
    <n v="4"/>
    <s v="Life Sciences"/>
    <n v="1"/>
    <n v="1554"/>
    <n v="2"/>
    <x v="0"/>
    <n v="98"/>
    <n v="2"/>
    <x v="1"/>
    <x v="6"/>
    <x v="2"/>
    <s v="Married"/>
    <n v="2430"/>
    <n v="26204"/>
    <n v="0"/>
    <s v="Y"/>
    <s v="No"/>
    <n v="23"/>
    <n v="4"/>
    <n v="1"/>
    <n v="80"/>
    <n v="2"/>
    <n v="6"/>
    <n v="5"/>
    <n v="3"/>
    <x v="8"/>
    <n v="3"/>
    <n v="4"/>
    <n v="2"/>
    <x v="0"/>
    <n v="0"/>
    <n v="0"/>
    <x v="1"/>
    <n v="1"/>
    <m/>
    <m/>
  </r>
  <r>
    <n v="32"/>
    <x v="1"/>
    <s v="Travel_Rarely"/>
    <n v="824"/>
    <s v="Research &amp; Development"/>
    <n v="5"/>
    <n v="2"/>
    <s v="Life Sciences"/>
    <n v="1"/>
    <n v="1555"/>
    <n v="4"/>
    <x v="0"/>
    <n v="67"/>
    <n v="2"/>
    <x v="0"/>
    <x v="1"/>
    <x v="1"/>
    <s v="Married"/>
    <n v="5878"/>
    <n v="15624"/>
    <n v="3"/>
    <s v="Y"/>
    <s v="No"/>
    <n v="12"/>
    <n v="3"/>
    <n v="1"/>
    <n v="80"/>
    <n v="1"/>
    <n v="12"/>
    <n v="2"/>
    <n v="3"/>
    <x v="5"/>
    <n v="1"/>
    <n v="2"/>
    <n v="5"/>
    <x v="1"/>
    <n v="0"/>
    <n v="0"/>
    <x v="0"/>
    <n v="1"/>
    <m/>
    <m/>
  </r>
  <r>
    <n v="36"/>
    <x v="1"/>
    <s v="Travel_Rarely"/>
    <n v="1157"/>
    <s v="Sales"/>
    <n v="2"/>
    <n v="4"/>
    <s v="Life Sciences"/>
    <n v="1"/>
    <n v="1556"/>
    <n v="3"/>
    <x v="1"/>
    <n v="70"/>
    <n v="3"/>
    <x v="1"/>
    <x v="6"/>
    <x v="0"/>
    <s v="Single"/>
    <n v="2644"/>
    <n v="17001"/>
    <n v="3"/>
    <s v="Y"/>
    <s v="Yes"/>
    <n v="21"/>
    <n v="4"/>
    <n v="4"/>
    <n v="80"/>
    <n v="0"/>
    <n v="7"/>
    <n v="3"/>
    <n v="2"/>
    <x v="11"/>
    <n v="2"/>
    <n v="1"/>
    <n v="2"/>
    <x v="0"/>
    <n v="0"/>
    <n v="0"/>
    <x v="1"/>
    <n v="1"/>
    <m/>
    <m/>
  </r>
  <r>
    <n v="48"/>
    <x v="1"/>
    <s v="Travel_Rarely"/>
    <n v="492"/>
    <s v="Sales"/>
    <n v="16"/>
    <n v="4"/>
    <s v="Life Sciences"/>
    <n v="1"/>
    <n v="1557"/>
    <n v="3"/>
    <x v="0"/>
    <n v="96"/>
    <n v="3"/>
    <x v="0"/>
    <x v="0"/>
    <x v="2"/>
    <s v="Divorced"/>
    <n v="6439"/>
    <n v="13693"/>
    <n v="8"/>
    <s v="Y"/>
    <s v="No"/>
    <n v="14"/>
    <n v="3"/>
    <n v="3"/>
    <n v="80"/>
    <n v="1"/>
    <n v="18"/>
    <n v="2"/>
    <n v="3"/>
    <x v="3"/>
    <n v="7"/>
    <n v="7"/>
    <n v="7"/>
    <x v="0"/>
    <n v="0"/>
    <n v="0"/>
    <x v="4"/>
    <n v="1"/>
    <m/>
    <m/>
  </r>
  <r>
    <n v="29"/>
    <x v="1"/>
    <s v="Travel_Rarely"/>
    <n v="598"/>
    <s v="Research &amp; Development"/>
    <n v="9"/>
    <n v="3"/>
    <s v="Life Sciences"/>
    <n v="1"/>
    <n v="1558"/>
    <n v="3"/>
    <x v="1"/>
    <n v="91"/>
    <n v="4"/>
    <x v="1"/>
    <x v="1"/>
    <x v="2"/>
    <s v="Married"/>
    <n v="2451"/>
    <n v="22376"/>
    <n v="6"/>
    <s v="Y"/>
    <s v="No"/>
    <n v="18"/>
    <n v="3"/>
    <n v="1"/>
    <n v="80"/>
    <n v="2"/>
    <n v="5"/>
    <n v="2"/>
    <n v="2"/>
    <x v="6"/>
    <n v="0"/>
    <n v="0"/>
    <n v="0"/>
    <x v="1"/>
    <n v="0"/>
    <n v="0"/>
    <x v="1"/>
    <n v="1"/>
    <m/>
    <m/>
  </r>
  <r>
    <n v="33"/>
    <x v="1"/>
    <s v="Travel_Rarely"/>
    <n v="1242"/>
    <s v="Sales"/>
    <n v="8"/>
    <n v="4"/>
    <s v="Life Sciences"/>
    <n v="1"/>
    <n v="1560"/>
    <n v="1"/>
    <x v="1"/>
    <n v="46"/>
    <n v="3"/>
    <x v="0"/>
    <x v="0"/>
    <x v="3"/>
    <s v="Married"/>
    <n v="6392"/>
    <n v="10589"/>
    <n v="2"/>
    <s v="Y"/>
    <s v="No"/>
    <n v="13"/>
    <n v="3"/>
    <n v="4"/>
    <n v="80"/>
    <n v="1"/>
    <n v="8"/>
    <n v="6"/>
    <n v="1"/>
    <x v="4"/>
    <n v="2"/>
    <n v="2"/>
    <n v="2"/>
    <x v="0"/>
    <n v="0"/>
    <n v="0"/>
    <x v="4"/>
    <n v="1"/>
    <m/>
    <m/>
  </r>
  <r>
    <n v="30"/>
    <x v="0"/>
    <s v="Travel_Rarely"/>
    <n v="740"/>
    <s v="Sales"/>
    <n v="1"/>
    <n v="3"/>
    <s v="Life Sciences"/>
    <n v="1"/>
    <n v="1562"/>
    <n v="2"/>
    <x v="1"/>
    <n v="64"/>
    <n v="2"/>
    <x v="0"/>
    <x v="0"/>
    <x v="3"/>
    <s v="Married"/>
    <n v="9714"/>
    <n v="5323"/>
    <n v="1"/>
    <s v="Y"/>
    <s v="No"/>
    <n v="11"/>
    <n v="3"/>
    <n v="4"/>
    <n v="80"/>
    <n v="1"/>
    <n v="10"/>
    <n v="4"/>
    <n v="3"/>
    <x v="1"/>
    <n v="8"/>
    <n v="6"/>
    <n v="7"/>
    <x v="0"/>
    <n v="1"/>
    <n v="174852"/>
    <x v="2"/>
    <n v="1"/>
    <m/>
    <m/>
  </r>
  <r>
    <n v="38"/>
    <x v="1"/>
    <s v="Travel_Frequently"/>
    <n v="888"/>
    <s v="Human Resources"/>
    <n v="10"/>
    <n v="4"/>
    <s v="Human Resources"/>
    <n v="1"/>
    <n v="1563"/>
    <n v="3"/>
    <x v="1"/>
    <n v="71"/>
    <n v="3"/>
    <x v="0"/>
    <x v="8"/>
    <x v="2"/>
    <s v="Married"/>
    <n v="6077"/>
    <n v="14814"/>
    <n v="3"/>
    <s v="Y"/>
    <s v="No"/>
    <n v="11"/>
    <n v="3"/>
    <n v="3"/>
    <n v="80"/>
    <n v="0"/>
    <n v="10"/>
    <n v="2"/>
    <n v="3"/>
    <x v="0"/>
    <n v="3"/>
    <n v="1"/>
    <n v="2"/>
    <x v="5"/>
    <n v="0"/>
    <n v="0"/>
    <x v="4"/>
    <n v="1"/>
    <m/>
    <m/>
  </r>
  <r>
    <n v="35"/>
    <x v="1"/>
    <s v="Travel_Rarely"/>
    <n v="992"/>
    <s v="Research &amp; Development"/>
    <n v="1"/>
    <n v="3"/>
    <s v="Medical"/>
    <n v="1"/>
    <n v="1564"/>
    <n v="4"/>
    <x v="1"/>
    <n v="68"/>
    <n v="2"/>
    <x v="1"/>
    <x v="2"/>
    <x v="3"/>
    <s v="Single"/>
    <n v="2450"/>
    <n v="21731"/>
    <n v="1"/>
    <s v="Y"/>
    <s v="No"/>
    <n v="19"/>
    <n v="3"/>
    <n v="2"/>
    <n v="80"/>
    <n v="0"/>
    <n v="3"/>
    <n v="3"/>
    <n v="3"/>
    <x v="11"/>
    <n v="0"/>
    <n v="1"/>
    <n v="2"/>
    <x v="1"/>
    <n v="0"/>
    <n v="0"/>
    <x v="1"/>
    <n v="1"/>
    <m/>
    <m/>
  </r>
  <r>
    <n v="30"/>
    <x v="1"/>
    <s v="Travel_Rarely"/>
    <n v="1288"/>
    <s v="Sales"/>
    <n v="29"/>
    <n v="4"/>
    <s v="Technical Degree"/>
    <n v="1"/>
    <n v="1568"/>
    <n v="3"/>
    <x v="1"/>
    <n v="33"/>
    <n v="3"/>
    <x v="2"/>
    <x v="0"/>
    <x v="1"/>
    <s v="Married"/>
    <n v="9250"/>
    <n v="17799"/>
    <n v="3"/>
    <s v="Y"/>
    <s v="No"/>
    <n v="12"/>
    <n v="3"/>
    <n v="2"/>
    <n v="80"/>
    <n v="1"/>
    <n v="9"/>
    <n v="3"/>
    <n v="3"/>
    <x v="9"/>
    <n v="2"/>
    <n v="1"/>
    <n v="3"/>
    <x v="0"/>
    <n v="0"/>
    <n v="0"/>
    <x v="2"/>
    <n v="1"/>
    <m/>
    <m/>
  </r>
  <r>
    <n v="35"/>
    <x v="0"/>
    <s v="Travel_Rarely"/>
    <n v="104"/>
    <s v="Research &amp; Development"/>
    <n v="2"/>
    <n v="3"/>
    <s v="Life Sciences"/>
    <n v="1"/>
    <n v="1569"/>
    <n v="1"/>
    <x v="0"/>
    <n v="69"/>
    <n v="3"/>
    <x v="1"/>
    <x v="2"/>
    <x v="3"/>
    <s v="Divorced"/>
    <n v="2074"/>
    <n v="26619"/>
    <n v="1"/>
    <s v="Y"/>
    <s v="Yes"/>
    <n v="12"/>
    <n v="3"/>
    <n v="4"/>
    <n v="80"/>
    <n v="1"/>
    <n v="1"/>
    <n v="2"/>
    <n v="3"/>
    <x v="6"/>
    <n v="0"/>
    <n v="0"/>
    <n v="0"/>
    <x v="1"/>
    <n v="1"/>
    <n v="37332"/>
    <x v="1"/>
    <n v="1"/>
    <m/>
    <m/>
  </r>
  <r>
    <n v="53"/>
    <x v="0"/>
    <s v="Travel_Rarely"/>
    <n v="607"/>
    <s v="Research &amp; Development"/>
    <n v="2"/>
    <n v="5"/>
    <s v="Technical Degree"/>
    <n v="1"/>
    <n v="1572"/>
    <n v="3"/>
    <x v="0"/>
    <n v="78"/>
    <n v="2"/>
    <x v="2"/>
    <x v="3"/>
    <x v="0"/>
    <s v="Married"/>
    <n v="10169"/>
    <n v="14618"/>
    <n v="0"/>
    <s v="Y"/>
    <s v="No"/>
    <n v="16"/>
    <n v="3"/>
    <n v="2"/>
    <n v="80"/>
    <n v="1"/>
    <n v="34"/>
    <n v="4"/>
    <n v="3"/>
    <x v="26"/>
    <n v="7"/>
    <n v="1"/>
    <n v="9"/>
    <x v="2"/>
    <n v="1"/>
    <n v="183042"/>
    <x v="2"/>
    <n v="1"/>
    <m/>
    <m/>
  </r>
  <r>
    <n v="38"/>
    <x v="0"/>
    <s v="Travel_Rarely"/>
    <n v="903"/>
    <s v="Research &amp; Development"/>
    <n v="2"/>
    <n v="3"/>
    <s v="Medical"/>
    <n v="1"/>
    <n v="1573"/>
    <n v="3"/>
    <x v="1"/>
    <n v="81"/>
    <n v="3"/>
    <x v="0"/>
    <x v="3"/>
    <x v="1"/>
    <s v="Married"/>
    <n v="4855"/>
    <n v="7653"/>
    <n v="4"/>
    <s v="Y"/>
    <s v="No"/>
    <n v="11"/>
    <n v="3"/>
    <n v="1"/>
    <n v="80"/>
    <n v="2"/>
    <n v="7"/>
    <n v="2"/>
    <n v="3"/>
    <x v="8"/>
    <n v="2"/>
    <n v="1"/>
    <n v="4"/>
    <x v="2"/>
    <n v="1"/>
    <n v="87390"/>
    <x v="0"/>
    <n v="1"/>
    <m/>
    <m/>
  </r>
  <r>
    <n v="32"/>
    <x v="1"/>
    <s v="Non-Travel"/>
    <n v="1200"/>
    <s v="Research &amp; Development"/>
    <n v="1"/>
    <n v="4"/>
    <s v="Technical Degree"/>
    <n v="1"/>
    <n v="1574"/>
    <n v="4"/>
    <x v="1"/>
    <n v="62"/>
    <n v="3"/>
    <x v="0"/>
    <x v="1"/>
    <x v="3"/>
    <s v="Married"/>
    <n v="4087"/>
    <n v="25174"/>
    <n v="4"/>
    <s v="Y"/>
    <s v="No"/>
    <n v="14"/>
    <n v="3"/>
    <n v="2"/>
    <n v="80"/>
    <n v="1"/>
    <n v="9"/>
    <n v="3"/>
    <n v="2"/>
    <x v="0"/>
    <n v="5"/>
    <n v="1"/>
    <n v="2"/>
    <x v="1"/>
    <n v="0"/>
    <n v="0"/>
    <x v="0"/>
    <n v="1"/>
    <m/>
    <m/>
  </r>
  <r>
    <n v="48"/>
    <x v="1"/>
    <s v="Travel_Rarely"/>
    <n v="1108"/>
    <s v="Research &amp; Development"/>
    <n v="15"/>
    <n v="4"/>
    <s v="Other"/>
    <n v="1"/>
    <n v="1576"/>
    <n v="3"/>
    <x v="0"/>
    <n v="65"/>
    <n v="3"/>
    <x v="1"/>
    <x v="1"/>
    <x v="3"/>
    <s v="Married"/>
    <n v="2367"/>
    <n v="16530"/>
    <n v="8"/>
    <s v="Y"/>
    <s v="No"/>
    <n v="12"/>
    <n v="3"/>
    <n v="4"/>
    <n v="80"/>
    <n v="1"/>
    <n v="10"/>
    <n v="3"/>
    <n v="2"/>
    <x v="3"/>
    <n v="2"/>
    <n v="7"/>
    <n v="6"/>
    <x v="1"/>
    <n v="0"/>
    <n v="0"/>
    <x v="1"/>
    <n v="1"/>
    <m/>
    <m/>
  </r>
  <r>
    <n v="34"/>
    <x v="1"/>
    <s v="Travel_Rarely"/>
    <n v="479"/>
    <s v="Research &amp; Development"/>
    <n v="7"/>
    <n v="4"/>
    <s v="Medical"/>
    <n v="1"/>
    <n v="1577"/>
    <n v="1"/>
    <x v="1"/>
    <n v="35"/>
    <n v="3"/>
    <x v="1"/>
    <x v="1"/>
    <x v="0"/>
    <s v="Single"/>
    <n v="2972"/>
    <n v="22061"/>
    <n v="1"/>
    <s v="Y"/>
    <s v="No"/>
    <n v="13"/>
    <n v="3"/>
    <n v="3"/>
    <n v="80"/>
    <n v="0"/>
    <n v="1"/>
    <n v="4"/>
    <n v="1"/>
    <x v="6"/>
    <n v="0"/>
    <n v="0"/>
    <n v="0"/>
    <x v="1"/>
    <n v="0"/>
    <n v="0"/>
    <x v="1"/>
    <n v="1"/>
    <m/>
    <m/>
  </r>
  <r>
    <n v="55"/>
    <x v="1"/>
    <s v="Travel_Rarely"/>
    <n v="685"/>
    <s v="Sales"/>
    <n v="26"/>
    <n v="5"/>
    <s v="Marketing"/>
    <n v="1"/>
    <n v="1578"/>
    <n v="3"/>
    <x v="1"/>
    <n v="60"/>
    <n v="2"/>
    <x v="4"/>
    <x v="5"/>
    <x v="0"/>
    <s v="Married"/>
    <n v="19586"/>
    <n v="23037"/>
    <n v="1"/>
    <s v="Y"/>
    <s v="No"/>
    <n v="21"/>
    <n v="4"/>
    <n v="3"/>
    <n v="80"/>
    <n v="1"/>
    <n v="36"/>
    <n v="3"/>
    <n v="3"/>
    <x v="28"/>
    <n v="6"/>
    <n v="2"/>
    <n v="13"/>
    <x v="4"/>
    <n v="0"/>
    <n v="0"/>
    <x v="3"/>
    <n v="1"/>
    <m/>
    <m/>
  </r>
  <r>
    <n v="34"/>
    <x v="1"/>
    <s v="Travel_Rarely"/>
    <n v="1351"/>
    <s v="Research &amp; Development"/>
    <n v="1"/>
    <n v="4"/>
    <s v="Life Sciences"/>
    <n v="1"/>
    <n v="1580"/>
    <n v="2"/>
    <x v="1"/>
    <n v="45"/>
    <n v="3"/>
    <x v="0"/>
    <x v="1"/>
    <x v="0"/>
    <s v="Married"/>
    <n v="5484"/>
    <n v="13008"/>
    <n v="9"/>
    <s v="Y"/>
    <s v="No"/>
    <n v="17"/>
    <n v="3"/>
    <n v="2"/>
    <n v="80"/>
    <n v="1"/>
    <n v="9"/>
    <n v="3"/>
    <n v="2"/>
    <x v="4"/>
    <n v="2"/>
    <n v="2"/>
    <n v="1"/>
    <x v="1"/>
    <n v="0"/>
    <n v="0"/>
    <x v="0"/>
    <n v="1"/>
    <m/>
    <m/>
  </r>
  <r>
    <n v="26"/>
    <x v="1"/>
    <s v="Travel_Rarely"/>
    <n v="474"/>
    <s v="Research &amp; Development"/>
    <n v="3"/>
    <n v="3"/>
    <s v="Life Sciences"/>
    <n v="1"/>
    <n v="1581"/>
    <n v="1"/>
    <x v="0"/>
    <n v="89"/>
    <n v="3"/>
    <x v="1"/>
    <x v="1"/>
    <x v="0"/>
    <s v="Married"/>
    <n v="2061"/>
    <n v="11133"/>
    <n v="1"/>
    <s v="Y"/>
    <s v="No"/>
    <n v="21"/>
    <n v="4"/>
    <n v="1"/>
    <n v="80"/>
    <n v="0"/>
    <n v="1"/>
    <n v="5"/>
    <n v="3"/>
    <x v="6"/>
    <n v="0"/>
    <n v="0"/>
    <n v="0"/>
    <x v="1"/>
    <n v="0"/>
    <n v="0"/>
    <x v="1"/>
    <n v="1"/>
    <m/>
    <m/>
  </r>
  <r>
    <n v="38"/>
    <x v="1"/>
    <s v="Travel_Rarely"/>
    <n v="1245"/>
    <s v="Sales"/>
    <n v="14"/>
    <n v="3"/>
    <s v="Life Sciences"/>
    <n v="1"/>
    <n v="1582"/>
    <n v="3"/>
    <x v="1"/>
    <n v="80"/>
    <n v="3"/>
    <x v="0"/>
    <x v="0"/>
    <x v="1"/>
    <s v="Married"/>
    <n v="9924"/>
    <n v="12355"/>
    <n v="0"/>
    <s v="Y"/>
    <s v="No"/>
    <n v="11"/>
    <n v="3"/>
    <n v="4"/>
    <n v="80"/>
    <n v="1"/>
    <n v="10"/>
    <n v="3"/>
    <n v="3"/>
    <x v="7"/>
    <n v="8"/>
    <n v="7"/>
    <n v="7"/>
    <x v="0"/>
    <n v="0"/>
    <n v="0"/>
    <x v="2"/>
    <n v="1"/>
    <m/>
    <m/>
  </r>
  <r>
    <n v="38"/>
    <x v="1"/>
    <s v="Travel_Rarely"/>
    <n v="437"/>
    <s v="Sales"/>
    <n v="16"/>
    <n v="3"/>
    <s v="Life Sciences"/>
    <n v="1"/>
    <n v="1583"/>
    <n v="2"/>
    <x v="0"/>
    <n v="90"/>
    <n v="3"/>
    <x v="0"/>
    <x v="0"/>
    <x v="1"/>
    <s v="Single"/>
    <n v="4198"/>
    <n v="16379"/>
    <n v="2"/>
    <s v="Y"/>
    <s v="No"/>
    <n v="12"/>
    <n v="3"/>
    <n v="2"/>
    <n v="80"/>
    <n v="0"/>
    <n v="8"/>
    <n v="5"/>
    <n v="4"/>
    <x v="11"/>
    <n v="2"/>
    <n v="1"/>
    <n v="2"/>
    <x v="0"/>
    <n v="0"/>
    <n v="0"/>
    <x v="0"/>
    <n v="1"/>
    <m/>
    <m/>
  </r>
  <r>
    <n v="36"/>
    <x v="1"/>
    <s v="Travel_Rarely"/>
    <n v="884"/>
    <s v="Sales"/>
    <n v="1"/>
    <n v="4"/>
    <s v="Life Sciences"/>
    <n v="1"/>
    <n v="1585"/>
    <n v="2"/>
    <x v="0"/>
    <n v="73"/>
    <n v="3"/>
    <x v="0"/>
    <x v="0"/>
    <x v="2"/>
    <s v="Single"/>
    <n v="6815"/>
    <n v="21447"/>
    <n v="6"/>
    <s v="Y"/>
    <s v="No"/>
    <n v="13"/>
    <n v="3"/>
    <n v="1"/>
    <n v="80"/>
    <n v="0"/>
    <n v="15"/>
    <n v="5"/>
    <n v="3"/>
    <x v="6"/>
    <n v="0"/>
    <n v="0"/>
    <n v="0"/>
    <x v="0"/>
    <n v="0"/>
    <n v="0"/>
    <x v="4"/>
    <n v="1"/>
    <m/>
    <m/>
  </r>
  <r>
    <n v="29"/>
    <x v="1"/>
    <s v="Travel_Rarely"/>
    <n v="1370"/>
    <s v="Research &amp; Development"/>
    <n v="3"/>
    <n v="1"/>
    <s v="Medical"/>
    <n v="1"/>
    <n v="1586"/>
    <n v="2"/>
    <x v="1"/>
    <n v="87"/>
    <n v="3"/>
    <x v="1"/>
    <x v="2"/>
    <x v="3"/>
    <s v="Single"/>
    <n v="4723"/>
    <n v="16213"/>
    <n v="1"/>
    <s v="Y"/>
    <s v="Yes"/>
    <n v="18"/>
    <n v="3"/>
    <n v="4"/>
    <n v="80"/>
    <n v="0"/>
    <n v="10"/>
    <n v="3"/>
    <n v="3"/>
    <x v="1"/>
    <n v="9"/>
    <n v="1"/>
    <n v="5"/>
    <x v="1"/>
    <n v="0"/>
    <n v="0"/>
    <x v="0"/>
    <n v="1"/>
    <m/>
    <m/>
  </r>
  <r>
    <n v="35"/>
    <x v="1"/>
    <s v="Travel_Rarely"/>
    <n v="670"/>
    <s v="Research &amp; Development"/>
    <n v="10"/>
    <n v="4"/>
    <s v="Medical"/>
    <n v="1"/>
    <n v="1587"/>
    <n v="1"/>
    <x v="0"/>
    <n v="51"/>
    <n v="3"/>
    <x v="0"/>
    <x v="4"/>
    <x v="2"/>
    <s v="Single"/>
    <n v="6142"/>
    <n v="4223"/>
    <n v="3"/>
    <s v="Y"/>
    <s v="Yes"/>
    <n v="16"/>
    <n v="3"/>
    <n v="3"/>
    <n v="80"/>
    <n v="0"/>
    <n v="10"/>
    <n v="4"/>
    <n v="3"/>
    <x v="8"/>
    <n v="2"/>
    <n v="0"/>
    <n v="4"/>
    <x v="3"/>
    <n v="0"/>
    <n v="0"/>
    <x v="4"/>
    <n v="1"/>
    <m/>
    <m/>
  </r>
  <r>
    <n v="39"/>
    <x v="1"/>
    <s v="Travel_Rarely"/>
    <n v="1462"/>
    <s v="Sales"/>
    <n v="6"/>
    <n v="3"/>
    <s v="Medical"/>
    <n v="1"/>
    <n v="1588"/>
    <n v="4"/>
    <x v="1"/>
    <n v="38"/>
    <n v="4"/>
    <x v="2"/>
    <x v="0"/>
    <x v="2"/>
    <s v="Married"/>
    <n v="8237"/>
    <n v="4658"/>
    <n v="2"/>
    <s v="Y"/>
    <s v="No"/>
    <n v="11"/>
    <n v="3"/>
    <n v="1"/>
    <n v="80"/>
    <n v="1"/>
    <n v="11"/>
    <n v="3"/>
    <n v="3"/>
    <x v="5"/>
    <n v="6"/>
    <n v="7"/>
    <n v="6"/>
    <x v="0"/>
    <n v="0"/>
    <n v="0"/>
    <x v="4"/>
    <n v="1"/>
    <m/>
    <m/>
  </r>
  <r>
    <n v="29"/>
    <x v="1"/>
    <s v="Travel_Frequently"/>
    <n v="995"/>
    <s v="Research &amp; Development"/>
    <n v="2"/>
    <n v="1"/>
    <s v="Life Sciences"/>
    <n v="1"/>
    <n v="1590"/>
    <n v="1"/>
    <x v="1"/>
    <n v="87"/>
    <n v="3"/>
    <x v="0"/>
    <x v="4"/>
    <x v="0"/>
    <s v="Divorced"/>
    <n v="8853"/>
    <n v="24483"/>
    <n v="1"/>
    <s v="Y"/>
    <s v="No"/>
    <n v="19"/>
    <n v="3"/>
    <n v="4"/>
    <n v="80"/>
    <n v="1"/>
    <n v="6"/>
    <n v="0"/>
    <n v="4"/>
    <x v="0"/>
    <n v="4"/>
    <n v="1"/>
    <n v="3"/>
    <x v="3"/>
    <n v="0"/>
    <n v="0"/>
    <x v="4"/>
    <n v="1"/>
    <m/>
    <m/>
  </r>
  <r>
    <n v="50"/>
    <x v="1"/>
    <s v="Travel_Rarely"/>
    <n v="264"/>
    <s v="Sales"/>
    <n v="9"/>
    <n v="3"/>
    <s v="Marketing"/>
    <n v="1"/>
    <n v="1591"/>
    <n v="3"/>
    <x v="1"/>
    <n v="59"/>
    <n v="3"/>
    <x v="4"/>
    <x v="5"/>
    <x v="2"/>
    <s v="Married"/>
    <n v="19331"/>
    <n v="19519"/>
    <n v="4"/>
    <s v="Y"/>
    <s v="Yes"/>
    <n v="16"/>
    <n v="3"/>
    <n v="3"/>
    <n v="80"/>
    <n v="1"/>
    <n v="27"/>
    <n v="2"/>
    <n v="3"/>
    <x v="6"/>
    <n v="0"/>
    <n v="0"/>
    <n v="0"/>
    <x v="4"/>
    <n v="0"/>
    <n v="0"/>
    <x v="3"/>
    <n v="1"/>
    <m/>
    <m/>
  </r>
  <r>
    <n v="23"/>
    <x v="1"/>
    <s v="Travel_Rarely"/>
    <n v="977"/>
    <s v="Research &amp; Development"/>
    <n v="10"/>
    <n v="3"/>
    <s v="Technical Degree"/>
    <n v="1"/>
    <n v="1592"/>
    <n v="4"/>
    <x v="1"/>
    <n v="45"/>
    <n v="4"/>
    <x v="1"/>
    <x v="1"/>
    <x v="2"/>
    <s v="Married"/>
    <n v="2073"/>
    <n v="12826"/>
    <n v="2"/>
    <s v="Y"/>
    <s v="No"/>
    <n v="16"/>
    <n v="3"/>
    <n v="4"/>
    <n v="80"/>
    <n v="1"/>
    <n v="4"/>
    <n v="2"/>
    <n v="3"/>
    <x v="4"/>
    <n v="2"/>
    <n v="2"/>
    <n v="2"/>
    <x v="1"/>
    <n v="0"/>
    <n v="0"/>
    <x v="1"/>
    <n v="1"/>
    <m/>
    <m/>
  </r>
  <r>
    <n v="36"/>
    <x v="1"/>
    <s v="Travel_Frequently"/>
    <n v="1302"/>
    <s v="Research &amp; Development"/>
    <n v="6"/>
    <n v="4"/>
    <s v="Life Sciences"/>
    <n v="1"/>
    <n v="1594"/>
    <n v="1"/>
    <x v="1"/>
    <n v="80"/>
    <n v="4"/>
    <x v="0"/>
    <x v="2"/>
    <x v="3"/>
    <s v="Married"/>
    <n v="5562"/>
    <n v="19711"/>
    <n v="3"/>
    <s v="Y"/>
    <s v="Yes"/>
    <n v="13"/>
    <n v="3"/>
    <n v="4"/>
    <n v="80"/>
    <n v="1"/>
    <n v="9"/>
    <n v="3"/>
    <n v="3"/>
    <x v="11"/>
    <n v="2"/>
    <n v="0"/>
    <n v="2"/>
    <x v="1"/>
    <n v="0"/>
    <n v="0"/>
    <x v="0"/>
    <n v="1"/>
    <m/>
    <m/>
  </r>
  <r>
    <n v="42"/>
    <x v="1"/>
    <s v="Travel_Rarely"/>
    <n v="1059"/>
    <s v="Research &amp; Development"/>
    <n v="9"/>
    <n v="2"/>
    <s v="Other"/>
    <n v="1"/>
    <n v="1595"/>
    <n v="4"/>
    <x v="1"/>
    <n v="93"/>
    <n v="2"/>
    <x v="4"/>
    <x v="5"/>
    <x v="0"/>
    <s v="Single"/>
    <n v="19613"/>
    <n v="26362"/>
    <n v="8"/>
    <s v="Y"/>
    <s v="No"/>
    <n v="22"/>
    <n v="4"/>
    <n v="4"/>
    <n v="80"/>
    <n v="0"/>
    <n v="24"/>
    <n v="2"/>
    <n v="3"/>
    <x v="6"/>
    <n v="0"/>
    <n v="0"/>
    <n v="1"/>
    <x v="4"/>
    <n v="0"/>
    <n v="0"/>
    <x v="3"/>
    <n v="1"/>
    <m/>
    <m/>
  </r>
  <r>
    <n v="35"/>
    <x v="1"/>
    <s v="Travel_Rarely"/>
    <n v="750"/>
    <s v="Research &amp; Development"/>
    <n v="28"/>
    <n v="3"/>
    <s v="Life Sciences"/>
    <n v="1"/>
    <n v="1596"/>
    <n v="2"/>
    <x v="1"/>
    <n v="46"/>
    <n v="4"/>
    <x v="0"/>
    <x v="2"/>
    <x v="2"/>
    <s v="Married"/>
    <n v="3407"/>
    <n v="25348"/>
    <n v="1"/>
    <s v="Y"/>
    <s v="No"/>
    <n v="17"/>
    <n v="3"/>
    <n v="4"/>
    <n v="80"/>
    <n v="2"/>
    <n v="10"/>
    <n v="3"/>
    <n v="2"/>
    <x v="1"/>
    <n v="9"/>
    <n v="6"/>
    <n v="8"/>
    <x v="1"/>
    <n v="0"/>
    <n v="0"/>
    <x v="0"/>
    <n v="1"/>
    <m/>
    <m/>
  </r>
  <r>
    <n v="34"/>
    <x v="1"/>
    <s v="Travel_Frequently"/>
    <n v="653"/>
    <s v="Research &amp; Development"/>
    <n v="10"/>
    <n v="4"/>
    <s v="Technical Degree"/>
    <n v="1"/>
    <n v="1597"/>
    <n v="4"/>
    <x v="1"/>
    <n v="92"/>
    <n v="2"/>
    <x v="0"/>
    <x v="4"/>
    <x v="2"/>
    <s v="Married"/>
    <n v="5063"/>
    <n v="15332"/>
    <n v="1"/>
    <s v="Y"/>
    <s v="No"/>
    <n v="14"/>
    <n v="3"/>
    <n v="2"/>
    <n v="80"/>
    <n v="1"/>
    <n v="8"/>
    <n v="3"/>
    <n v="2"/>
    <x v="3"/>
    <n v="2"/>
    <n v="7"/>
    <n v="7"/>
    <x v="3"/>
    <n v="0"/>
    <n v="0"/>
    <x v="0"/>
    <n v="1"/>
    <m/>
    <m/>
  </r>
  <r>
    <n v="40"/>
    <x v="1"/>
    <s v="Travel_Rarely"/>
    <n v="118"/>
    <s v="Sales"/>
    <n v="14"/>
    <n v="2"/>
    <s v="Life Sciences"/>
    <n v="1"/>
    <n v="1598"/>
    <n v="4"/>
    <x v="0"/>
    <n v="84"/>
    <n v="3"/>
    <x v="0"/>
    <x v="0"/>
    <x v="3"/>
    <s v="Married"/>
    <n v="4639"/>
    <n v="11262"/>
    <n v="1"/>
    <s v="Y"/>
    <s v="No"/>
    <n v="15"/>
    <n v="3"/>
    <n v="3"/>
    <n v="80"/>
    <n v="1"/>
    <n v="5"/>
    <n v="2"/>
    <n v="3"/>
    <x v="8"/>
    <n v="4"/>
    <n v="1"/>
    <n v="2"/>
    <x v="0"/>
    <n v="0"/>
    <n v="0"/>
    <x v="0"/>
    <n v="1"/>
    <m/>
    <m/>
  </r>
  <r>
    <n v="43"/>
    <x v="1"/>
    <s v="Travel_Rarely"/>
    <n v="990"/>
    <s v="Research &amp; Development"/>
    <n v="27"/>
    <n v="3"/>
    <s v="Technical Degree"/>
    <n v="1"/>
    <n v="1599"/>
    <n v="4"/>
    <x v="1"/>
    <n v="87"/>
    <n v="4"/>
    <x v="1"/>
    <x v="2"/>
    <x v="1"/>
    <s v="Divorced"/>
    <n v="4876"/>
    <n v="5855"/>
    <n v="5"/>
    <s v="Y"/>
    <s v="No"/>
    <n v="12"/>
    <n v="3"/>
    <n v="3"/>
    <n v="80"/>
    <n v="1"/>
    <n v="8"/>
    <n v="0"/>
    <n v="3"/>
    <x v="0"/>
    <n v="4"/>
    <n v="0"/>
    <n v="2"/>
    <x v="1"/>
    <n v="0"/>
    <n v="0"/>
    <x v="0"/>
    <n v="1"/>
    <m/>
    <m/>
  </r>
  <r>
    <n v="35"/>
    <x v="1"/>
    <s v="Travel_Rarely"/>
    <n v="1349"/>
    <s v="Research &amp; Development"/>
    <n v="7"/>
    <n v="2"/>
    <s v="Life Sciences"/>
    <n v="1"/>
    <n v="1601"/>
    <n v="3"/>
    <x v="1"/>
    <n v="63"/>
    <n v="2"/>
    <x v="1"/>
    <x v="2"/>
    <x v="0"/>
    <s v="Married"/>
    <n v="2690"/>
    <n v="7713"/>
    <n v="1"/>
    <s v="Y"/>
    <s v="No"/>
    <n v="18"/>
    <n v="3"/>
    <n v="4"/>
    <n v="80"/>
    <n v="1"/>
    <n v="1"/>
    <n v="5"/>
    <n v="2"/>
    <x v="6"/>
    <n v="0"/>
    <n v="0"/>
    <n v="1"/>
    <x v="1"/>
    <n v="0"/>
    <n v="0"/>
    <x v="1"/>
    <n v="1"/>
    <m/>
    <m/>
  </r>
  <r>
    <n v="46"/>
    <x v="1"/>
    <s v="Travel_Rarely"/>
    <n v="563"/>
    <s v="Sales"/>
    <n v="1"/>
    <n v="4"/>
    <s v="Life Sciences"/>
    <n v="1"/>
    <n v="1602"/>
    <n v="4"/>
    <x v="1"/>
    <n v="56"/>
    <n v="4"/>
    <x v="3"/>
    <x v="5"/>
    <x v="3"/>
    <s v="Single"/>
    <n v="17567"/>
    <n v="3156"/>
    <n v="1"/>
    <s v="Y"/>
    <s v="No"/>
    <n v="15"/>
    <n v="3"/>
    <n v="2"/>
    <n v="80"/>
    <n v="0"/>
    <n v="27"/>
    <n v="5"/>
    <n v="1"/>
    <x v="34"/>
    <n v="0"/>
    <n v="0"/>
    <n v="12"/>
    <x v="4"/>
    <n v="0"/>
    <n v="0"/>
    <x v="3"/>
    <n v="1"/>
    <m/>
    <m/>
  </r>
  <r>
    <n v="28"/>
    <x v="0"/>
    <s v="Travel_Rarely"/>
    <n v="329"/>
    <s v="Research &amp; Development"/>
    <n v="24"/>
    <n v="3"/>
    <s v="Medical"/>
    <n v="1"/>
    <n v="1604"/>
    <n v="3"/>
    <x v="1"/>
    <n v="51"/>
    <n v="3"/>
    <x v="1"/>
    <x v="2"/>
    <x v="1"/>
    <s v="Married"/>
    <n v="2408"/>
    <n v="7324"/>
    <n v="1"/>
    <s v="Y"/>
    <s v="Yes"/>
    <n v="17"/>
    <n v="3"/>
    <n v="3"/>
    <n v="80"/>
    <n v="3"/>
    <n v="1"/>
    <n v="3"/>
    <n v="3"/>
    <x v="6"/>
    <n v="1"/>
    <n v="0"/>
    <n v="0"/>
    <x v="1"/>
    <n v="1"/>
    <n v="43344"/>
    <x v="1"/>
    <n v="1"/>
    <m/>
    <m/>
  </r>
  <r>
    <n v="22"/>
    <x v="1"/>
    <s v="Non-Travel"/>
    <n v="457"/>
    <s v="Research &amp; Development"/>
    <n v="26"/>
    <n v="2"/>
    <s v="Other"/>
    <n v="1"/>
    <n v="1605"/>
    <n v="2"/>
    <x v="0"/>
    <n v="85"/>
    <n v="2"/>
    <x v="1"/>
    <x v="1"/>
    <x v="2"/>
    <s v="Married"/>
    <n v="2814"/>
    <n v="10293"/>
    <n v="1"/>
    <s v="Y"/>
    <s v="Yes"/>
    <n v="14"/>
    <n v="3"/>
    <n v="2"/>
    <n v="80"/>
    <n v="0"/>
    <n v="4"/>
    <n v="2"/>
    <n v="2"/>
    <x v="9"/>
    <n v="2"/>
    <n v="1"/>
    <n v="3"/>
    <x v="1"/>
    <n v="0"/>
    <n v="0"/>
    <x v="1"/>
    <n v="1"/>
    <m/>
    <m/>
  </r>
  <r>
    <n v="50"/>
    <x v="1"/>
    <s v="Travel_Frequently"/>
    <n v="1234"/>
    <s v="Research &amp; Development"/>
    <n v="20"/>
    <n v="5"/>
    <s v="Medical"/>
    <n v="1"/>
    <n v="1606"/>
    <n v="2"/>
    <x v="1"/>
    <n v="41"/>
    <n v="3"/>
    <x v="3"/>
    <x v="4"/>
    <x v="2"/>
    <s v="Married"/>
    <n v="11245"/>
    <n v="20689"/>
    <n v="2"/>
    <s v="Y"/>
    <s v="Yes"/>
    <n v="15"/>
    <n v="3"/>
    <n v="3"/>
    <n v="80"/>
    <n v="1"/>
    <n v="32"/>
    <n v="3"/>
    <n v="3"/>
    <x v="35"/>
    <n v="8"/>
    <n v="12"/>
    <n v="13"/>
    <x v="3"/>
    <n v="0"/>
    <n v="0"/>
    <x v="2"/>
    <n v="1"/>
    <m/>
    <m/>
  </r>
  <r>
    <n v="32"/>
    <x v="1"/>
    <s v="Travel_Rarely"/>
    <n v="634"/>
    <s v="Research &amp; Development"/>
    <n v="5"/>
    <n v="4"/>
    <s v="Other"/>
    <n v="1"/>
    <n v="1607"/>
    <n v="2"/>
    <x v="0"/>
    <n v="35"/>
    <n v="4"/>
    <x v="1"/>
    <x v="1"/>
    <x v="0"/>
    <s v="Married"/>
    <n v="3312"/>
    <n v="18783"/>
    <n v="3"/>
    <s v="Y"/>
    <s v="No"/>
    <n v="17"/>
    <n v="3"/>
    <n v="4"/>
    <n v="80"/>
    <n v="2"/>
    <n v="6"/>
    <n v="3"/>
    <n v="3"/>
    <x v="11"/>
    <n v="2"/>
    <n v="0"/>
    <n v="2"/>
    <x v="1"/>
    <n v="0"/>
    <n v="0"/>
    <x v="0"/>
    <n v="1"/>
    <m/>
    <m/>
  </r>
  <r>
    <n v="44"/>
    <x v="1"/>
    <s v="Travel_Rarely"/>
    <n v="1313"/>
    <s v="Research &amp; Development"/>
    <n v="7"/>
    <n v="3"/>
    <s v="Medical"/>
    <n v="1"/>
    <n v="1608"/>
    <n v="2"/>
    <x v="0"/>
    <n v="31"/>
    <n v="3"/>
    <x v="4"/>
    <x v="7"/>
    <x v="0"/>
    <s v="Divorced"/>
    <n v="19049"/>
    <n v="3549"/>
    <n v="0"/>
    <s v="Y"/>
    <s v="Yes"/>
    <n v="14"/>
    <n v="3"/>
    <n v="4"/>
    <n v="80"/>
    <n v="1"/>
    <n v="23"/>
    <n v="4"/>
    <n v="2"/>
    <x v="14"/>
    <n v="7"/>
    <n v="1"/>
    <n v="10"/>
    <x v="1"/>
    <n v="0"/>
    <n v="0"/>
    <x v="3"/>
    <n v="1"/>
    <m/>
    <m/>
  </r>
  <r>
    <n v="30"/>
    <x v="1"/>
    <s v="Travel_Rarely"/>
    <n v="241"/>
    <s v="Research &amp; Development"/>
    <n v="7"/>
    <n v="3"/>
    <s v="Medical"/>
    <n v="1"/>
    <n v="1609"/>
    <n v="2"/>
    <x v="1"/>
    <n v="48"/>
    <n v="2"/>
    <x v="1"/>
    <x v="1"/>
    <x v="1"/>
    <s v="Married"/>
    <n v="2141"/>
    <n v="5348"/>
    <n v="1"/>
    <s v="Y"/>
    <s v="No"/>
    <n v="12"/>
    <n v="3"/>
    <n v="2"/>
    <n v="80"/>
    <n v="1"/>
    <n v="6"/>
    <n v="3"/>
    <n v="2"/>
    <x v="0"/>
    <n v="4"/>
    <n v="1"/>
    <n v="1"/>
    <x v="1"/>
    <n v="0"/>
    <n v="0"/>
    <x v="1"/>
    <n v="1"/>
    <m/>
    <m/>
  </r>
  <r>
    <n v="45"/>
    <x v="1"/>
    <s v="Travel_Rarely"/>
    <n v="1015"/>
    <s v="Research &amp; Development"/>
    <n v="5"/>
    <n v="5"/>
    <s v="Medical"/>
    <n v="1"/>
    <n v="1611"/>
    <n v="3"/>
    <x v="0"/>
    <n v="50"/>
    <n v="1"/>
    <x v="0"/>
    <x v="2"/>
    <x v="3"/>
    <s v="Single"/>
    <n v="5769"/>
    <n v="23447"/>
    <n v="1"/>
    <s v="Y"/>
    <s v="Yes"/>
    <n v="14"/>
    <n v="3"/>
    <n v="1"/>
    <n v="80"/>
    <n v="0"/>
    <n v="10"/>
    <n v="3"/>
    <n v="3"/>
    <x v="1"/>
    <n v="7"/>
    <n v="1"/>
    <n v="4"/>
    <x v="1"/>
    <n v="0"/>
    <n v="0"/>
    <x v="0"/>
    <n v="1"/>
    <m/>
    <m/>
  </r>
  <r>
    <n v="45"/>
    <x v="1"/>
    <s v="Non-Travel"/>
    <n v="336"/>
    <s v="Sales"/>
    <n v="26"/>
    <n v="3"/>
    <s v="Marketing"/>
    <n v="1"/>
    <n v="1612"/>
    <n v="1"/>
    <x v="1"/>
    <n v="52"/>
    <n v="2"/>
    <x v="0"/>
    <x v="0"/>
    <x v="3"/>
    <s v="Married"/>
    <n v="4385"/>
    <n v="24162"/>
    <n v="1"/>
    <s v="Y"/>
    <s v="No"/>
    <n v="15"/>
    <n v="3"/>
    <n v="1"/>
    <n v="80"/>
    <n v="1"/>
    <n v="10"/>
    <n v="2"/>
    <n v="3"/>
    <x v="1"/>
    <n v="7"/>
    <n v="4"/>
    <n v="5"/>
    <x v="0"/>
    <n v="0"/>
    <n v="0"/>
    <x v="0"/>
    <n v="1"/>
    <m/>
    <m/>
  </r>
  <r>
    <n v="31"/>
    <x v="1"/>
    <s v="Travel_Frequently"/>
    <n v="715"/>
    <s v="Sales"/>
    <n v="2"/>
    <n v="4"/>
    <s v="Other"/>
    <n v="1"/>
    <n v="1613"/>
    <n v="4"/>
    <x v="1"/>
    <n v="54"/>
    <n v="3"/>
    <x v="0"/>
    <x v="0"/>
    <x v="3"/>
    <s v="Single"/>
    <n v="5332"/>
    <n v="21602"/>
    <n v="7"/>
    <s v="Y"/>
    <s v="No"/>
    <n v="13"/>
    <n v="3"/>
    <n v="4"/>
    <n v="80"/>
    <n v="0"/>
    <n v="10"/>
    <n v="3"/>
    <n v="3"/>
    <x v="8"/>
    <n v="2"/>
    <n v="0"/>
    <n v="3"/>
    <x v="0"/>
    <n v="0"/>
    <n v="0"/>
    <x v="0"/>
    <n v="1"/>
    <m/>
    <m/>
  </r>
  <r>
    <n v="36"/>
    <x v="1"/>
    <s v="Travel_Rarely"/>
    <n v="559"/>
    <s v="Research &amp; Development"/>
    <n v="12"/>
    <n v="4"/>
    <s v="Life Sciences"/>
    <n v="1"/>
    <n v="1614"/>
    <n v="3"/>
    <x v="0"/>
    <n v="76"/>
    <n v="3"/>
    <x v="0"/>
    <x v="3"/>
    <x v="2"/>
    <s v="Married"/>
    <n v="4663"/>
    <n v="12421"/>
    <n v="9"/>
    <s v="Y"/>
    <s v="Yes"/>
    <n v="12"/>
    <n v="3"/>
    <n v="2"/>
    <n v="80"/>
    <n v="2"/>
    <n v="7"/>
    <n v="2"/>
    <n v="3"/>
    <x v="11"/>
    <n v="2"/>
    <n v="1"/>
    <n v="1"/>
    <x v="2"/>
    <n v="0"/>
    <n v="0"/>
    <x v="0"/>
    <n v="1"/>
    <m/>
    <m/>
  </r>
  <r>
    <n v="34"/>
    <x v="1"/>
    <s v="Travel_Frequently"/>
    <n v="426"/>
    <s v="Research &amp; Development"/>
    <n v="10"/>
    <n v="4"/>
    <s v="Life Sciences"/>
    <n v="1"/>
    <n v="1615"/>
    <n v="3"/>
    <x v="1"/>
    <n v="42"/>
    <n v="4"/>
    <x v="0"/>
    <x v="3"/>
    <x v="0"/>
    <s v="Divorced"/>
    <n v="4724"/>
    <n v="17000"/>
    <n v="1"/>
    <s v="Y"/>
    <s v="No"/>
    <n v="13"/>
    <n v="3"/>
    <n v="1"/>
    <n v="80"/>
    <n v="1"/>
    <n v="9"/>
    <n v="3"/>
    <n v="3"/>
    <x v="7"/>
    <n v="7"/>
    <n v="7"/>
    <n v="2"/>
    <x v="2"/>
    <n v="0"/>
    <n v="0"/>
    <x v="0"/>
    <n v="1"/>
    <m/>
    <m/>
  </r>
  <r>
    <n v="49"/>
    <x v="1"/>
    <s v="Travel_Rarely"/>
    <n v="722"/>
    <s v="Research &amp; Development"/>
    <n v="25"/>
    <n v="4"/>
    <s v="Life Sciences"/>
    <n v="1"/>
    <n v="1617"/>
    <n v="3"/>
    <x v="0"/>
    <n v="84"/>
    <n v="3"/>
    <x v="1"/>
    <x v="2"/>
    <x v="3"/>
    <s v="Married"/>
    <n v="3211"/>
    <n v="22102"/>
    <n v="1"/>
    <s v="Y"/>
    <s v="No"/>
    <n v="14"/>
    <n v="3"/>
    <n v="4"/>
    <n v="80"/>
    <n v="1"/>
    <n v="10"/>
    <n v="3"/>
    <n v="2"/>
    <x v="7"/>
    <n v="6"/>
    <n v="1"/>
    <n v="4"/>
    <x v="1"/>
    <n v="0"/>
    <n v="0"/>
    <x v="0"/>
    <n v="1"/>
    <m/>
    <m/>
  </r>
  <r>
    <n v="39"/>
    <x v="1"/>
    <s v="Travel_Rarely"/>
    <n v="1387"/>
    <s v="Research &amp; Development"/>
    <n v="10"/>
    <n v="5"/>
    <s v="Medical"/>
    <n v="1"/>
    <n v="1618"/>
    <n v="2"/>
    <x v="1"/>
    <n v="76"/>
    <n v="3"/>
    <x v="0"/>
    <x v="3"/>
    <x v="3"/>
    <s v="Married"/>
    <n v="5377"/>
    <n v="3835"/>
    <n v="2"/>
    <s v="Y"/>
    <s v="No"/>
    <n v="13"/>
    <n v="3"/>
    <n v="4"/>
    <n v="80"/>
    <n v="3"/>
    <n v="10"/>
    <n v="3"/>
    <n v="3"/>
    <x v="5"/>
    <n v="7"/>
    <n v="7"/>
    <n v="7"/>
    <x v="2"/>
    <n v="0"/>
    <n v="0"/>
    <x v="0"/>
    <n v="1"/>
    <m/>
    <m/>
  </r>
  <r>
    <n v="27"/>
    <x v="1"/>
    <s v="Travel_Rarely"/>
    <n v="1302"/>
    <s v="Research &amp; Development"/>
    <n v="19"/>
    <n v="3"/>
    <s v="Other"/>
    <n v="1"/>
    <n v="1619"/>
    <n v="4"/>
    <x v="1"/>
    <n v="67"/>
    <n v="2"/>
    <x v="1"/>
    <x v="2"/>
    <x v="3"/>
    <s v="Divorced"/>
    <n v="4066"/>
    <n v="16290"/>
    <n v="1"/>
    <s v="Y"/>
    <s v="No"/>
    <n v="11"/>
    <n v="3"/>
    <n v="1"/>
    <n v="80"/>
    <n v="2"/>
    <n v="7"/>
    <n v="3"/>
    <n v="3"/>
    <x v="5"/>
    <n v="7"/>
    <n v="0"/>
    <n v="7"/>
    <x v="1"/>
    <n v="0"/>
    <n v="0"/>
    <x v="0"/>
    <n v="1"/>
    <m/>
    <m/>
  </r>
  <r>
    <n v="35"/>
    <x v="1"/>
    <s v="Travel_Rarely"/>
    <n v="819"/>
    <s v="Research &amp; Development"/>
    <n v="18"/>
    <n v="5"/>
    <s v="Life Sciences"/>
    <n v="1"/>
    <n v="1621"/>
    <n v="2"/>
    <x v="1"/>
    <n v="48"/>
    <n v="4"/>
    <x v="0"/>
    <x v="1"/>
    <x v="3"/>
    <s v="Married"/>
    <n v="5208"/>
    <n v="26312"/>
    <n v="1"/>
    <s v="Y"/>
    <s v="No"/>
    <n v="11"/>
    <n v="3"/>
    <n v="4"/>
    <n v="80"/>
    <n v="0"/>
    <n v="16"/>
    <n v="2"/>
    <n v="3"/>
    <x v="22"/>
    <n v="15"/>
    <n v="1"/>
    <n v="10"/>
    <x v="1"/>
    <n v="0"/>
    <n v="0"/>
    <x v="0"/>
    <n v="1"/>
    <m/>
    <m/>
  </r>
  <r>
    <n v="28"/>
    <x v="1"/>
    <s v="Travel_Rarely"/>
    <n v="580"/>
    <s v="Research &amp; Development"/>
    <n v="27"/>
    <n v="3"/>
    <s v="Medical"/>
    <n v="1"/>
    <n v="1622"/>
    <n v="2"/>
    <x v="0"/>
    <n v="39"/>
    <n v="1"/>
    <x v="0"/>
    <x v="3"/>
    <x v="3"/>
    <s v="Divorced"/>
    <n v="4877"/>
    <n v="20460"/>
    <n v="0"/>
    <s v="Y"/>
    <s v="No"/>
    <n v="21"/>
    <n v="4"/>
    <n v="2"/>
    <n v="80"/>
    <n v="1"/>
    <n v="6"/>
    <n v="5"/>
    <n v="2"/>
    <x v="8"/>
    <n v="3"/>
    <n v="0"/>
    <n v="0"/>
    <x v="2"/>
    <n v="0"/>
    <n v="0"/>
    <x v="0"/>
    <n v="1"/>
    <m/>
    <m/>
  </r>
  <r>
    <n v="21"/>
    <x v="1"/>
    <s v="Travel_Rarely"/>
    <n v="546"/>
    <s v="Research &amp; Development"/>
    <n v="5"/>
    <n v="1"/>
    <s v="Medical"/>
    <n v="1"/>
    <n v="1623"/>
    <n v="3"/>
    <x v="1"/>
    <n v="97"/>
    <n v="3"/>
    <x v="1"/>
    <x v="1"/>
    <x v="0"/>
    <s v="Single"/>
    <n v="3117"/>
    <n v="26009"/>
    <n v="1"/>
    <s v="Y"/>
    <s v="No"/>
    <n v="18"/>
    <n v="3"/>
    <n v="3"/>
    <n v="80"/>
    <n v="0"/>
    <n v="3"/>
    <n v="2"/>
    <n v="3"/>
    <x v="4"/>
    <n v="2"/>
    <n v="2"/>
    <n v="2"/>
    <x v="1"/>
    <n v="0"/>
    <n v="0"/>
    <x v="0"/>
    <n v="1"/>
    <m/>
    <m/>
  </r>
  <r>
    <n v="18"/>
    <x v="0"/>
    <s v="Travel_Frequently"/>
    <n v="544"/>
    <s v="Sales"/>
    <n v="3"/>
    <n v="2"/>
    <s v="Medical"/>
    <n v="1"/>
    <n v="1624"/>
    <n v="2"/>
    <x v="0"/>
    <n v="70"/>
    <n v="3"/>
    <x v="1"/>
    <x v="6"/>
    <x v="0"/>
    <s v="Single"/>
    <n v="1569"/>
    <n v="18420"/>
    <n v="1"/>
    <s v="Y"/>
    <s v="Yes"/>
    <n v="12"/>
    <n v="3"/>
    <n v="3"/>
    <n v="80"/>
    <n v="0"/>
    <n v="0"/>
    <n v="2"/>
    <n v="4"/>
    <x v="2"/>
    <n v="0"/>
    <n v="0"/>
    <n v="0"/>
    <x v="0"/>
    <n v="1"/>
    <n v="28242"/>
    <x v="1"/>
    <n v="1"/>
    <m/>
    <m/>
  </r>
  <r>
    <n v="47"/>
    <x v="1"/>
    <s v="Travel_Rarely"/>
    <n v="1176"/>
    <s v="Human Resources"/>
    <n v="26"/>
    <n v="4"/>
    <s v="Life Sciences"/>
    <n v="1"/>
    <n v="1625"/>
    <n v="4"/>
    <x v="0"/>
    <n v="98"/>
    <n v="3"/>
    <x v="4"/>
    <x v="5"/>
    <x v="2"/>
    <s v="Married"/>
    <n v="19658"/>
    <n v="5220"/>
    <n v="3"/>
    <s v="Y"/>
    <s v="No"/>
    <n v="11"/>
    <n v="3"/>
    <n v="3"/>
    <n v="80"/>
    <n v="1"/>
    <n v="27"/>
    <n v="2"/>
    <n v="3"/>
    <x v="8"/>
    <n v="2"/>
    <n v="1"/>
    <n v="0"/>
    <x v="4"/>
    <n v="0"/>
    <n v="0"/>
    <x v="3"/>
    <n v="1"/>
    <m/>
    <m/>
  </r>
  <r>
    <n v="39"/>
    <x v="1"/>
    <s v="Travel_Rarely"/>
    <n v="170"/>
    <s v="Research &amp; Development"/>
    <n v="3"/>
    <n v="2"/>
    <s v="Medical"/>
    <n v="1"/>
    <n v="1627"/>
    <n v="3"/>
    <x v="1"/>
    <n v="76"/>
    <n v="2"/>
    <x v="0"/>
    <x v="2"/>
    <x v="2"/>
    <s v="Divorced"/>
    <n v="3069"/>
    <n v="10302"/>
    <n v="0"/>
    <s v="Y"/>
    <s v="No"/>
    <n v="15"/>
    <n v="3"/>
    <n v="4"/>
    <n v="80"/>
    <n v="1"/>
    <n v="11"/>
    <n v="3"/>
    <n v="3"/>
    <x v="1"/>
    <n v="8"/>
    <n v="0"/>
    <n v="7"/>
    <x v="1"/>
    <n v="0"/>
    <n v="0"/>
    <x v="0"/>
    <n v="1"/>
    <m/>
    <m/>
  </r>
  <r>
    <n v="40"/>
    <x v="1"/>
    <s v="Travel_Rarely"/>
    <n v="884"/>
    <s v="Research &amp; Development"/>
    <n v="15"/>
    <n v="3"/>
    <s v="Life Sciences"/>
    <n v="1"/>
    <n v="1628"/>
    <n v="1"/>
    <x v="0"/>
    <n v="80"/>
    <n v="2"/>
    <x v="2"/>
    <x v="3"/>
    <x v="2"/>
    <s v="Married"/>
    <n v="10435"/>
    <n v="25800"/>
    <n v="1"/>
    <s v="Y"/>
    <s v="No"/>
    <n v="13"/>
    <n v="3"/>
    <n v="4"/>
    <n v="80"/>
    <n v="2"/>
    <n v="18"/>
    <n v="2"/>
    <n v="3"/>
    <x v="29"/>
    <n v="15"/>
    <n v="14"/>
    <n v="12"/>
    <x v="2"/>
    <n v="0"/>
    <n v="0"/>
    <x v="2"/>
    <n v="1"/>
    <m/>
    <m/>
  </r>
  <r>
    <n v="35"/>
    <x v="1"/>
    <s v="Non-Travel"/>
    <n v="208"/>
    <s v="Research &amp; Development"/>
    <n v="8"/>
    <n v="4"/>
    <s v="Life Sciences"/>
    <n v="1"/>
    <n v="1630"/>
    <n v="3"/>
    <x v="0"/>
    <n v="52"/>
    <n v="3"/>
    <x v="0"/>
    <x v="4"/>
    <x v="2"/>
    <s v="Married"/>
    <n v="4148"/>
    <n v="12250"/>
    <n v="1"/>
    <s v="Y"/>
    <s v="No"/>
    <n v="12"/>
    <n v="3"/>
    <n v="4"/>
    <n v="80"/>
    <n v="1"/>
    <n v="15"/>
    <n v="5"/>
    <n v="3"/>
    <x v="13"/>
    <n v="11"/>
    <n v="2"/>
    <n v="9"/>
    <x v="3"/>
    <n v="0"/>
    <n v="0"/>
    <x v="0"/>
    <n v="1"/>
    <m/>
    <m/>
  </r>
  <r>
    <n v="37"/>
    <x v="1"/>
    <s v="Travel_Rarely"/>
    <n v="671"/>
    <s v="Research &amp; Development"/>
    <n v="19"/>
    <n v="3"/>
    <s v="Life Sciences"/>
    <n v="1"/>
    <n v="1631"/>
    <n v="3"/>
    <x v="1"/>
    <n v="85"/>
    <n v="3"/>
    <x v="0"/>
    <x v="3"/>
    <x v="2"/>
    <s v="Married"/>
    <n v="5768"/>
    <n v="26493"/>
    <n v="3"/>
    <s v="Y"/>
    <s v="No"/>
    <n v="17"/>
    <n v="3"/>
    <n v="1"/>
    <n v="80"/>
    <n v="3"/>
    <n v="9"/>
    <n v="2"/>
    <n v="2"/>
    <x v="9"/>
    <n v="3"/>
    <n v="0"/>
    <n v="2"/>
    <x v="2"/>
    <n v="0"/>
    <n v="0"/>
    <x v="0"/>
    <n v="1"/>
    <m/>
    <m/>
  </r>
  <r>
    <n v="39"/>
    <x v="1"/>
    <s v="Travel_Frequently"/>
    <n v="711"/>
    <s v="Research &amp; Development"/>
    <n v="4"/>
    <n v="3"/>
    <s v="Medical"/>
    <n v="1"/>
    <n v="1633"/>
    <n v="1"/>
    <x v="0"/>
    <n v="81"/>
    <n v="3"/>
    <x v="0"/>
    <x v="3"/>
    <x v="2"/>
    <s v="Single"/>
    <n v="5042"/>
    <n v="3140"/>
    <n v="0"/>
    <s v="Y"/>
    <s v="No"/>
    <n v="13"/>
    <n v="3"/>
    <n v="4"/>
    <n v="80"/>
    <n v="0"/>
    <n v="10"/>
    <n v="2"/>
    <n v="1"/>
    <x v="7"/>
    <n v="2"/>
    <n v="3"/>
    <n v="8"/>
    <x v="2"/>
    <n v="0"/>
    <n v="0"/>
    <x v="0"/>
    <n v="1"/>
    <m/>
    <m/>
  </r>
  <r>
    <n v="45"/>
    <x v="1"/>
    <s v="Travel_Rarely"/>
    <n v="1329"/>
    <s v="Research &amp; Development"/>
    <n v="2"/>
    <n v="2"/>
    <s v="Other"/>
    <n v="1"/>
    <n v="1635"/>
    <n v="4"/>
    <x v="0"/>
    <n v="59"/>
    <n v="2"/>
    <x v="0"/>
    <x v="3"/>
    <x v="0"/>
    <s v="Divorced"/>
    <n v="5770"/>
    <n v="5388"/>
    <n v="1"/>
    <s v="Y"/>
    <s v="No"/>
    <n v="19"/>
    <n v="3"/>
    <n v="1"/>
    <n v="80"/>
    <n v="2"/>
    <n v="10"/>
    <n v="3"/>
    <n v="3"/>
    <x v="1"/>
    <n v="7"/>
    <n v="3"/>
    <n v="9"/>
    <x v="2"/>
    <n v="0"/>
    <n v="0"/>
    <x v="0"/>
    <n v="1"/>
    <m/>
    <m/>
  </r>
  <r>
    <n v="38"/>
    <x v="1"/>
    <s v="Travel_Rarely"/>
    <n v="397"/>
    <s v="Research &amp; Development"/>
    <n v="2"/>
    <n v="2"/>
    <s v="Medical"/>
    <n v="1"/>
    <n v="1638"/>
    <n v="4"/>
    <x v="0"/>
    <n v="54"/>
    <n v="2"/>
    <x v="2"/>
    <x v="3"/>
    <x v="2"/>
    <s v="Married"/>
    <n v="7756"/>
    <n v="14199"/>
    <n v="3"/>
    <s v="Y"/>
    <s v="Yes"/>
    <n v="19"/>
    <n v="3"/>
    <n v="4"/>
    <n v="80"/>
    <n v="1"/>
    <n v="10"/>
    <n v="6"/>
    <n v="4"/>
    <x v="8"/>
    <n v="4"/>
    <n v="0"/>
    <n v="2"/>
    <x v="2"/>
    <n v="0"/>
    <n v="0"/>
    <x v="4"/>
    <n v="1"/>
    <m/>
    <m/>
  </r>
  <r>
    <n v="35"/>
    <x v="0"/>
    <s v="Travel_Rarely"/>
    <n v="737"/>
    <s v="Sales"/>
    <n v="10"/>
    <n v="3"/>
    <s v="Medical"/>
    <n v="1"/>
    <n v="1639"/>
    <n v="4"/>
    <x v="1"/>
    <n v="55"/>
    <n v="2"/>
    <x v="2"/>
    <x v="0"/>
    <x v="3"/>
    <s v="Married"/>
    <n v="10306"/>
    <n v="21530"/>
    <n v="9"/>
    <s v="Y"/>
    <s v="No"/>
    <n v="17"/>
    <n v="3"/>
    <n v="3"/>
    <n v="80"/>
    <n v="0"/>
    <n v="15"/>
    <n v="3"/>
    <n v="3"/>
    <x v="20"/>
    <n v="12"/>
    <n v="6"/>
    <n v="0"/>
    <x v="0"/>
    <n v="1"/>
    <n v="185508"/>
    <x v="2"/>
    <n v="1"/>
    <m/>
    <m/>
  </r>
  <r>
    <n v="37"/>
    <x v="1"/>
    <s v="Travel_Rarely"/>
    <n v="1470"/>
    <s v="Research &amp; Development"/>
    <n v="10"/>
    <n v="3"/>
    <s v="Medical"/>
    <n v="1"/>
    <n v="1640"/>
    <n v="2"/>
    <x v="0"/>
    <n v="71"/>
    <n v="3"/>
    <x v="1"/>
    <x v="1"/>
    <x v="1"/>
    <s v="Married"/>
    <n v="3936"/>
    <n v="9953"/>
    <n v="1"/>
    <s v="Y"/>
    <s v="No"/>
    <n v="11"/>
    <n v="3"/>
    <n v="1"/>
    <n v="80"/>
    <n v="1"/>
    <n v="8"/>
    <n v="2"/>
    <n v="1"/>
    <x v="3"/>
    <n v="4"/>
    <n v="7"/>
    <n v="7"/>
    <x v="1"/>
    <n v="0"/>
    <n v="0"/>
    <x v="0"/>
    <n v="1"/>
    <m/>
    <m/>
  </r>
  <r>
    <n v="40"/>
    <x v="1"/>
    <s v="Travel_Rarely"/>
    <n v="448"/>
    <s v="Research &amp; Development"/>
    <n v="16"/>
    <n v="3"/>
    <s v="Life Sciences"/>
    <n v="1"/>
    <n v="1641"/>
    <n v="3"/>
    <x v="0"/>
    <n v="84"/>
    <n v="3"/>
    <x v="2"/>
    <x v="3"/>
    <x v="0"/>
    <s v="Single"/>
    <n v="7945"/>
    <n v="19948"/>
    <n v="6"/>
    <s v="Y"/>
    <s v="Yes"/>
    <n v="15"/>
    <n v="3"/>
    <n v="4"/>
    <n v="80"/>
    <n v="0"/>
    <n v="18"/>
    <n v="2"/>
    <n v="2"/>
    <x v="9"/>
    <n v="2"/>
    <n v="3"/>
    <n v="3"/>
    <x v="2"/>
    <n v="0"/>
    <n v="0"/>
    <x v="4"/>
    <n v="1"/>
    <m/>
    <m/>
  </r>
  <r>
    <n v="44"/>
    <x v="1"/>
    <s v="Travel_Frequently"/>
    <n v="602"/>
    <s v="Human Resources"/>
    <n v="1"/>
    <n v="5"/>
    <s v="Human Resources"/>
    <n v="1"/>
    <n v="1642"/>
    <n v="1"/>
    <x v="1"/>
    <n v="37"/>
    <n v="3"/>
    <x v="0"/>
    <x v="8"/>
    <x v="0"/>
    <s v="Married"/>
    <n v="5743"/>
    <n v="10503"/>
    <n v="4"/>
    <s v="Y"/>
    <s v="Yes"/>
    <n v="11"/>
    <n v="3"/>
    <n v="3"/>
    <n v="80"/>
    <n v="0"/>
    <n v="14"/>
    <n v="3"/>
    <n v="3"/>
    <x v="1"/>
    <n v="7"/>
    <n v="0"/>
    <n v="2"/>
    <x v="5"/>
    <n v="0"/>
    <n v="0"/>
    <x v="0"/>
    <n v="1"/>
    <m/>
    <m/>
  </r>
  <r>
    <n v="48"/>
    <x v="1"/>
    <s v="Travel_Frequently"/>
    <n v="365"/>
    <s v="Research &amp; Development"/>
    <n v="4"/>
    <n v="5"/>
    <s v="Medical"/>
    <n v="1"/>
    <n v="1644"/>
    <n v="3"/>
    <x v="1"/>
    <n v="89"/>
    <n v="2"/>
    <x v="3"/>
    <x v="5"/>
    <x v="0"/>
    <s v="Married"/>
    <n v="15202"/>
    <n v="5602"/>
    <n v="2"/>
    <s v="Y"/>
    <s v="No"/>
    <n v="25"/>
    <n v="4"/>
    <n v="2"/>
    <n v="80"/>
    <n v="1"/>
    <n v="23"/>
    <n v="3"/>
    <n v="3"/>
    <x v="4"/>
    <n v="2"/>
    <n v="2"/>
    <n v="2"/>
    <x v="4"/>
    <n v="0"/>
    <n v="0"/>
    <x v="3"/>
    <n v="1"/>
    <m/>
    <m/>
  </r>
  <r>
    <n v="35"/>
    <x v="0"/>
    <s v="Travel_Rarely"/>
    <n v="763"/>
    <s v="Sales"/>
    <n v="15"/>
    <n v="2"/>
    <s v="Medical"/>
    <n v="1"/>
    <n v="1645"/>
    <n v="1"/>
    <x v="1"/>
    <n v="59"/>
    <n v="1"/>
    <x v="0"/>
    <x v="0"/>
    <x v="0"/>
    <s v="Divorced"/>
    <n v="5440"/>
    <n v="22098"/>
    <n v="6"/>
    <s v="Y"/>
    <s v="Yes"/>
    <n v="14"/>
    <n v="3"/>
    <n v="4"/>
    <n v="80"/>
    <n v="2"/>
    <n v="7"/>
    <n v="2"/>
    <n v="2"/>
    <x v="4"/>
    <n v="2"/>
    <n v="2"/>
    <n v="2"/>
    <x v="0"/>
    <n v="1"/>
    <n v="97920"/>
    <x v="0"/>
    <n v="1"/>
    <m/>
    <m/>
  </r>
  <r>
    <n v="24"/>
    <x v="1"/>
    <s v="Travel_Frequently"/>
    <n v="567"/>
    <s v="Research &amp; Development"/>
    <n v="2"/>
    <n v="1"/>
    <s v="Technical Degree"/>
    <n v="1"/>
    <n v="1646"/>
    <n v="1"/>
    <x v="0"/>
    <n v="32"/>
    <n v="3"/>
    <x v="1"/>
    <x v="1"/>
    <x v="0"/>
    <s v="Single"/>
    <n v="3760"/>
    <n v="17218"/>
    <n v="1"/>
    <s v="Y"/>
    <s v="Yes"/>
    <n v="13"/>
    <n v="3"/>
    <n v="3"/>
    <n v="80"/>
    <n v="0"/>
    <n v="6"/>
    <n v="2"/>
    <n v="3"/>
    <x v="0"/>
    <n v="3"/>
    <n v="1"/>
    <n v="3"/>
    <x v="1"/>
    <n v="0"/>
    <n v="0"/>
    <x v="0"/>
    <n v="1"/>
    <m/>
    <m/>
  </r>
  <r>
    <n v="27"/>
    <x v="1"/>
    <s v="Travel_Rarely"/>
    <n v="486"/>
    <s v="Research &amp; Development"/>
    <n v="8"/>
    <n v="3"/>
    <s v="Medical"/>
    <n v="1"/>
    <n v="1647"/>
    <n v="2"/>
    <x v="0"/>
    <n v="86"/>
    <n v="4"/>
    <x v="1"/>
    <x v="1"/>
    <x v="2"/>
    <s v="Married"/>
    <n v="3517"/>
    <n v="22490"/>
    <n v="7"/>
    <s v="Y"/>
    <s v="No"/>
    <n v="17"/>
    <n v="3"/>
    <n v="1"/>
    <n v="80"/>
    <n v="0"/>
    <n v="5"/>
    <n v="0"/>
    <n v="3"/>
    <x v="11"/>
    <n v="2"/>
    <n v="0"/>
    <n v="2"/>
    <x v="1"/>
    <n v="0"/>
    <n v="0"/>
    <x v="0"/>
    <n v="1"/>
    <m/>
    <m/>
  </r>
  <r>
    <n v="27"/>
    <x v="1"/>
    <s v="Travel_Frequently"/>
    <n v="591"/>
    <s v="Research &amp; Development"/>
    <n v="2"/>
    <n v="3"/>
    <s v="Medical"/>
    <n v="1"/>
    <n v="1648"/>
    <n v="4"/>
    <x v="1"/>
    <n v="87"/>
    <n v="3"/>
    <x v="1"/>
    <x v="1"/>
    <x v="0"/>
    <s v="Single"/>
    <n v="2580"/>
    <n v="6297"/>
    <n v="2"/>
    <s v="Y"/>
    <s v="No"/>
    <n v="13"/>
    <n v="3"/>
    <n v="3"/>
    <n v="80"/>
    <n v="0"/>
    <n v="6"/>
    <n v="0"/>
    <n v="2"/>
    <x v="9"/>
    <n v="2"/>
    <n v="1"/>
    <n v="2"/>
    <x v="1"/>
    <n v="0"/>
    <n v="0"/>
    <x v="1"/>
    <n v="1"/>
    <m/>
    <m/>
  </r>
  <r>
    <n v="40"/>
    <x v="0"/>
    <s v="Travel_Rarely"/>
    <n v="1329"/>
    <s v="Research &amp; Development"/>
    <n v="7"/>
    <n v="3"/>
    <s v="Life Sciences"/>
    <n v="1"/>
    <n v="1649"/>
    <n v="1"/>
    <x v="1"/>
    <n v="73"/>
    <n v="3"/>
    <x v="1"/>
    <x v="2"/>
    <x v="3"/>
    <s v="Single"/>
    <n v="2166"/>
    <n v="3339"/>
    <n v="3"/>
    <s v="Y"/>
    <s v="Yes"/>
    <n v="14"/>
    <n v="3"/>
    <n v="2"/>
    <n v="80"/>
    <n v="0"/>
    <n v="10"/>
    <n v="3"/>
    <n v="1"/>
    <x v="9"/>
    <n v="2"/>
    <n v="0"/>
    <n v="3"/>
    <x v="1"/>
    <n v="1"/>
    <n v="38988"/>
    <x v="1"/>
    <n v="1"/>
    <m/>
    <m/>
  </r>
  <r>
    <n v="29"/>
    <x v="1"/>
    <s v="Travel_Rarely"/>
    <n v="469"/>
    <s v="Sales"/>
    <n v="10"/>
    <n v="3"/>
    <s v="Medical"/>
    <n v="1"/>
    <n v="1650"/>
    <n v="3"/>
    <x v="1"/>
    <n v="42"/>
    <n v="2"/>
    <x v="0"/>
    <x v="0"/>
    <x v="2"/>
    <s v="Single"/>
    <n v="5869"/>
    <n v="23413"/>
    <n v="9"/>
    <s v="Y"/>
    <s v="No"/>
    <n v="11"/>
    <n v="3"/>
    <n v="3"/>
    <n v="80"/>
    <n v="0"/>
    <n v="8"/>
    <n v="2"/>
    <n v="3"/>
    <x v="8"/>
    <n v="2"/>
    <n v="1"/>
    <n v="4"/>
    <x v="0"/>
    <n v="0"/>
    <n v="0"/>
    <x v="0"/>
    <n v="1"/>
    <m/>
    <m/>
  </r>
  <r>
    <n v="36"/>
    <x v="1"/>
    <s v="Travel_Rarely"/>
    <n v="711"/>
    <s v="Research &amp; Development"/>
    <n v="5"/>
    <n v="4"/>
    <s v="Life Sciences"/>
    <n v="1"/>
    <n v="1651"/>
    <n v="2"/>
    <x v="0"/>
    <n v="42"/>
    <n v="3"/>
    <x v="2"/>
    <x v="4"/>
    <x v="3"/>
    <s v="Married"/>
    <n v="8008"/>
    <n v="22792"/>
    <n v="4"/>
    <s v="Y"/>
    <s v="No"/>
    <n v="12"/>
    <n v="3"/>
    <n v="3"/>
    <n v="80"/>
    <n v="2"/>
    <n v="9"/>
    <n v="6"/>
    <n v="3"/>
    <x v="11"/>
    <n v="2"/>
    <n v="0"/>
    <n v="2"/>
    <x v="3"/>
    <n v="0"/>
    <n v="0"/>
    <x v="4"/>
    <n v="1"/>
    <m/>
    <m/>
  </r>
  <r>
    <n v="25"/>
    <x v="1"/>
    <s v="Travel_Frequently"/>
    <n v="772"/>
    <s v="Research &amp; Development"/>
    <n v="2"/>
    <n v="1"/>
    <s v="Life Sciences"/>
    <n v="1"/>
    <n v="1653"/>
    <n v="4"/>
    <x v="1"/>
    <n v="77"/>
    <n v="4"/>
    <x v="0"/>
    <x v="3"/>
    <x v="2"/>
    <s v="Divorced"/>
    <n v="5206"/>
    <n v="4973"/>
    <n v="1"/>
    <s v="Y"/>
    <s v="No"/>
    <n v="17"/>
    <n v="3"/>
    <n v="3"/>
    <n v="80"/>
    <n v="2"/>
    <n v="7"/>
    <n v="6"/>
    <n v="3"/>
    <x v="5"/>
    <n v="7"/>
    <n v="0"/>
    <n v="7"/>
    <x v="2"/>
    <n v="0"/>
    <n v="0"/>
    <x v="0"/>
    <n v="1"/>
    <m/>
    <m/>
  </r>
  <r>
    <n v="39"/>
    <x v="1"/>
    <s v="Travel_Rarely"/>
    <n v="492"/>
    <s v="Research &amp; Development"/>
    <n v="12"/>
    <n v="3"/>
    <s v="Medical"/>
    <n v="1"/>
    <n v="1654"/>
    <n v="4"/>
    <x v="1"/>
    <n v="66"/>
    <n v="3"/>
    <x v="0"/>
    <x v="3"/>
    <x v="1"/>
    <s v="Married"/>
    <n v="5295"/>
    <n v="7693"/>
    <n v="4"/>
    <s v="Y"/>
    <s v="No"/>
    <n v="21"/>
    <n v="4"/>
    <n v="3"/>
    <n v="80"/>
    <n v="0"/>
    <n v="7"/>
    <n v="3"/>
    <n v="3"/>
    <x v="8"/>
    <n v="4"/>
    <n v="1"/>
    <n v="0"/>
    <x v="2"/>
    <n v="0"/>
    <n v="0"/>
    <x v="0"/>
    <n v="1"/>
    <m/>
    <m/>
  </r>
  <r>
    <n v="49"/>
    <x v="1"/>
    <s v="Travel_Rarely"/>
    <n v="301"/>
    <s v="Research &amp; Development"/>
    <n v="22"/>
    <n v="4"/>
    <s v="Other"/>
    <n v="1"/>
    <n v="1655"/>
    <n v="1"/>
    <x v="0"/>
    <n v="72"/>
    <n v="3"/>
    <x v="3"/>
    <x v="7"/>
    <x v="1"/>
    <s v="Married"/>
    <n v="16413"/>
    <n v="3498"/>
    <n v="3"/>
    <s v="Y"/>
    <s v="No"/>
    <n v="16"/>
    <n v="3"/>
    <n v="2"/>
    <n v="80"/>
    <n v="2"/>
    <n v="27"/>
    <n v="2"/>
    <n v="3"/>
    <x v="9"/>
    <n v="2"/>
    <n v="1"/>
    <n v="2"/>
    <x v="1"/>
    <n v="0"/>
    <n v="0"/>
    <x v="3"/>
    <n v="1"/>
    <m/>
    <m/>
  </r>
  <r>
    <n v="50"/>
    <x v="1"/>
    <s v="Travel_Rarely"/>
    <n v="813"/>
    <s v="Research &amp; Development"/>
    <n v="17"/>
    <n v="5"/>
    <s v="Life Sciences"/>
    <n v="1"/>
    <n v="1656"/>
    <n v="4"/>
    <x v="0"/>
    <n v="50"/>
    <n v="2"/>
    <x v="2"/>
    <x v="7"/>
    <x v="3"/>
    <s v="Divorced"/>
    <n v="13269"/>
    <n v="21981"/>
    <n v="5"/>
    <s v="Y"/>
    <s v="No"/>
    <n v="15"/>
    <n v="3"/>
    <n v="3"/>
    <n v="80"/>
    <n v="3"/>
    <n v="19"/>
    <n v="3"/>
    <n v="3"/>
    <x v="13"/>
    <n v="11"/>
    <n v="1"/>
    <n v="11"/>
    <x v="1"/>
    <n v="0"/>
    <n v="0"/>
    <x v="3"/>
    <n v="1"/>
    <m/>
    <m/>
  </r>
  <r>
    <n v="20"/>
    <x v="1"/>
    <s v="Travel_Rarely"/>
    <n v="1141"/>
    <s v="Sales"/>
    <n v="2"/>
    <n v="3"/>
    <s v="Medical"/>
    <n v="1"/>
    <n v="1657"/>
    <n v="3"/>
    <x v="0"/>
    <n v="31"/>
    <n v="3"/>
    <x v="1"/>
    <x v="6"/>
    <x v="2"/>
    <s v="Single"/>
    <n v="2783"/>
    <n v="13251"/>
    <n v="1"/>
    <s v="Y"/>
    <s v="No"/>
    <n v="19"/>
    <n v="3"/>
    <n v="1"/>
    <n v="80"/>
    <n v="0"/>
    <n v="2"/>
    <n v="3"/>
    <n v="3"/>
    <x v="4"/>
    <n v="2"/>
    <n v="2"/>
    <n v="2"/>
    <x v="0"/>
    <n v="0"/>
    <n v="0"/>
    <x v="1"/>
    <n v="1"/>
    <m/>
    <m/>
  </r>
  <r>
    <n v="34"/>
    <x v="1"/>
    <s v="Travel_Rarely"/>
    <n v="1130"/>
    <s v="Research &amp; Development"/>
    <n v="3"/>
    <n v="3"/>
    <s v="Life Sciences"/>
    <n v="1"/>
    <n v="1658"/>
    <n v="4"/>
    <x v="0"/>
    <n v="66"/>
    <n v="3"/>
    <x v="0"/>
    <x v="1"/>
    <x v="1"/>
    <s v="Divorced"/>
    <n v="5433"/>
    <n v="19332"/>
    <n v="1"/>
    <s v="Y"/>
    <s v="No"/>
    <n v="12"/>
    <n v="3"/>
    <n v="3"/>
    <n v="80"/>
    <n v="1"/>
    <n v="11"/>
    <n v="2"/>
    <n v="3"/>
    <x v="19"/>
    <n v="8"/>
    <n v="7"/>
    <n v="9"/>
    <x v="1"/>
    <n v="0"/>
    <n v="0"/>
    <x v="0"/>
    <n v="1"/>
    <m/>
    <m/>
  </r>
  <r>
    <n v="36"/>
    <x v="1"/>
    <s v="Travel_Rarely"/>
    <n v="311"/>
    <s v="Research &amp; Development"/>
    <n v="7"/>
    <n v="3"/>
    <s v="Life Sciences"/>
    <n v="1"/>
    <n v="1659"/>
    <n v="1"/>
    <x v="1"/>
    <n v="77"/>
    <n v="3"/>
    <x v="1"/>
    <x v="2"/>
    <x v="1"/>
    <s v="Single"/>
    <n v="2013"/>
    <n v="10950"/>
    <n v="2"/>
    <s v="Y"/>
    <s v="No"/>
    <n v="11"/>
    <n v="3"/>
    <n v="3"/>
    <n v="80"/>
    <n v="0"/>
    <n v="15"/>
    <n v="4"/>
    <n v="3"/>
    <x v="9"/>
    <n v="3"/>
    <n v="1"/>
    <n v="3"/>
    <x v="1"/>
    <n v="0"/>
    <n v="0"/>
    <x v="1"/>
    <n v="1"/>
    <m/>
    <m/>
  </r>
  <r>
    <n v="49"/>
    <x v="1"/>
    <s v="Travel_Rarely"/>
    <n v="465"/>
    <s v="Research &amp; Development"/>
    <n v="6"/>
    <n v="1"/>
    <s v="Life Sciences"/>
    <n v="1"/>
    <n v="1661"/>
    <n v="3"/>
    <x v="0"/>
    <n v="41"/>
    <n v="2"/>
    <x v="3"/>
    <x v="4"/>
    <x v="2"/>
    <s v="Married"/>
    <n v="13966"/>
    <n v="11652"/>
    <n v="2"/>
    <s v="Y"/>
    <s v="Yes"/>
    <n v="19"/>
    <n v="3"/>
    <n v="2"/>
    <n v="80"/>
    <n v="1"/>
    <n v="30"/>
    <n v="3"/>
    <n v="3"/>
    <x v="15"/>
    <n v="11"/>
    <n v="2"/>
    <n v="12"/>
    <x v="3"/>
    <n v="0"/>
    <n v="0"/>
    <x v="3"/>
    <n v="1"/>
    <m/>
    <m/>
  </r>
  <r>
    <n v="36"/>
    <x v="1"/>
    <s v="Non-Travel"/>
    <n v="894"/>
    <s v="Research &amp; Development"/>
    <n v="1"/>
    <n v="4"/>
    <s v="Medical"/>
    <n v="1"/>
    <n v="1662"/>
    <n v="4"/>
    <x v="0"/>
    <n v="33"/>
    <n v="2"/>
    <x v="0"/>
    <x v="3"/>
    <x v="2"/>
    <s v="Married"/>
    <n v="4374"/>
    <n v="15411"/>
    <n v="0"/>
    <s v="Y"/>
    <s v="No"/>
    <n v="15"/>
    <n v="3"/>
    <n v="3"/>
    <n v="80"/>
    <n v="0"/>
    <n v="4"/>
    <n v="6"/>
    <n v="3"/>
    <x v="11"/>
    <n v="2"/>
    <n v="1"/>
    <n v="2"/>
    <x v="2"/>
    <n v="0"/>
    <n v="0"/>
    <x v="0"/>
    <n v="1"/>
    <m/>
    <m/>
  </r>
  <r>
    <n v="36"/>
    <x v="1"/>
    <s v="Travel_Rarely"/>
    <n v="1040"/>
    <s v="Research &amp; Development"/>
    <n v="3"/>
    <n v="2"/>
    <s v="Life Sciences"/>
    <n v="1"/>
    <n v="1664"/>
    <n v="4"/>
    <x v="1"/>
    <n v="79"/>
    <n v="4"/>
    <x v="0"/>
    <x v="4"/>
    <x v="3"/>
    <s v="Divorced"/>
    <n v="6842"/>
    <n v="26308"/>
    <n v="6"/>
    <s v="Y"/>
    <s v="No"/>
    <n v="20"/>
    <n v="4"/>
    <n v="1"/>
    <n v="80"/>
    <n v="1"/>
    <n v="13"/>
    <n v="3"/>
    <n v="3"/>
    <x v="8"/>
    <n v="4"/>
    <n v="0"/>
    <n v="4"/>
    <x v="3"/>
    <n v="0"/>
    <n v="0"/>
    <x v="4"/>
    <n v="1"/>
    <m/>
    <m/>
  </r>
  <r>
    <n v="54"/>
    <x v="1"/>
    <s v="Travel_Rarely"/>
    <n v="584"/>
    <s v="Research &amp; Development"/>
    <n v="22"/>
    <n v="5"/>
    <s v="Medical"/>
    <n v="1"/>
    <n v="1665"/>
    <n v="2"/>
    <x v="0"/>
    <n v="91"/>
    <n v="3"/>
    <x v="3"/>
    <x v="5"/>
    <x v="2"/>
    <s v="Married"/>
    <n v="17426"/>
    <n v="18685"/>
    <n v="3"/>
    <s v="Y"/>
    <s v="No"/>
    <n v="25"/>
    <n v="4"/>
    <n v="3"/>
    <n v="80"/>
    <n v="1"/>
    <n v="36"/>
    <n v="6"/>
    <n v="3"/>
    <x v="1"/>
    <n v="8"/>
    <n v="4"/>
    <n v="7"/>
    <x v="4"/>
    <n v="0"/>
    <n v="0"/>
    <x v="3"/>
    <n v="1"/>
    <m/>
    <m/>
  </r>
  <r>
    <n v="43"/>
    <x v="1"/>
    <s v="Travel_Rarely"/>
    <n v="1291"/>
    <s v="Research &amp; Development"/>
    <n v="15"/>
    <n v="2"/>
    <s v="Life Sciences"/>
    <n v="1"/>
    <n v="1666"/>
    <n v="3"/>
    <x v="1"/>
    <n v="65"/>
    <n v="2"/>
    <x v="3"/>
    <x v="7"/>
    <x v="2"/>
    <s v="Married"/>
    <n v="17603"/>
    <n v="3525"/>
    <n v="1"/>
    <s v="Y"/>
    <s v="No"/>
    <n v="24"/>
    <n v="4"/>
    <n v="1"/>
    <n v="80"/>
    <n v="1"/>
    <n v="14"/>
    <n v="3"/>
    <n v="3"/>
    <x v="13"/>
    <n v="10"/>
    <n v="6"/>
    <n v="11"/>
    <x v="1"/>
    <n v="0"/>
    <n v="0"/>
    <x v="3"/>
    <n v="1"/>
    <m/>
    <m/>
  </r>
  <r>
    <n v="35"/>
    <x v="0"/>
    <s v="Travel_Frequently"/>
    <n v="880"/>
    <s v="Sales"/>
    <n v="12"/>
    <n v="4"/>
    <s v="Other"/>
    <n v="1"/>
    <n v="1667"/>
    <n v="4"/>
    <x v="1"/>
    <n v="36"/>
    <n v="3"/>
    <x v="0"/>
    <x v="0"/>
    <x v="0"/>
    <s v="Single"/>
    <n v="4581"/>
    <n v="10414"/>
    <n v="3"/>
    <s v="Y"/>
    <s v="Yes"/>
    <n v="24"/>
    <n v="4"/>
    <n v="1"/>
    <n v="80"/>
    <n v="0"/>
    <n v="13"/>
    <n v="2"/>
    <n v="4"/>
    <x v="19"/>
    <n v="9"/>
    <n v="6"/>
    <n v="7"/>
    <x v="0"/>
    <n v="1"/>
    <n v="82458"/>
    <x v="0"/>
    <n v="1"/>
    <m/>
    <m/>
  </r>
  <r>
    <n v="38"/>
    <x v="1"/>
    <s v="Travel_Frequently"/>
    <n v="1189"/>
    <s v="Research &amp; Development"/>
    <n v="1"/>
    <n v="3"/>
    <s v="Life Sciences"/>
    <n v="1"/>
    <n v="1668"/>
    <n v="4"/>
    <x v="1"/>
    <n v="90"/>
    <n v="3"/>
    <x v="0"/>
    <x v="1"/>
    <x v="0"/>
    <s v="Married"/>
    <n v="4735"/>
    <n v="9867"/>
    <n v="7"/>
    <s v="Y"/>
    <s v="No"/>
    <n v="15"/>
    <n v="3"/>
    <n v="4"/>
    <n v="80"/>
    <n v="2"/>
    <n v="19"/>
    <n v="4"/>
    <n v="4"/>
    <x v="20"/>
    <n v="11"/>
    <n v="2"/>
    <n v="9"/>
    <x v="1"/>
    <n v="0"/>
    <n v="0"/>
    <x v="0"/>
    <n v="1"/>
    <m/>
    <m/>
  </r>
  <r>
    <n v="29"/>
    <x v="1"/>
    <s v="Travel_Rarely"/>
    <n v="991"/>
    <s v="Sales"/>
    <n v="5"/>
    <n v="3"/>
    <s v="Medical"/>
    <n v="1"/>
    <n v="1669"/>
    <n v="1"/>
    <x v="1"/>
    <n v="43"/>
    <n v="2"/>
    <x v="0"/>
    <x v="0"/>
    <x v="1"/>
    <s v="Divorced"/>
    <n v="4187"/>
    <n v="3356"/>
    <n v="1"/>
    <s v="Y"/>
    <s v="Yes"/>
    <n v="13"/>
    <n v="3"/>
    <n v="2"/>
    <n v="80"/>
    <n v="1"/>
    <n v="10"/>
    <n v="3"/>
    <n v="2"/>
    <x v="1"/>
    <n v="0"/>
    <n v="0"/>
    <n v="9"/>
    <x v="0"/>
    <n v="0"/>
    <n v="0"/>
    <x v="0"/>
    <n v="1"/>
    <m/>
    <m/>
  </r>
  <r>
    <n v="33"/>
    <x v="1"/>
    <s v="Travel_Rarely"/>
    <n v="392"/>
    <s v="Sales"/>
    <n v="2"/>
    <n v="4"/>
    <s v="Medical"/>
    <n v="1"/>
    <n v="1670"/>
    <n v="4"/>
    <x v="1"/>
    <n v="93"/>
    <n v="3"/>
    <x v="0"/>
    <x v="0"/>
    <x v="0"/>
    <s v="Divorced"/>
    <n v="5505"/>
    <n v="3921"/>
    <n v="1"/>
    <s v="Y"/>
    <s v="No"/>
    <n v="14"/>
    <n v="3"/>
    <n v="3"/>
    <n v="80"/>
    <n v="2"/>
    <n v="6"/>
    <n v="5"/>
    <n v="3"/>
    <x v="0"/>
    <n v="2"/>
    <n v="0"/>
    <n v="4"/>
    <x v="0"/>
    <n v="0"/>
    <n v="0"/>
    <x v="0"/>
    <n v="1"/>
    <m/>
    <m/>
  </r>
  <r>
    <n v="32"/>
    <x v="1"/>
    <s v="Travel_Rarely"/>
    <n v="977"/>
    <s v="Research &amp; Development"/>
    <n v="2"/>
    <n v="3"/>
    <s v="Medical"/>
    <n v="1"/>
    <n v="1671"/>
    <n v="4"/>
    <x v="1"/>
    <n v="45"/>
    <n v="3"/>
    <x v="0"/>
    <x v="1"/>
    <x v="1"/>
    <s v="Divorced"/>
    <n v="5470"/>
    <n v="25518"/>
    <n v="0"/>
    <s v="Y"/>
    <s v="No"/>
    <n v="13"/>
    <n v="3"/>
    <n v="3"/>
    <n v="80"/>
    <n v="2"/>
    <n v="10"/>
    <n v="4"/>
    <n v="2"/>
    <x v="7"/>
    <n v="5"/>
    <n v="1"/>
    <n v="6"/>
    <x v="1"/>
    <n v="0"/>
    <n v="0"/>
    <x v="0"/>
    <n v="1"/>
    <m/>
    <m/>
  </r>
  <r>
    <n v="31"/>
    <x v="1"/>
    <s v="Travel_Rarely"/>
    <n v="1112"/>
    <s v="Sales"/>
    <n v="5"/>
    <n v="4"/>
    <s v="Life Sciences"/>
    <n v="1"/>
    <n v="1673"/>
    <n v="1"/>
    <x v="0"/>
    <n v="67"/>
    <n v="3"/>
    <x v="0"/>
    <x v="0"/>
    <x v="0"/>
    <s v="Married"/>
    <n v="5476"/>
    <n v="22589"/>
    <n v="1"/>
    <s v="Y"/>
    <s v="No"/>
    <n v="11"/>
    <n v="3"/>
    <n v="1"/>
    <n v="80"/>
    <n v="2"/>
    <n v="10"/>
    <n v="2"/>
    <n v="3"/>
    <x v="1"/>
    <n v="0"/>
    <n v="0"/>
    <n v="2"/>
    <x v="0"/>
    <n v="0"/>
    <n v="0"/>
    <x v="0"/>
    <n v="1"/>
    <m/>
    <m/>
  </r>
  <r>
    <n v="49"/>
    <x v="1"/>
    <s v="Travel_Rarely"/>
    <n v="464"/>
    <s v="Research &amp; Development"/>
    <n v="16"/>
    <n v="3"/>
    <s v="Medical"/>
    <n v="1"/>
    <n v="1674"/>
    <n v="4"/>
    <x v="0"/>
    <n v="74"/>
    <n v="3"/>
    <x v="1"/>
    <x v="2"/>
    <x v="3"/>
    <s v="Divorced"/>
    <n v="2587"/>
    <n v="24941"/>
    <n v="4"/>
    <s v="Y"/>
    <s v="Yes"/>
    <n v="16"/>
    <n v="3"/>
    <n v="2"/>
    <n v="80"/>
    <n v="1"/>
    <n v="17"/>
    <n v="2"/>
    <n v="2"/>
    <x v="4"/>
    <n v="2"/>
    <n v="2"/>
    <n v="2"/>
    <x v="1"/>
    <n v="0"/>
    <n v="0"/>
    <x v="1"/>
    <n v="1"/>
    <m/>
    <m/>
  </r>
  <r>
    <n v="38"/>
    <x v="1"/>
    <s v="Travel_Frequently"/>
    <n v="148"/>
    <s v="Research &amp; Development"/>
    <n v="2"/>
    <n v="3"/>
    <s v="Medical"/>
    <n v="1"/>
    <n v="1675"/>
    <n v="4"/>
    <x v="0"/>
    <n v="42"/>
    <n v="2"/>
    <x v="1"/>
    <x v="2"/>
    <x v="1"/>
    <s v="Single"/>
    <n v="2440"/>
    <n v="23826"/>
    <n v="1"/>
    <s v="Y"/>
    <s v="No"/>
    <n v="22"/>
    <n v="4"/>
    <n v="2"/>
    <n v="80"/>
    <n v="0"/>
    <n v="4"/>
    <n v="3"/>
    <n v="3"/>
    <x v="9"/>
    <n v="3"/>
    <n v="3"/>
    <n v="3"/>
    <x v="1"/>
    <n v="0"/>
    <n v="0"/>
    <x v="1"/>
    <n v="1"/>
    <m/>
    <m/>
  </r>
  <r>
    <n v="47"/>
    <x v="1"/>
    <s v="Travel_Rarely"/>
    <n v="1225"/>
    <s v="Sales"/>
    <n v="2"/>
    <n v="4"/>
    <s v="Life Sciences"/>
    <n v="1"/>
    <n v="1676"/>
    <n v="2"/>
    <x v="0"/>
    <n v="47"/>
    <n v="4"/>
    <x v="3"/>
    <x v="5"/>
    <x v="1"/>
    <s v="Divorced"/>
    <n v="15972"/>
    <n v="21086"/>
    <n v="6"/>
    <s v="Y"/>
    <s v="No"/>
    <n v="14"/>
    <n v="3"/>
    <n v="3"/>
    <n v="80"/>
    <n v="3"/>
    <n v="29"/>
    <n v="2"/>
    <n v="3"/>
    <x v="11"/>
    <n v="2"/>
    <n v="1"/>
    <n v="2"/>
    <x v="4"/>
    <n v="0"/>
    <n v="0"/>
    <x v="3"/>
    <n v="1"/>
    <m/>
    <m/>
  </r>
  <r>
    <n v="49"/>
    <x v="1"/>
    <s v="Travel_Rarely"/>
    <n v="809"/>
    <s v="Research &amp; Development"/>
    <n v="1"/>
    <n v="3"/>
    <s v="Life Sciences"/>
    <n v="1"/>
    <n v="1677"/>
    <n v="3"/>
    <x v="1"/>
    <n v="36"/>
    <n v="3"/>
    <x v="3"/>
    <x v="5"/>
    <x v="2"/>
    <s v="Single"/>
    <n v="15379"/>
    <n v="22384"/>
    <n v="4"/>
    <s v="Y"/>
    <s v="No"/>
    <n v="14"/>
    <n v="3"/>
    <n v="1"/>
    <n v="80"/>
    <n v="0"/>
    <n v="23"/>
    <n v="2"/>
    <n v="3"/>
    <x v="3"/>
    <n v="7"/>
    <n v="0"/>
    <n v="0"/>
    <x v="4"/>
    <n v="0"/>
    <n v="0"/>
    <x v="3"/>
    <n v="1"/>
    <m/>
    <m/>
  </r>
  <r>
    <n v="41"/>
    <x v="1"/>
    <s v="Travel_Rarely"/>
    <n v="1206"/>
    <s v="Sales"/>
    <n v="23"/>
    <n v="2"/>
    <s v="Life Sciences"/>
    <n v="1"/>
    <n v="1678"/>
    <n v="4"/>
    <x v="1"/>
    <n v="80"/>
    <n v="3"/>
    <x v="2"/>
    <x v="0"/>
    <x v="2"/>
    <s v="Single"/>
    <n v="7082"/>
    <n v="11591"/>
    <n v="3"/>
    <s v="Y"/>
    <s v="Yes"/>
    <n v="16"/>
    <n v="3"/>
    <n v="4"/>
    <n v="80"/>
    <n v="0"/>
    <n v="21"/>
    <n v="2"/>
    <n v="3"/>
    <x v="4"/>
    <n v="0"/>
    <n v="0"/>
    <n v="2"/>
    <x v="0"/>
    <n v="0"/>
    <n v="0"/>
    <x v="4"/>
    <n v="1"/>
    <m/>
    <m/>
  </r>
  <r>
    <n v="20"/>
    <x v="1"/>
    <s v="Travel_Rarely"/>
    <n v="727"/>
    <s v="Sales"/>
    <n v="9"/>
    <n v="1"/>
    <s v="Life Sciences"/>
    <n v="1"/>
    <n v="1680"/>
    <n v="4"/>
    <x v="1"/>
    <n v="54"/>
    <n v="3"/>
    <x v="1"/>
    <x v="6"/>
    <x v="3"/>
    <s v="Single"/>
    <n v="2728"/>
    <n v="21082"/>
    <n v="1"/>
    <s v="Y"/>
    <s v="No"/>
    <n v="11"/>
    <n v="3"/>
    <n v="1"/>
    <n v="80"/>
    <n v="0"/>
    <n v="2"/>
    <n v="3"/>
    <n v="3"/>
    <x v="4"/>
    <n v="2"/>
    <n v="0"/>
    <n v="2"/>
    <x v="0"/>
    <n v="0"/>
    <n v="0"/>
    <x v="1"/>
    <n v="1"/>
    <m/>
    <m/>
  </r>
  <r>
    <n v="33"/>
    <x v="1"/>
    <s v="Non-Travel"/>
    <n v="530"/>
    <s v="Sales"/>
    <n v="16"/>
    <n v="3"/>
    <s v="Life Sciences"/>
    <n v="1"/>
    <n v="1681"/>
    <n v="3"/>
    <x v="0"/>
    <n v="36"/>
    <n v="3"/>
    <x v="0"/>
    <x v="0"/>
    <x v="0"/>
    <s v="Divorced"/>
    <n v="5368"/>
    <n v="16130"/>
    <n v="1"/>
    <s v="Y"/>
    <s v="Yes"/>
    <n v="25"/>
    <n v="4"/>
    <n v="3"/>
    <n v="80"/>
    <n v="1"/>
    <n v="7"/>
    <n v="2"/>
    <n v="3"/>
    <x v="0"/>
    <n v="5"/>
    <n v="1"/>
    <n v="2"/>
    <x v="0"/>
    <n v="0"/>
    <n v="0"/>
    <x v="0"/>
    <n v="1"/>
    <m/>
    <m/>
  </r>
  <r>
    <n v="36"/>
    <x v="1"/>
    <s v="Travel_Rarely"/>
    <n v="1351"/>
    <s v="Research &amp; Development"/>
    <n v="26"/>
    <n v="4"/>
    <s v="Life Sciences"/>
    <n v="1"/>
    <n v="1682"/>
    <n v="1"/>
    <x v="1"/>
    <n v="80"/>
    <n v="3"/>
    <x v="0"/>
    <x v="4"/>
    <x v="2"/>
    <s v="Married"/>
    <n v="5347"/>
    <n v="7419"/>
    <n v="6"/>
    <s v="Y"/>
    <s v="No"/>
    <n v="14"/>
    <n v="3"/>
    <n v="2"/>
    <n v="80"/>
    <n v="2"/>
    <n v="10"/>
    <n v="2"/>
    <n v="2"/>
    <x v="11"/>
    <n v="2"/>
    <n v="0"/>
    <n v="2"/>
    <x v="3"/>
    <n v="0"/>
    <n v="0"/>
    <x v="0"/>
    <n v="1"/>
    <m/>
    <m/>
  </r>
  <r>
    <n v="44"/>
    <x v="1"/>
    <s v="Travel_Rarely"/>
    <n v="528"/>
    <s v="Human Resources"/>
    <n v="1"/>
    <n v="3"/>
    <s v="Life Sciences"/>
    <n v="1"/>
    <n v="1683"/>
    <n v="3"/>
    <x v="0"/>
    <n v="44"/>
    <n v="3"/>
    <x v="1"/>
    <x v="8"/>
    <x v="0"/>
    <s v="Divorced"/>
    <n v="3195"/>
    <n v="4167"/>
    <n v="4"/>
    <s v="Y"/>
    <s v="Yes"/>
    <n v="18"/>
    <n v="3"/>
    <n v="1"/>
    <n v="80"/>
    <n v="3"/>
    <n v="8"/>
    <n v="2"/>
    <n v="3"/>
    <x v="4"/>
    <n v="2"/>
    <n v="2"/>
    <n v="2"/>
    <x v="5"/>
    <n v="0"/>
    <n v="0"/>
    <x v="0"/>
    <n v="1"/>
    <m/>
    <m/>
  </r>
  <r>
    <n v="23"/>
    <x v="0"/>
    <s v="Travel_Rarely"/>
    <n v="1320"/>
    <s v="Research &amp; Development"/>
    <n v="8"/>
    <n v="1"/>
    <s v="Medical"/>
    <n v="1"/>
    <n v="1684"/>
    <n v="4"/>
    <x v="1"/>
    <n v="93"/>
    <n v="2"/>
    <x v="1"/>
    <x v="2"/>
    <x v="2"/>
    <s v="Single"/>
    <n v="3989"/>
    <n v="20586"/>
    <n v="1"/>
    <s v="Y"/>
    <s v="Yes"/>
    <n v="11"/>
    <n v="3"/>
    <n v="1"/>
    <n v="80"/>
    <n v="0"/>
    <n v="5"/>
    <n v="2"/>
    <n v="3"/>
    <x v="8"/>
    <n v="4"/>
    <n v="1"/>
    <n v="2"/>
    <x v="1"/>
    <n v="1"/>
    <n v="71802"/>
    <x v="0"/>
    <n v="1"/>
    <m/>
    <m/>
  </r>
  <r>
    <n v="38"/>
    <x v="1"/>
    <s v="Travel_Rarely"/>
    <n v="1495"/>
    <s v="Research &amp; Development"/>
    <n v="4"/>
    <n v="2"/>
    <s v="Medical"/>
    <n v="1"/>
    <n v="1687"/>
    <n v="4"/>
    <x v="0"/>
    <n v="87"/>
    <n v="3"/>
    <x v="1"/>
    <x v="2"/>
    <x v="2"/>
    <s v="Married"/>
    <n v="3306"/>
    <n v="26176"/>
    <n v="7"/>
    <s v="Y"/>
    <s v="No"/>
    <n v="19"/>
    <n v="3"/>
    <n v="4"/>
    <n v="80"/>
    <n v="1"/>
    <n v="7"/>
    <n v="5"/>
    <n v="2"/>
    <x v="2"/>
    <n v="0"/>
    <n v="0"/>
    <n v="0"/>
    <x v="1"/>
    <n v="0"/>
    <n v="0"/>
    <x v="0"/>
    <n v="1"/>
    <m/>
    <m/>
  </r>
  <r>
    <n v="53"/>
    <x v="1"/>
    <s v="Travel_Rarely"/>
    <n v="1395"/>
    <s v="Research &amp; Development"/>
    <n v="24"/>
    <n v="4"/>
    <s v="Medical"/>
    <n v="1"/>
    <n v="1689"/>
    <n v="2"/>
    <x v="1"/>
    <n v="48"/>
    <n v="4"/>
    <x v="2"/>
    <x v="4"/>
    <x v="0"/>
    <s v="Married"/>
    <n v="7005"/>
    <n v="3458"/>
    <n v="3"/>
    <s v="Y"/>
    <s v="No"/>
    <n v="15"/>
    <n v="3"/>
    <n v="3"/>
    <n v="80"/>
    <n v="0"/>
    <n v="11"/>
    <n v="2"/>
    <n v="3"/>
    <x v="9"/>
    <n v="3"/>
    <n v="1"/>
    <n v="2"/>
    <x v="3"/>
    <n v="0"/>
    <n v="0"/>
    <x v="4"/>
    <n v="1"/>
    <m/>
    <m/>
  </r>
  <r>
    <n v="48"/>
    <x v="0"/>
    <s v="Travel_Frequently"/>
    <n v="708"/>
    <s v="Sales"/>
    <n v="7"/>
    <n v="2"/>
    <s v="Medical"/>
    <n v="1"/>
    <n v="1691"/>
    <n v="4"/>
    <x v="0"/>
    <n v="95"/>
    <n v="3"/>
    <x v="1"/>
    <x v="6"/>
    <x v="2"/>
    <s v="Married"/>
    <n v="2655"/>
    <n v="11740"/>
    <n v="2"/>
    <s v="Y"/>
    <s v="Yes"/>
    <n v="11"/>
    <n v="3"/>
    <n v="3"/>
    <n v="80"/>
    <n v="2"/>
    <n v="19"/>
    <n v="3"/>
    <n v="3"/>
    <x v="7"/>
    <n v="7"/>
    <n v="7"/>
    <n v="7"/>
    <x v="0"/>
    <n v="1"/>
    <n v="47790"/>
    <x v="1"/>
    <n v="1"/>
    <m/>
    <m/>
  </r>
  <r>
    <n v="32"/>
    <x v="0"/>
    <s v="Travel_Rarely"/>
    <n v="1259"/>
    <s v="Research &amp; Development"/>
    <n v="2"/>
    <n v="4"/>
    <s v="Life Sciences"/>
    <n v="1"/>
    <n v="1692"/>
    <n v="4"/>
    <x v="1"/>
    <n v="95"/>
    <n v="3"/>
    <x v="1"/>
    <x v="2"/>
    <x v="1"/>
    <s v="Single"/>
    <n v="1393"/>
    <n v="24852"/>
    <n v="1"/>
    <s v="Y"/>
    <s v="No"/>
    <n v="12"/>
    <n v="3"/>
    <n v="1"/>
    <n v="80"/>
    <n v="0"/>
    <n v="1"/>
    <n v="2"/>
    <n v="3"/>
    <x v="6"/>
    <n v="0"/>
    <n v="0"/>
    <n v="0"/>
    <x v="1"/>
    <n v="1"/>
    <n v="25074"/>
    <x v="1"/>
    <n v="1"/>
    <m/>
    <m/>
  </r>
  <r>
    <n v="26"/>
    <x v="1"/>
    <s v="Non-Travel"/>
    <n v="786"/>
    <s v="Research &amp; Development"/>
    <n v="7"/>
    <n v="3"/>
    <s v="Medical"/>
    <n v="1"/>
    <n v="1693"/>
    <n v="4"/>
    <x v="1"/>
    <n v="76"/>
    <n v="3"/>
    <x v="1"/>
    <x v="2"/>
    <x v="0"/>
    <s v="Single"/>
    <n v="2570"/>
    <n v="11925"/>
    <n v="1"/>
    <s v="Y"/>
    <s v="No"/>
    <n v="20"/>
    <n v="4"/>
    <n v="3"/>
    <n v="80"/>
    <n v="0"/>
    <n v="7"/>
    <n v="5"/>
    <n v="3"/>
    <x v="5"/>
    <n v="7"/>
    <n v="5"/>
    <n v="7"/>
    <x v="1"/>
    <n v="0"/>
    <n v="0"/>
    <x v="1"/>
    <n v="1"/>
    <m/>
    <m/>
  </r>
  <r>
    <n v="55"/>
    <x v="1"/>
    <s v="Travel_Rarely"/>
    <n v="1441"/>
    <s v="Research &amp; Development"/>
    <n v="22"/>
    <n v="3"/>
    <s v="Technical Degree"/>
    <n v="1"/>
    <n v="1694"/>
    <n v="1"/>
    <x v="1"/>
    <n v="94"/>
    <n v="2"/>
    <x v="1"/>
    <x v="1"/>
    <x v="1"/>
    <s v="Divorced"/>
    <n v="3537"/>
    <n v="23737"/>
    <n v="5"/>
    <s v="Y"/>
    <s v="No"/>
    <n v="12"/>
    <n v="3"/>
    <n v="4"/>
    <n v="80"/>
    <n v="1"/>
    <n v="8"/>
    <n v="1"/>
    <n v="3"/>
    <x v="9"/>
    <n v="2"/>
    <n v="1"/>
    <n v="2"/>
    <x v="1"/>
    <n v="0"/>
    <n v="0"/>
    <x v="0"/>
    <n v="1"/>
    <m/>
    <m/>
  </r>
  <r>
    <n v="34"/>
    <x v="1"/>
    <s v="Travel_Rarely"/>
    <n v="1157"/>
    <s v="Research &amp; Development"/>
    <n v="5"/>
    <n v="2"/>
    <s v="Medical"/>
    <n v="1"/>
    <n v="1696"/>
    <n v="2"/>
    <x v="1"/>
    <n v="57"/>
    <n v="2"/>
    <x v="0"/>
    <x v="2"/>
    <x v="0"/>
    <s v="Married"/>
    <n v="3986"/>
    <n v="11912"/>
    <n v="1"/>
    <s v="Y"/>
    <s v="No"/>
    <n v="14"/>
    <n v="3"/>
    <n v="3"/>
    <n v="80"/>
    <n v="1"/>
    <n v="15"/>
    <n v="3"/>
    <n v="4"/>
    <x v="15"/>
    <n v="10"/>
    <n v="4"/>
    <n v="13"/>
    <x v="1"/>
    <n v="0"/>
    <n v="0"/>
    <x v="0"/>
    <n v="1"/>
    <m/>
    <m/>
  </r>
  <r>
    <n v="60"/>
    <x v="1"/>
    <s v="Travel_Rarely"/>
    <n v="370"/>
    <s v="Research &amp; Development"/>
    <n v="1"/>
    <n v="4"/>
    <s v="Medical"/>
    <n v="1"/>
    <n v="1697"/>
    <n v="3"/>
    <x v="1"/>
    <n v="92"/>
    <n v="1"/>
    <x v="2"/>
    <x v="4"/>
    <x v="0"/>
    <s v="Divorced"/>
    <n v="10883"/>
    <n v="20467"/>
    <n v="3"/>
    <s v="Y"/>
    <s v="No"/>
    <n v="20"/>
    <n v="4"/>
    <n v="3"/>
    <n v="80"/>
    <n v="1"/>
    <n v="19"/>
    <n v="2"/>
    <n v="4"/>
    <x v="6"/>
    <n v="0"/>
    <n v="0"/>
    <n v="0"/>
    <x v="3"/>
    <n v="0"/>
    <n v="0"/>
    <x v="2"/>
    <n v="1"/>
    <m/>
    <m/>
  </r>
  <r>
    <n v="33"/>
    <x v="1"/>
    <s v="Travel_Rarely"/>
    <n v="267"/>
    <s v="Research &amp; Development"/>
    <n v="21"/>
    <n v="3"/>
    <s v="Medical"/>
    <n v="1"/>
    <n v="1698"/>
    <n v="2"/>
    <x v="1"/>
    <n v="79"/>
    <n v="4"/>
    <x v="1"/>
    <x v="2"/>
    <x v="1"/>
    <s v="Married"/>
    <n v="2028"/>
    <n v="13637"/>
    <n v="1"/>
    <s v="Y"/>
    <s v="No"/>
    <n v="18"/>
    <n v="3"/>
    <n v="4"/>
    <n v="80"/>
    <n v="3"/>
    <n v="14"/>
    <n v="6"/>
    <n v="3"/>
    <x v="13"/>
    <n v="11"/>
    <n v="2"/>
    <n v="13"/>
    <x v="1"/>
    <n v="0"/>
    <n v="0"/>
    <x v="1"/>
    <n v="1"/>
    <m/>
    <m/>
  </r>
  <r>
    <n v="37"/>
    <x v="1"/>
    <s v="Travel_Frequently"/>
    <n v="1278"/>
    <s v="Sales"/>
    <n v="1"/>
    <n v="4"/>
    <s v="Medical"/>
    <n v="1"/>
    <n v="1700"/>
    <n v="3"/>
    <x v="1"/>
    <n v="31"/>
    <n v="1"/>
    <x v="0"/>
    <x v="0"/>
    <x v="0"/>
    <s v="Divorced"/>
    <n v="9525"/>
    <n v="7677"/>
    <n v="1"/>
    <s v="Y"/>
    <s v="No"/>
    <n v="14"/>
    <n v="3"/>
    <n v="3"/>
    <n v="80"/>
    <n v="2"/>
    <n v="6"/>
    <n v="2"/>
    <n v="2"/>
    <x v="0"/>
    <n v="3"/>
    <n v="1"/>
    <n v="3"/>
    <x v="0"/>
    <n v="0"/>
    <n v="0"/>
    <x v="2"/>
    <n v="1"/>
    <m/>
    <m/>
  </r>
  <r>
    <n v="34"/>
    <x v="1"/>
    <s v="Travel_Rarely"/>
    <n v="678"/>
    <s v="Research &amp; Development"/>
    <n v="19"/>
    <n v="3"/>
    <s v="Life Sciences"/>
    <n v="1"/>
    <n v="1701"/>
    <n v="2"/>
    <x v="0"/>
    <n v="35"/>
    <n v="2"/>
    <x v="1"/>
    <x v="1"/>
    <x v="0"/>
    <s v="Married"/>
    <n v="2929"/>
    <n v="20338"/>
    <n v="1"/>
    <s v="Y"/>
    <s v="No"/>
    <n v="12"/>
    <n v="3"/>
    <n v="2"/>
    <n v="80"/>
    <n v="0"/>
    <n v="10"/>
    <n v="3"/>
    <n v="3"/>
    <x v="1"/>
    <n v="9"/>
    <n v="8"/>
    <n v="7"/>
    <x v="1"/>
    <n v="0"/>
    <n v="0"/>
    <x v="1"/>
    <n v="1"/>
    <m/>
    <m/>
  </r>
  <r>
    <n v="23"/>
    <x v="0"/>
    <s v="Travel_Rarely"/>
    <n v="427"/>
    <s v="Sales"/>
    <n v="7"/>
    <n v="3"/>
    <s v="Life Sciences"/>
    <n v="1"/>
    <n v="1702"/>
    <n v="3"/>
    <x v="1"/>
    <n v="99"/>
    <n v="3"/>
    <x v="1"/>
    <x v="6"/>
    <x v="0"/>
    <s v="Divorced"/>
    <n v="2275"/>
    <n v="25103"/>
    <n v="1"/>
    <s v="Y"/>
    <s v="Yes"/>
    <n v="21"/>
    <n v="4"/>
    <n v="2"/>
    <n v="80"/>
    <n v="1"/>
    <n v="3"/>
    <n v="2"/>
    <n v="3"/>
    <x v="11"/>
    <n v="2"/>
    <n v="0"/>
    <n v="2"/>
    <x v="0"/>
    <n v="1"/>
    <n v="40950"/>
    <x v="1"/>
    <n v="1"/>
    <m/>
    <m/>
  </r>
  <r>
    <n v="44"/>
    <x v="1"/>
    <s v="Travel_Rarely"/>
    <n v="921"/>
    <s v="Research &amp; Development"/>
    <n v="2"/>
    <n v="3"/>
    <s v="Life Sciences"/>
    <n v="1"/>
    <n v="1703"/>
    <n v="3"/>
    <x v="0"/>
    <n v="96"/>
    <n v="4"/>
    <x v="2"/>
    <x v="4"/>
    <x v="0"/>
    <s v="Married"/>
    <n v="7879"/>
    <n v="14810"/>
    <n v="1"/>
    <s v="Y"/>
    <s v="Yes"/>
    <n v="19"/>
    <n v="3"/>
    <n v="2"/>
    <n v="80"/>
    <n v="1"/>
    <n v="9"/>
    <n v="2"/>
    <n v="3"/>
    <x v="3"/>
    <n v="7"/>
    <n v="6"/>
    <n v="7"/>
    <x v="3"/>
    <n v="0"/>
    <n v="0"/>
    <x v="4"/>
    <n v="1"/>
    <m/>
    <m/>
  </r>
  <r>
    <n v="35"/>
    <x v="1"/>
    <s v="Travel_Frequently"/>
    <n v="146"/>
    <s v="Research &amp; Development"/>
    <n v="2"/>
    <n v="4"/>
    <s v="Medical"/>
    <n v="1"/>
    <n v="1704"/>
    <n v="1"/>
    <x v="1"/>
    <n v="79"/>
    <n v="2"/>
    <x v="1"/>
    <x v="1"/>
    <x v="0"/>
    <s v="Single"/>
    <n v="4930"/>
    <n v="13970"/>
    <n v="0"/>
    <s v="Y"/>
    <s v="Yes"/>
    <n v="14"/>
    <n v="3"/>
    <n v="3"/>
    <n v="80"/>
    <n v="0"/>
    <n v="6"/>
    <n v="2"/>
    <n v="4"/>
    <x v="8"/>
    <n v="4"/>
    <n v="1"/>
    <n v="4"/>
    <x v="1"/>
    <n v="0"/>
    <n v="0"/>
    <x v="0"/>
    <n v="1"/>
    <m/>
    <m/>
  </r>
  <r>
    <n v="43"/>
    <x v="1"/>
    <s v="Travel_Rarely"/>
    <n v="1179"/>
    <s v="Sales"/>
    <n v="2"/>
    <n v="3"/>
    <s v="Medical"/>
    <n v="1"/>
    <n v="1706"/>
    <n v="4"/>
    <x v="1"/>
    <n v="73"/>
    <n v="3"/>
    <x v="0"/>
    <x v="0"/>
    <x v="0"/>
    <s v="Married"/>
    <n v="7847"/>
    <n v="6069"/>
    <n v="1"/>
    <s v="Y"/>
    <s v="Yes"/>
    <n v="17"/>
    <n v="3"/>
    <n v="1"/>
    <n v="80"/>
    <n v="1"/>
    <n v="10"/>
    <n v="3"/>
    <n v="3"/>
    <x v="1"/>
    <n v="9"/>
    <n v="8"/>
    <n v="8"/>
    <x v="0"/>
    <n v="0"/>
    <n v="0"/>
    <x v="4"/>
    <n v="1"/>
    <m/>
    <m/>
  </r>
  <r>
    <n v="24"/>
    <x v="1"/>
    <s v="Travel_Rarely"/>
    <n v="581"/>
    <s v="Research &amp; Development"/>
    <n v="9"/>
    <n v="3"/>
    <s v="Medical"/>
    <n v="1"/>
    <n v="1707"/>
    <n v="3"/>
    <x v="1"/>
    <n v="62"/>
    <n v="4"/>
    <x v="1"/>
    <x v="1"/>
    <x v="2"/>
    <s v="Married"/>
    <n v="4401"/>
    <n v="17616"/>
    <n v="1"/>
    <s v="Y"/>
    <s v="No"/>
    <n v="16"/>
    <n v="3"/>
    <n v="4"/>
    <n v="80"/>
    <n v="1"/>
    <n v="5"/>
    <n v="1"/>
    <n v="3"/>
    <x v="8"/>
    <n v="3"/>
    <n v="0"/>
    <n v="4"/>
    <x v="1"/>
    <n v="0"/>
    <n v="0"/>
    <x v="0"/>
    <n v="1"/>
    <m/>
    <m/>
  </r>
  <r>
    <n v="41"/>
    <x v="1"/>
    <s v="Travel_Rarely"/>
    <n v="918"/>
    <s v="Sales"/>
    <n v="6"/>
    <n v="3"/>
    <s v="Marketing"/>
    <n v="1"/>
    <n v="1708"/>
    <n v="4"/>
    <x v="1"/>
    <n v="35"/>
    <n v="3"/>
    <x v="2"/>
    <x v="0"/>
    <x v="2"/>
    <s v="Single"/>
    <n v="9241"/>
    <n v="15869"/>
    <n v="1"/>
    <s v="Y"/>
    <s v="No"/>
    <n v="12"/>
    <n v="3"/>
    <n v="2"/>
    <n v="80"/>
    <n v="0"/>
    <n v="10"/>
    <n v="3"/>
    <n v="3"/>
    <x v="1"/>
    <n v="8"/>
    <n v="8"/>
    <n v="7"/>
    <x v="0"/>
    <n v="0"/>
    <n v="0"/>
    <x v="2"/>
    <n v="1"/>
    <m/>
    <m/>
  </r>
  <r>
    <n v="29"/>
    <x v="1"/>
    <s v="Travel_Rarely"/>
    <n v="1082"/>
    <s v="Research &amp; Development"/>
    <n v="9"/>
    <n v="4"/>
    <s v="Medical"/>
    <n v="1"/>
    <n v="1709"/>
    <n v="4"/>
    <x v="0"/>
    <n v="43"/>
    <n v="3"/>
    <x v="1"/>
    <x v="2"/>
    <x v="2"/>
    <s v="Married"/>
    <n v="2974"/>
    <n v="25412"/>
    <n v="9"/>
    <s v="Y"/>
    <s v="No"/>
    <n v="17"/>
    <n v="3"/>
    <n v="3"/>
    <n v="80"/>
    <n v="1"/>
    <n v="9"/>
    <n v="2"/>
    <n v="3"/>
    <x v="8"/>
    <n v="3"/>
    <n v="1"/>
    <n v="2"/>
    <x v="1"/>
    <n v="0"/>
    <n v="0"/>
    <x v="1"/>
    <n v="1"/>
    <m/>
    <m/>
  </r>
  <r>
    <n v="36"/>
    <x v="1"/>
    <s v="Travel_Rarely"/>
    <n v="530"/>
    <s v="Sales"/>
    <n v="2"/>
    <n v="4"/>
    <s v="Life Sciences"/>
    <n v="1"/>
    <n v="1710"/>
    <n v="3"/>
    <x v="0"/>
    <n v="51"/>
    <n v="3"/>
    <x v="0"/>
    <x v="6"/>
    <x v="0"/>
    <s v="Single"/>
    <n v="4502"/>
    <n v="7439"/>
    <n v="3"/>
    <s v="Y"/>
    <s v="No"/>
    <n v="15"/>
    <n v="3"/>
    <n v="3"/>
    <n v="80"/>
    <n v="0"/>
    <n v="17"/>
    <n v="2"/>
    <n v="2"/>
    <x v="20"/>
    <n v="7"/>
    <n v="6"/>
    <n v="7"/>
    <x v="0"/>
    <n v="0"/>
    <n v="0"/>
    <x v="0"/>
    <n v="1"/>
    <m/>
    <m/>
  </r>
  <r>
    <n v="45"/>
    <x v="1"/>
    <s v="Non-Travel"/>
    <n v="1238"/>
    <s v="Research &amp; Development"/>
    <n v="1"/>
    <n v="1"/>
    <s v="Life Sciences"/>
    <n v="1"/>
    <n v="1712"/>
    <n v="3"/>
    <x v="1"/>
    <n v="74"/>
    <n v="2"/>
    <x v="2"/>
    <x v="4"/>
    <x v="2"/>
    <s v="Married"/>
    <n v="10748"/>
    <n v="3395"/>
    <n v="3"/>
    <s v="Y"/>
    <s v="No"/>
    <n v="23"/>
    <n v="4"/>
    <n v="4"/>
    <n v="80"/>
    <n v="1"/>
    <n v="25"/>
    <n v="3"/>
    <n v="2"/>
    <x v="36"/>
    <n v="15"/>
    <n v="14"/>
    <n v="4"/>
    <x v="3"/>
    <n v="0"/>
    <n v="0"/>
    <x v="2"/>
    <n v="1"/>
    <m/>
    <m/>
  </r>
  <r>
    <n v="24"/>
    <x v="0"/>
    <s v="Travel_Rarely"/>
    <n v="240"/>
    <s v="Human Resources"/>
    <n v="22"/>
    <n v="1"/>
    <s v="Human Resources"/>
    <n v="1"/>
    <n v="1714"/>
    <n v="4"/>
    <x v="1"/>
    <n v="58"/>
    <n v="1"/>
    <x v="1"/>
    <x v="8"/>
    <x v="2"/>
    <s v="Married"/>
    <n v="1555"/>
    <n v="11585"/>
    <n v="1"/>
    <s v="Y"/>
    <s v="No"/>
    <n v="11"/>
    <n v="3"/>
    <n v="3"/>
    <n v="80"/>
    <n v="1"/>
    <n v="1"/>
    <n v="2"/>
    <n v="3"/>
    <x v="6"/>
    <n v="0"/>
    <n v="0"/>
    <n v="0"/>
    <x v="5"/>
    <n v="1"/>
    <n v="27990"/>
    <x v="1"/>
    <n v="1"/>
    <m/>
    <m/>
  </r>
  <r>
    <n v="47"/>
    <x v="0"/>
    <s v="Travel_Frequently"/>
    <n v="1093"/>
    <s v="Sales"/>
    <n v="9"/>
    <n v="3"/>
    <s v="Life Sciences"/>
    <n v="1"/>
    <n v="1716"/>
    <n v="3"/>
    <x v="1"/>
    <n v="82"/>
    <n v="1"/>
    <x v="3"/>
    <x v="0"/>
    <x v="2"/>
    <s v="Married"/>
    <n v="12936"/>
    <n v="24164"/>
    <n v="7"/>
    <s v="Y"/>
    <s v="No"/>
    <n v="11"/>
    <n v="3"/>
    <n v="3"/>
    <n v="80"/>
    <n v="0"/>
    <n v="25"/>
    <n v="3"/>
    <n v="1"/>
    <x v="36"/>
    <n v="5"/>
    <n v="14"/>
    <n v="10"/>
    <x v="0"/>
    <n v="1"/>
    <n v="232848"/>
    <x v="3"/>
    <n v="1"/>
    <m/>
    <m/>
  </r>
  <r>
    <n v="26"/>
    <x v="1"/>
    <s v="Travel_Rarely"/>
    <n v="390"/>
    <s v="Research &amp; Development"/>
    <n v="17"/>
    <n v="4"/>
    <s v="Medical"/>
    <n v="1"/>
    <n v="1718"/>
    <n v="4"/>
    <x v="1"/>
    <n v="62"/>
    <n v="1"/>
    <x v="1"/>
    <x v="2"/>
    <x v="2"/>
    <s v="Married"/>
    <n v="2305"/>
    <n v="6217"/>
    <n v="1"/>
    <s v="Y"/>
    <s v="No"/>
    <n v="15"/>
    <n v="3"/>
    <n v="3"/>
    <n v="80"/>
    <n v="3"/>
    <n v="3"/>
    <n v="3"/>
    <n v="4"/>
    <x v="11"/>
    <n v="2"/>
    <n v="0"/>
    <n v="2"/>
    <x v="1"/>
    <n v="0"/>
    <n v="0"/>
    <x v="1"/>
    <n v="1"/>
    <m/>
    <m/>
  </r>
  <r>
    <n v="45"/>
    <x v="1"/>
    <s v="Travel_Rarely"/>
    <n v="1005"/>
    <s v="Research &amp; Development"/>
    <n v="28"/>
    <n v="2"/>
    <s v="Technical Degree"/>
    <n v="1"/>
    <n v="1719"/>
    <n v="4"/>
    <x v="0"/>
    <n v="48"/>
    <n v="2"/>
    <x v="3"/>
    <x v="7"/>
    <x v="1"/>
    <s v="Single"/>
    <n v="16704"/>
    <n v="17119"/>
    <n v="1"/>
    <s v="Y"/>
    <s v="No"/>
    <n v="11"/>
    <n v="3"/>
    <n v="3"/>
    <n v="80"/>
    <n v="0"/>
    <n v="21"/>
    <n v="2"/>
    <n v="3"/>
    <x v="17"/>
    <n v="6"/>
    <n v="8"/>
    <n v="6"/>
    <x v="1"/>
    <n v="0"/>
    <n v="0"/>
    <x v="3"/>
    <n v="1"/>
    <m/>
    <m/>
  </r>
  <r>
    <n v="32"/>
    <x v="1"/>
    <s v="Travel_Frequently"/>
    <n v="585"/>
    <s v="Research &amp; Development"/>
    <n v="10"/>
    <n v="3"/>
    <s v="Life Sciences"/>
    <n v="1"/>
    <n v="1720"/>
    <n v="1"/>
    <x v="1"/>
    <n v="56"/>
    <n v="3"/>
    <x v="1"/>
    <x v="1"/>
    <x v="2"/>
    <s v="Married"/>
    <n v="3433"/>
    <n v="17360"/>
    <n v="6"/>
    <s v="Y"/>
    <s v="No"/>
    <n v="13"/>
    <n v="3"/>
    <n v="1"/>
    <n v="80"/>
    <n v="1"/>
    <n v="10"/>
    <n v="3"/>
    <n v="2"/>
    <x v="8"/>
    <n v="2"/>
    <n v="1"/>
    <n v="3"/>
    <x v="1"/>
    <n v="0"/>
    <n v="0"/>
    <x v="0"/>
    <n v="1"/>
    <m/>
    <m/>
  </r>
  <r>
    <n v="31"/>
    <x v="1"/>
    <s v="Travel_Rarely"/>
    <n v="741"/>
    <s v="Research &amp; Development"/>
    <n v="2"/>
    <n v="4"/>
    <s v="Life Sciences"/>
    <n v="1"/>
    <n v="1721"/>
    <n v="2"/>
    <x v="1"/>
    <n v="69"/>
    <n v="3"/>
    <x v="1"/>
    <x v="2"/>
    <x v="2"/>
    <s v="Married"/>
    <n v="3477"/>
    <n v="18103"/>
    <n v="1"/>
    <s v="Y"/>
    <s v="No"/>
    <n v="14"/>
    <n v="3"/>
    <n v="4"/>
    <n v="80"/>
    <n v="1"/>
    <n v="6"/>
    <n v="2"/>
    <n v="4"/>
    <x v="8"/>
    <n v="2"/>
    <n v="0"/>
    <n v="3"/>
    <x v="1"/>
    <n v="0"/>
    <n v="0"/>
    <x v="0"/>
    <n v="1"/>
    <m/>
    <m/>
  </r>
  <r>
    <n v="41"/>
    <x v="1"/>
    <s v="Non-Travel"/>
    <n v="552"/>
    <s v="Human Resources"/>
    <n v="4"/>
    <n v="3"/>
    <s v="Human Resources"/>
    <n v="1"/>
    <n v="1722"/>
    <n v="3"/>
    <x v="1"/>
    <n v="60"/>
    <n v="1"/>
    <x v="0"/>
    <x v="8"/>
    <x v="1"/>
    <s v="Married"/>
    <n v="6430"/>
    <n v="20794"/>
    <n v="6"/>
    <s v="Y"/>
    <s v="No"/>
    <n v="19"/>
    <n v="3"/>
    <n v="2"/>
    <n v="80"/>
    <n v="1"/>
    <n v="10"/>
    <n v="4"/>
    <n v="3"/>
    <x v="11"/>
    <n v="2"/>
    <n v="1"/>
    <n v="2"/>
    <x v="5"/>
    <n v="0"/>
    <n v="0"/>
    <x v="4"/>
    <n v="1"/>
    <m/>
    <m/>
  </r>
  <r>
    <n v="40"/>
    <x v="1"/>
    <s v="Travel_Rarely"/>
    <n v="369"/>
    <s v="Research &amp; Development"/>
    <n v="8"/>
    <n v="2"/>
    <s v="Life Sciences"/>
    <n v="1"/>
    <n v="1724"/>
    <n v="2"/>
    <x v="0"/>
    <n v="92"/>
    <n v="3"/>
    <x v="0"/>
    <x v="3"/>
    <x v="3"/>
    <s v="Married"/>
    <n v="6516"/>
    <n v="5041"/>
    <n v="2"/>
    <s v="Y"/>
    <s v="Yes"/>
    <n v="16"/>
    <n v="3"/>
    <n v="2"/>
    <n v="80"/>
    <n v="1"/>
    <n v="18"/>
    <n v="3"/>
    <n v="3"/>
    <x v="6"/>
    <n v="0"/>
    <n v="0"/>
    <n v="0"/>
    <x v="2"/>
    <n v="0"/>
    <n v="0"/>
    <x v="4"/>
    <n v="1"/>
    <m/>
    <m/>
  </r>
  <r>
    <n v="24"/>
    <x v="1"/>
    <s v="Travel_Rarely"/>
    <n v="506"/>
    <s v="Research &amp; Development"/>
    <n v="29"/>
    <n v="1"/>
    <s v="Medical"/>
    <n v="1"/>
    <n v="1725"/>
    <n v="2"/>
    <x v="1"/>
    <n v="91"/>
    <n v="3"/>
    <x v="1"/>
    <x v="2"/>
    <x v="3"/>
    <s v="Divorced"/>
    <n v="3907"/>
    <n v="3622"/>
    <n v="1"/>
    <s v="Y"/>
    <s v="No"/>
    <n v="13"/>
    <n v="3"/>
    <n v="2"/>
    <n v="80"/>
    <n v="3"/>
    <n v="6"/>
    <n v="2"/>
    <n v="4"/>
    <x v="0"/>
    <n v="2"/>
    <n v="1"/>
    <n v="2"/>
    <x v="1"/>
    <n v="0"/>
    <n v="0"/>
    <x v="0"/>
    <n v="1"/>
    <m/>
    <m/>
  </r>
  <r>
    <n v="46"/>
    <x v="1"/>
    <s v="Travel_Rarely"/>
    <n v="717"/>
    <s v="Research &amp; Development"/>
    <n v="13"/>
    <n v="4"/>
    <s v="Life Sciences"/>
    <n v="1"/>
    <n v="1727"/>
    <n v="3"/>
    <x v="1"/>
    <n v="34"/>
    <n v="3"/>
    <x v="0"/>
    <x v="4"/>
    <x v="1"/>
    <s v="Single"/>
    <n v="5562"/>
    <n v="9697"/>
    <n v="6"/>
    <s v="Y"/>
    <s v="No"/>
    <n v="14"/>
    <n v="3"/>
    <n v="4"/>
    <n v="80"/>
    <n v="0"/>
    <n v="19"/>
    <n v="3"/>
    <n v="3"/>
    <x v="1"/>
    <n v="7"/>
    <n v="0"/>
    <n v="9"/>
    <x v="3"/>
    <n v="0"/>
    <n v="0"/>
    <x v="0"/>
    <n v="1"/>
    <m/>
    <m/>
  </r>
  <r>
    <n v="35"/>
    <x v="1"/>
    <s v="Travel_Rarely"/>
    <n v="1370"/>
    <s v="Research &amp; Development"/>
    <n v="27"/>
    <n v="4"/>
    <s v="Life Sciences"/>
    <n v="1"/>
    <n v="1728"/>
    <n v="4"/>
    <x v="1"/>
    <n v="49"/>
    <n v="3"/>
    <x v="0"/>
    <x v="3"/>
    <x v="2"/>
    <s v="Married"/>
    <n v="6883"/>
    <n v="5151"/>
    <n v="2"/>
    <s v="Y"/>
    <s v="No"/>
    <n v="16"/>
    <n v="3"/>
    <n v="2"/>
    <n v="80"/>
    <n v="1"/>
    <n v="17"/>
    <n v="3"/>
    <n v="3"/>
    <x v="5"/>
    <n v="7"/>
    <n v="0"/>
    <n v="7"/>
    <x v="2"/>
    <n v="0"/>
    <n v="0"/>
    <x v="4"/>
    <n v="1"/>
    <m/>
    <m/>
  </r>
  <r>
    <n v="30"/>
    <x v="1"/>
    <s v="Travel_Rarely"/>
    <n v="793"/>
    <s v="Research &amp; Development"/>
    <n v="16"/>
    <n v="1"/>
    <s v="Life Sciences"/>
    <n v="1"/>
    <n v="1729"/>
    <n v="2"/>
    <x v="1"/>
    <n v="33"/>
    <n v="3"/>
    <x v="1"/>
    <x v="1"/>
    <x v="0"/>
    <s v="Married"/>
    <n v="2862"/>
    <n v="3811"/>
    <n v="1"/>
    <s v="Y"/>
    <s v="No"/>
    <n v="12"/>
    <n v="3"/>
    <n v="2"/>
    <n v="80"/>
    <n v="1"/>
    <n v="10"/>
    <n v="2"/>
    <n v="2"/>
    <x v="1"/>
    <n v="0"/>
    <n v="0"/>
    <n v="8"/>
    <x v="1"/>
    <n v="0"/>
    <n v="0"/>
    <x v="1"/>
    <n v="1"/>
    <m/>
    <m/>
  </r>
  <r>
    <n v="47"/>
    <x v="1"/>
    <s v="Non-Travel"/>
    <n v="543"/>
    <s v="Sales"/>
    <n v="2"/>
    <n v="4"/>
    <s v="Marketing"/>
    <n v="1"/>
    <n v="1731"/>
    <n v="3"/>
    <x v="1"/>
    <n v="87"/>
    <n v="3"/>
    <x v="0"/>
    <x v="0"/>
    <x v="1"/>
    <s v="Married"/>
    <n v="4978"/>
    <n v="3536"/>
    <n v="7"/>
    <s v="Y"/>
    <s v="No"/>
    <n v="11"/>
    <n v="3"/>
    <n v="4"/>
    <n v="80"/>
    <n v="1"/>
    <n v="4"/>
    <n v="3"/>
    <n v="1"/>
    <x v="6"/>
    <n v="0"/>
    <n v="0"/>
    <n v="0"/>
    <x v="0"/>
    <n v="0"/>
    <n v="0"/>
    <x v="0"/>
    <n v="1"/>
    <m/>
    <m/>
  </r>
  <r>
    <n v="46"/>
    <x v="1"/>
    <s v="Travel_Rarely"/>
    <n v="1277"/>
    <s v="Sales"/>
    <n v="2"/>
    <n v="3"/>
    <s v="Life Sciences"/>
    <n v="1"/>
    <n v="1732"/>
    <n v="3"/>
    <x v="1"/>
    <n v="74"/>
    <n v="3"/>
    <x v="2"/>
    <x v="0"/>
    <x v="0"/>
    <s v="Divorced"/>
    <n v="10368"/>
    <n v="5596"/>
    <n v="4"/>
    <s v="Y"/>
    <s v="Yes"/>
    <n v="12"/>
    <n v="3"/>
    <n v="2"/>
    <n v="80"/>
    <n v="1"/>
    <n v="13"/>
    <n v="5"/>
    <n v="2"/>
    <x v="1"/>
    <n v="6"/>
    <n v="0"/>
    <n v="3"/>
    <x v="0"/>
    <n v="0"/>
    <n v="0"/>
    <x v="2"/>
    <n v="1"/>
    <m/>
    <m/>
  </r>
  <r>
    <n v="36"/>
    <x v="0"/>
    <s v="Travel_Rarely"/>
    <n v="1456"/>
    <s v="Sales"/>
    <n v="13"/>
    <n v="5"/>
    <s v="Marketing"/>
    <n v="1"/>
    <n v="1733"/>
    <n v="2"/>
    <x v="1"/>
    <n v="96"/>
    <n v="2"/>
    <x v="0"/>
    <x v="0"/>
    <x v="3"/>
    <s v="Divorced"/>
    <n v="6134"/>
    <n v="8658"/>
    <n v="5"/>
    <s v="Y"/>
    <s v="Yes"/>
    <n v="13"/>
    <n v="3"/>
    <n v="2"/>
    <n v="80"/>
    <n v="3"/>
    <n v="16"/>
    <n v="3"/>
    <n v="3"/>
    <x v="4"/>
    <n v="2"/>
    <n v="2"/>
    <n v="2"/>
    <x v="0"/>
    <n v="1"/>
    <n v="110412"/>
    <x v="4"/>
    <n v="1"/>
    <m/>
    <m/>
  </r>
  <r>
    <n v="32"/>
    <x v="0"/>
    <s v="Travel_Rarely"/>
    <n v="964"/>
    <s v="Sales"/>
    <n v="1"/>
    <n v="2"/>
    <s v="Life Sciences"/>
    <n v="1"/>
    <n v="1734"/>
    <n v="1"/>
    <x v="1"/>
    <n v="34"/>
    <n v="1"/>
    <x v="0"/>
    <x v="0"/>
    <x v="1"/>
    <s v="Single"/>
    <n v="6735"/>
    <n v="12147"/>
    <n v="6"/>
    <s v="Y"/>
    <s v="No"/>
    <n v="15"/>
    <n v="3"/>
    <n v="2"/>
    <n v="80"/>
    <n v="0"/>
    <n v="10"/>
    <n v="2"/>
    <n v="3"/>
    <x v="2"/>
    <n v="0"/>
    <n v="0"/>
    <n v="0"/>
    <x v="0"/>
    <n v="1"/>
    <n v="121230"/>
    <x v="4"/>
    <n v="1"/>
    <m/>
    <m/>
  </r>
  <r>
    <n v="23"/>
    <x v="1"/>
    <s v="Travel_Rarely"/>
    <n v="160"/>
    <s v="Research &amp; Development"/>
    <n v="4"/>
    <n v="1"/>
    <s v="Medical"/>
    <n v="1"/>
    <n v="1735"/>
    <n v="3"/>
    <x v="0"/>
    <n v="51"/>
    <n v="3"/>
    <x v="1"/>
    <x v="2"/>
    <x v="1"/>
    <s v="Single"/>
    <n v="3295"/>
    <n v="12862"/>
    <n v="1"/>
    <s v="Y"/>
    <s v="No"/>
    <n v="13"/>
    <n v="3"/>
    <n v="3"/>
    <n v="80"/>
    <n v="0"/>
    <n v="3"/>
    <n v="3"/>
    <n v="1"/>
    <x v="11"/>
    <n v="2"/>
    <n v="1"/>
    <n v="2"/>
    <x v="1"/>
    <n v="0"/>
    <n v="0"/>
    <x v="0"/>
    <n v="1"/>
    <m/>
    <m/>
  </r>
  <r>
    <n v="31"/>
    <x v="1"/>
    <s v="Travel_Frequently"/>
    <n v="163"/>
    <s v="Research &amp; Development"/>
    <n v="24"/>
    <n v="1"/>
    <s v="Technical Degree"/>
    <n v="1"/>
    <n v="1736"/>
    <n v="4"/>
    <x v="0"/>
    <n v="30"/>
    <n v="3"/>
    <x v="0"/>
    <x v="3"/>
    <x v="0"/>
    <s v="Single"/>
    <n v="5238"/>
    <n v="6670"/>
    <n v="2"/>
    <s v="Y"/>
    <s v="No"/>
    <n v="20"/>
    <n v="4"/>
    <n v="4"/>
    <n v="80"/>
    <n v="0"/>
    <n v="9"/>
    <n v="3"/>
    <n v="2"/>
    <x v="8"/>
    <n v="4"/>
    <n v="1"/>
    <n v="4"/>
    <x v="2"/>
    <n v="0"/>
    <n v="0"/>
    <x v="0"/>
    <n v="1"/>
    <m/>
    <m/>
  </r>
  <r>
    <n v="39"/>
    <x v="1"/>
    <s v="Non-Travel"/>
    <n v="792"/>
    <s v="Research &amp; Development"/>
    <n v="1"/>
    <n v="3"/>
    <s v="Life Sciences"/>
    <n v="1"/>
    <n v="1737"/>
    <n v="4"/>
    <x v="1"/>
    <n v="77"/>
    <n v="3"/>
    <x v="0"/>
    <x v="2"/>
    <x v="0"/>
    <s v="Married"/>
    <n v="6472"/>
    <n v="8989"/>
    <n v="1"/>
    <s v="Y"/>
    <s v="Yes"/>
    <n v="15"/>
    <n v="3"/>
    <n v="4"/>
    <n v="80"/>
    <n v="1"/>
    <n v="9"/>
    <n v="2"/>
    <n v="3"/>
    <x v="7"/>
    <n v="8"/>
    <n v="5"/>
    <n v="8"/>
    <x v="1"/>
    <n v="0"/>
    <n v="0"/>
    <x v="4"/>
    <n v="1"/>
    <m/>
    <m/>
  </r>
  <r>
    <n v="32"/>
    <x v="1"/>
    <s v="Travel_Rarely"/>
    <n v="371"/>
    <s v="Sales"/>
    <n v="19"/>
    <n v="3"/>
    <s v="Life Sciences"/>
    <n v="1"/>
    <n v="1739"/>
    <n v="4"/>
    <x v="1"/>
    <n v="80"/>
    <n v="1"/>
    <x v="2"/>
    <x v="0"/>
    <x v="2"/>
    <s v="Married"/>
    <n v="9610"/>
    <n v="3840"/>
    <n v="3"/>
    <s v="Y"/>
    <s v="No"/>
    <n v="13"/>
    <n v="3"/>
    <n v="3"/>
    <n v="80"/>
    <n v="1"/>
    <n v="10"/>
    <n v="2"/>
    <n v="1"/>
    <x v="9"/>
    <n v="3"/>
    <n v="0"/>
    <n v="2"/>
    <x v="0"/>
    <n v="0"/>
    <n v="0"/>
    <x v="2"/>
    <n v="1"/>
    <m/>
    <m/>
  </r>
  <r>
    <n v="40"/>
    <x v="1"/>
    <s v="Travel_Rarely"/>
    <n v="611"/>
    <s v="Sales"/>
    <n v="7"/>
    <n v="4"/>
    <s v="Medical"/>
    <n v="1"/>
    <n v="1740"/>
    <n v="2"/>
    <x v="1"/>
    <n v="88"/>
    <n v="3"/>
    <x v="4"/>
    <x v="5"/>
    <x v="1"/>
    <s v="Single"/>
    <n v="19833"/>
    <n v="4349"/>
    <n v="1"/>
    <s v="Y"/>
    <s v="No"/>
    <n v="14"/>
    <n v="3"/>
    <n v="2"/>
    <n v="80"/>
    <n v="0"/>
    <n v="21"/>
    <n v="3"/>
    <n v="2"/>
    <x v="17"/>
    <n v="8"/>
    <n v="12"/>
    <n v="8"/>
    <x v="4"/>
    <n v="0"/>
    <n v="0"/>
    <x v="3"/>
    <n v="1"/>
    <m/>
    <m/>
  </r>
  <r>
    <n v="45"/>
    <x v="1"/>
    <s v="Travel_Rarely"/>
    <n v="176"/>
    <s v="Human Resources"/>
    <n v="4"/>
    <n v="3"/>
    <s v="Life Sciences"/>
    <n v="1"/>
    <n v="1744"/>
    <n v="3"/>
    <x v="0"/>
    <n v="56"/>
    <n v="1"/>
    <x v="2"/>
    <x v="8"/>
    <x v="2"/>
    <s v="Married"/>
    <n v="9756"/>
    <n v="6595"/>
    <n v="4"/>
    <s v="Y"/>
    <s v="No"/>
    <n v="21"/>
    <n v="4"/>
    <n v="3"/>
    <n v="80"/>
    <n v="2"/>
    <n v="9"/>
    <n v="2"/>
    <n v="4"/>
    <x v="8"/>
    <n v="0"/>
    <n v="0"/>
    <n v="3"/>
    <x v="5"/>
    <n v="0"/>
    <n v="0"/>
    <x v="2"/>
    <n v="1"/>
    <m/>
    <m/>
  </r>
  <r>
    <n v="30"/>
    <x v="1"/>
    <s v="Travel_Frequently"/>
    <n v="1312"/>
    <s v="Research &amp; Development"/>
    <n v="2"/>
    <n v="4"/>
    <s v="Technical Degree"/>
    <n v="1"/>
    <n v="1745"/>
    <n v="4"/>
    <x v="0"/>
    <n v="78"/>
    <n v="2"/>
    <x v="1"/>
    <x v="1"/>
    <x v="3"/>
    <s v="Single"/>
    <n v="4968"/>
    <n v="26427"/>
    <n v="0"/>
    <s v="Y"/>
    <s v="No"/>
    <n v="16"/>
    <n v="3"/>
    <n v="4"/>
    <n v="80"/>
    <n v="0"/>
    <n v="10"/>
    <n v="2"/>
    <n v="3"/>
    <x v="7"/>
    <n v="7"/>
    <n v="0"/>
    <n v="7"/>
    <x v="1"/>
    <n v="0"/>
    <n v="0"/>
    <x v="0"/>
    <n v="1"/>
    <m/>
    <m/>
  </r>
  <r>
    <n v="24"/>
    <x v="1"/>
    <s v="Travel_Frequently"/>
    <n v="897"/>
    <s v="Human Resources"/>
    <n v="10"/>
    <n v="3"/>
    <s v="Medical"/>
    <n v="1"/>
    <n v="1746"/>
    <n v="1"/>
    <x v="1"/>
    <n v="59"/>
    <n v="3"/>
    <x v="1"/>
    <x v="8"/>
    <x v="0"/>
    <s v="Married"/>
    <n v="2145"/>
    <n v="2097"/>
    <n v="0"/>
    <s v="Y"/>
    <s v="No"/>
    <n v="14"/>
    <n v="3"/>
    <n v="4"/>
    <n v="80"/>
    <n v="1"/>
    <n v="3"/>
    <n v="2"/>
    <n v="3"/>
    <x v="4"/>
    <n v="2"/>
    <n v="2"/>
    <n v="1"/>
    <x v="5"/>
    <n v="0"/>
    <n v="0"/>
    <x v="1"/>
    <n v="1"/>
    <m/>
    <m/>
  </r>
  <r>
    <n v="30"/>
    <x v="0"/>
    <s v="Travel_Frequently"/>
    <n v="600"/>
    <s v="Human Resources"/>
    <n v="8"/>
    <n v="3"/>
    <s v="Human Resources"/>
    <n v="1"/>
    <n v="1747"/>
    <n v="3"/>
    <x v="0"/>
    <n v="66"/>
    <n v="2"/>
    <x v="1"/>
    <x v="8"/>
    <x v="0"/>
    <s v="Divorced"/>
    <n v="2180"/>
    <n v="9732"/>
    <n v="6"/>
    <s v="Y"/>
    <s v="No"/>
    <n v="11"/>
    <n v="3"/>
    <n v="3"/>
    <n v="80"/>
    <n v="1"/>
    <n v="6"/>
    <n v="0"/>
    <n v="2"/>
    <x v="9"/>
    <n v="2"/>
    <n v="1"/>
    <n v="2"/>
    <x v="5"/>
    <n v="1"/>
    <n v="39240"/>
    <x v="1"/>
    <n v="1"/>
    <m/>
    <m/>
  </r>
  <r>
    <n v="31"/>
    <x v="1"/>
    <s v="Travel_Rarely"/>
    <n v="1003"/>
    <s v="Sales"/>
    <n v="5"/>
    <n v="3"/>
    <s v="Technical Degree"/>
    <n v="1"/>
    <n v="1749"/>
    <n v="1"/>
    <x v="1"/>
    <n v="51"/>
    <n v="3"/>
    <x v="0"/>
    <x v="0"/>
    <x v="2"/>
    <s v="Married"/>
    <n v="8346"/>
    <n v="20943"/>
    <n v="1"/>
    <s v="Y"/>
    <s v="No"/>
    <n v="19"/>
    <n v="3"/>
    <n v="3"/>
    <n v="80"/>
    <n v="1"/>
    <n v="6"/>
    <n v="3"/>
    <n v="3"/>
    <x v="8"/>
    <n v="2"/>
    <n v="0"/>
    <n v="2"/>
    <x v="0"/>
    <n v="0"/>
    <n v="0"/>
    <x v="4"/>
    <n v="1"/>
    <m/>
    <m/>
  </r>
  <r>
    <n v="27"/>
    <x v="1"/>
    <s v="Travel_Rarely"/>
    <n v="1054"/>
    <s v="Research &amp; Development"/>
    <n v="8"/>
    <n v="3"/>
    <s v="Medical"/>
    <n v="1"/>
    <n v="1751"/>
    <n v="3"/>
    <x v="0"/>
    <n v="67"/>
    <n v="3"/>
    <x v="1"/>
    <x v="1"/>
    <x v="0"/>
    <s v="Single"/>
    <n v="3445"/>
    <n v="6152"/>
    <n v="1"/>
    <s v="Y"/>
    <s v="No"/>
    <n v="11"/>
    <n v="3"/>
    <n v="3"/>
    <n v="80"/>
    <n v="0"/>
    <n v="6"/>
    <n v="5"/>
    <n v="2"/>
    <x v="0"/>
    <n v="2"/>
    <n v="1"/>
    <n v="4"/>
    <x v="1"/>
    <n v="0"/>
    <n v="0"/>
    <x v="0"/>
    <n v="1"/>
    <m/>
    <m/>
  </r>
  <r>
    <n v="29"/>
    <x v="0"/>
    <s v="Travel_Rarely"/>
    <n v="428"/>
    <s v="Sales"/>
    <n v="9"/>
    <n v="3"/>
    <s v="Marketing"/>
    <n v="1"/>
    <n v="1752"/>
    <n v="2"/>
    <x v="0"/>
    <n v="52"/>
    <n v="1"/>
    <x v="1"/>
    <x v="6"/>
    <x v="1"/>
    <s v="Single"/>
    <n v="2760"/>
    <n v="14630"/>
    <n v="1"/>
    <s v="Y"/>
    <s v="No"/>
    <n v="13"/>
    <n v="3"/>
    <n v="3"/>
    <n v="80"/>
    <n v="0"/>
    <n v="2"/>
    <n v="3"/>
    <n v="3"/>
    <x v="4"/>
    <n v="2"/>
    <n v="2"/>
    <n v="2"/>
    <x v="0"/>
    <n v="1"/>
    <n v="49680"/>
    <x v="1"/>
    <n v="1"/>
    <m/>
    <m/>
  </r>
  <r>
    <n v="29"/>
    <x v="1"/>
    <s v="Travel_Frequently"/>
    <n v="461"/>
    <s v="Research &amp; Development"/>
    <n v="1"/>
    <n v="3"/>
    <s v="Life Sciences"/>
    <n v="1"/>
    <n v="1753"/>
    <n v="4"/>
    <x v="1"/>
    <n v="70"/>
    <n v="4"/>
    <x v="0"/>
    <x v="4"/>
    <x v="2"/>
    <s v="Single"/>
    <n v="6294"/>
    <n v="23060"/>
    <n v="8"/>
    <s v="Y"/>
    <s v="Yes"/>
    <n v="12"/>
    <n v="3"/>
    <n v="4"/>
    <n v="80"/>
    <n v="0"/>
    <n v="10"/>
    <n v="5"/>
    <n v="4"/>
    <x v="11"/>
    <n v="2"/>
    <n v="0"/>
    <n v="2"/>
    <x v="3"/>
    <n v="0"/>
    <n v="0"/>
    <x v="4"/>
    <n v="1"/>
    <m/>
    <m/>
  </r>
  <r>
    <n v="30"/>
    <x v="1"/>
    <s v="Travel_Rarely"/>
    <n v="979"/>
    <s v="Sales"/>
    <n v="15"/>
    <n v="2"/>
    <s v="Marketing"/>
    <n v="1"/>
    <n v="1754"/>
    <n v="3"/>
    <x v="1"/>
    <n v="94"/>
    <n v="2"/>
    <x v="2"/>
    <x v="0"/>
    <x v="3"/>
    <s v="Divorced"/>
    <n v="7140"/>
    <n v="3088"/>
    <n v="2"/>
    <s v="Y"/>
    <s v="No"/>
    <n v="11"/>
    <n v="3"/>
    <n v="1"/>
    <n v="80"/>
    <n v="1"/>
    <n v="12"/>
    <n v="2"/>
    <n v="3"/>
    <x v="5"/>
    <n v="7"/>
    <n v="1"/>
    <n v="7"/>
    <x v="0"/>
    <n v="0"/>
    <n v="0"/>
    <x v="4"/>
    <n v="1"/>
    <m/>
    <m/>
  </r>
  <r>
    <n v="34"/>
    <x v="1"/>
    <s v="Travel_Rarely"/>
    <n v="181"/>
    <s v="Research &amp; Development"/>
    <n v="2"/>
    <n v="4"/>
    <s v="Medical"/>
    <n v="1"/>
    <n v="1755"/>
    <n v="4"/>
    <x v="1"/>
    <n v="97"/>
    <n v="4"/>
    <x v="1"/>
    <x v="1"/>
    <x v="0"/>
    <s v="Married"/>
    <n v="2932"/>
    <n v="5586"/>
    <n v="0"/>
    <s v="Y"/>
    <s v="Yes"/>
    <n v="14"/>
    <n v="3"/>
    <n v="1"/>
    <n v="80"/>
    <n v="3"/>
    <n v="6"/>
    <n v="3"/>
    <n v="3"/>
    <x v="8"/>
    <n v="0"/>
    <n v="1"/>
    <n v="2"/>
    <x v="1"/>
    <n v="0"/>
    <n v="0"/>
    <x v="1"/>
    <n v="1"/>
    <m/>
    <m/>
  </r>
  <r>
    <n v="33"/>
    <x v="1"/>
    <s v="Non-Travel"/>
    <n v="1283"/>
    <s v="Sales"/>
    <n v="2"/>
    <n v="3"/>
    <s v="Marketing"/>
    <n v="1"/>
    <n v="1756"/>
    <n v="4"/>
    <x v="0"/>
    <n v="62"/>
    <n v="3"/>
    <x v="0"/>
    <x v="0"/>
    <x v="1"/>
    <s v="Single"/>
    <n v="5147"/>
    <n v="10697"/>
    <n v="8"/>
    <s v="Y"/>
    <s v="No"/>
    <n v="15"/>
    <n v="3"/>
    <n v="4"/>
    <n v="80"/>
    <n v="0"/>
    <n v="13"/>
    <n v="2"/>
    <n v="2"/>
    <x v="19"/>
    <n v="7"/>
    <n v="1"/>
    <n v="7"/>
    <x v="0"/>
    <n v="0"/>
    <n v="0"/>
    <x v="0"/>
    <n v="1"/>
    <m/>
    <m/>
  </r>
  <r>
    <n v="49"/>
    <x v="1"/>
    <s v="Travel_Rarely"/>
    <n v="1313"/>
    <s v="Sales"/>
    <n v="11"/>
    <n v="4"/>
    <s v="Marketing"/>
    <n v="1"/>
    <n v="1757"/>
    <n v="4"/>
    <x v="0"/>
    <n v="80"/>
    <n v="3"/>
    <x v="0"/>
    <x v="0"/>
    <x v="0"/>
    <s v="Single"/>
    <n v="4507"/>
    <n v="8191"/>
    <n v="3"/>
    <s v="Y"/>
    <s v="No"/>
    <n v="12"/>
    <n v="3"/>
    <n v="3"/>
    <n v="80"/>
    <n v="0"/>
    <n v="8"/>
    <n v="1"/>
    <n v="4"/>
    <x v="8"/>
    <n v="1"/>
    <n v="0"/>
    <n v="4"/>
    <x v="0"/>
    <n v="0"/>
    <n v="0"/>
    <x v="0"/>
    <n v="1"/>
    <m/>
    <m/>
  </r>
  <r>
    <n v="33"/>
    <x v="0"/>
    <s v="Travel_Rarely"/>
    <n v="211"/>
    <s v="Sales"/>
    <n v="16"/>
    <n v="3"/>
    <s v="Life Sciences"/>
    <n v="1"/>
    <n v="1758"/>
    <n v="1"/>
    <x v="0"/>
    <n v="74"/>
    <n v="3"/>
    <x v="2"/>
    <x v="0"/>
    <x v="3"/>
    <s v="Single"/>
    <n v="8564"/>
    <n v="10092"/>
    <n v="2"/>
    <s v="Y"/>
    <s v="Yes"/>
    <n v="20"/>
    <n v="4"/>
    <n v="3"/>
    <n v="80"/>
    <n v="0"/>
    <n v="11"/>
    <n v="2"/>
    <n v="2"/>
    <x v="2"/>
    <n v="0"/>
    <n v="0"/>
    <n v="0"/>
    <x v="0"/>
    <n v="1"/>
    <n v="154152"/>
    <x v="4"/>
    <n v="1"/>
    <m/>
    <m/>
  </r>
  <r>
    <n v="38"/>
    <x v="1"/>
    <s v="Travel_Frequently"/>
    <n v="594"/>
    <s v="Research &amp; Development"/>
    <n v="2"/>
    <n v="2"/>
    <s v="Medical"/>
    <n v="1"/>
    <n v="1760"/>
    <n v="3"/>
    <x v="0"/>
    <n v="75"/>
    <n v="2"/>
    <x v="1"/>
    <x v="2"/>
    <x v="1"/>
    <s v="Married"/>
    <n v="2468"/>
    <n v="15963"/>
    <n v="4"/>
    <s v="Y"/>
    <s v="No"/>
    <n v="14"/>
    <n v="3"/>
    <n v="2"/>
    <n v="80"/>
    <n v="1"/>
    <n v="9"/>
    <n v="4"/>
    <n v="2"/>
    <x v="0"/>
    <n v="1"/>
    <n v="0"/>
    <n v="5"/>
    <x v="1"/>
    <n v="0"/>
    <n v="0"/>
    <x v="1"/>
    <n v="1"/>
    <m/>
    <m/>
  </r>
  <r>
    <n v="31"/>
    <x v="0"/>
    <s v="Travel_Rarely"/>
    <n v="1079"/>
    <s v="Sales"/>
    <n v="16"/>
    <n v="4"/>
    <s v="Marketing"/>
    <n v="1"/>
    <n v="1761"/>
    <n v="1"/>
    <x v="1"/>
    <n v="70"/>
    <n v="3"/>
    <x v="2"/>
    <x v="0"/>
    <x v="2"/>
    <s v="Married"/>
    <n v="8161"/>
    <n v="19002"/>
    <n v="2"/>
    <s v="Y"/>
    <s v="No"/>
    <n v="13"/>
    <n v="3"/>
    <n v="1"/>
    <n v="80"/>
    <n v="3"/>
    <n v="10"/>
    <n v="2"/>
    <n v="3"/>
    <x v="6"/>
    <n v="0"/>
    <n v="0"/>
    <n v="0"/>
    <x v="0"/>
    <n v="1"/>
    <n v="146898"/>
    <x v="4"/>
    <n v="1"/>
    <m/>
    <m/>
  </r>
  <r>
    <n v="29"/>
    <x v="1"/>
    <s v="Travel_Rarely"/>
    <n v="590"/>
    <s v="Research &amp; Development"/>
    <n v="4"/>
    <n v="3"/>
    <s v="Technical Degree"/>
    <n v="1"/>
    <n v="1762"/>
    <n v="4"/>
    <x v="0"/>
    <n v="91"/>
    <n v="2"/>
    <x v="1"/>
    <x v="1"/>
    <x v="3"/>
    <s v="Divorced"/>
    <n v="2109"/>
    <n v="10007"/>
    <n v="1"/>
    <s v="Y"/>
    <s v="No"/>
    <n v="13"/>
    <n v="3"/>
    <n v="3"/>
    <n v="80"/>
    <n v="1"/>
    <n v="1"/>
    <n v="2"/>
    <n v="3"/>
    <x v="6"/>
    <n v="0"/>
    <n v="0"/>
    <n v="0"/>
    <x v="1"/>
    <n v="0"/>
    <n v="0"/>
    <x v="1"/>
    <n v="1"/>
    <m/>
    <m/>
  </r>
  <r>
    <n v="30"/>
    <x v="1"/>
    <s v="Travel_Rarely"/>
    <n v="305"/>
    <s v="Research &amp; Development"/>
    <n v="16"/>
    <n v="3"/>
    <s v="Life Sciences"/>
    <n v="1"/>
    <n v="1763"/>
    <n v="3"/>
    <x v="1"/>
    <n v="58"/>
    <n v="4"/>
    <x v="0"/>
    <x v="4"/>
    <x v="2"/>
    <s v="Married"/>
    <n v="5294"/>
    <n v="9128"/>
    <n v="3"/>
    <s v="Y"/>
    <s v="No"/>
    <n v="16"/>
    <n v="3"/>
    <n v="3"/>
    <n v="80"/>
    <n v="1"/>
    <n v="10"/>
    <n v="3"/>
    <n v="3"/>
    <x v="5"/>
    <n v="0"/>
    <n v="1"/>
    <n v="7"/>
    <x v="3"/>
    <n v="0"/>
    <n v="0"/>
    <x v="0"/>
    <n v="1"/>
    <m/>
    <m/>
  </r>
  <r>
    <n v="32"/>
    <x v="1"/>
    <s v="Non-Travel"/>
    <n v="953"/>
    <s v="Research &amp; Development"/>
    <n v="5"/>
    <n v="4"/>
    <s v="Technical Degree"/>
    <n v="1"/>
    <n v="1764"/>
    <n v="2"/>
    <x v="1"/>
    <n v="65"/>
    <n v="3"/>
    <x v="1"/>
    <x v="1"/>
    <x v="1"/>
    <s v="Single"/>
    <n v="2718"/>
    <n v="17674"/>
    <n v="2"/>
    <s v="Y"/>
    <s v="No"/>
    <n v="14"/>
    <n v="3"/>
    <n v="2"/>
    <n v="80"/>
    <n v="0"/>
    <n v="12"/>
    <n v="3"/>
    <n v="3"/>
    <x v="5"/>
    <n v="7"/>
    <n v="0"/>
    <n v="7"/>
    <x v="1"/>
    <n v="0"/>
    <n v="0"/>
    <x v="1"/>
    <n v="1"/>
    <m/>
    <m/>
  </r>
  <r>
    <n v="38"/>
    <x v="1"/>
    <s v="Travel_Rarely"/>
    <n v="833"/>
    <s v="Research &amp; Development"/>
    <n v="18"/>
    <n v="3"/>
    <s v="Medical"/>
    <n v="1"/>
    <n v="1766"/>
    <n v="2"/>
    <x v="1"/>
    <n v="60"/>
    <n v="1"/>
    <x v="0"/>
    <x v="4"/>
    <x v="0"/>
    <s v="Married"/>
    <n v="5811"/>
    <n v="24539"/>
    <n v="3"/>
    <s v="Y"/>
    <s v="Yes"/>
    <n v="16"/>
    <n v="3"/>
    <n v="3"/>
    <n v="80"/>
    <n v="1"/>
    <n v="15"/>
    <n v="2"/>
    <n v="3"/>
    <x v="6"/>
    <n v="0"/>
    <n v="1"/>
    <n v="0"/>
    <x v="3"/>
    <n v="0"/>
    <n v="0"/>
    <x v="0"/>
    <n v="1"/>
    <m/>
    <m/>
  </r>
  <r>
    <n v="43"/>
    <x v="0"/>
    <s v="Travel_Frequently"/>
    <n v="807"/>
    <s v="Research &amp; Development"/>
    <n v="17"/>
    <n v="3"/>
    <s v="Technical Degree"/>
    <n v="1"/>
    <n v="1767"/>
    <n v="3"/>
    <x v="1"/>
    <n v="38"/>
    <n v="2"/>
    <x v="1"/>
    <x v="1"/>
    <x v="2"/>
    <s v="Married"/>
    <n v="2437"/>
    <n v="15587"/>
    <n v="9"/>
    <s v="Y"/>
    <s v="Yes"/>
    <n v="16"/>
    <n v="3"/>
    <n v="4"/>
    <n v="80"/>
    <n v="1"/>
    <n v="6"/>
    <n v="4"/>
    <n v="3"/>
    <x v="6"/>
    <n v="0"/>
    <n v="0"/>
    <n v="0"/>
    <x v="1"/>
    <n v="1"/>
    <n v="43866"/>
    <x v="1"/>
    <n v="1"/>
    <m/>
    <m/>
  </r>
  <r>
    <n v="42"/>
    <x v="1"/>
    <s v="Travel_Rarely"/>
    <n v="855"/>
    <s v="Research &amp; Development"/>
    <n v="12"/>
    <n v="3"/>
    <s v="Medical"/>
    <n v="1"/>
    <n v="1768"/>
    <n v="2"/>
    <x v="1"/>
    <n v="57"/>
    <n v="3"/>
    <x v="1"/>
    <x v="2"/>
    <x v="1"/>
    <s v="Divorced"/>
    <n v="2766"/>
    <n v="8952"/>
    <n v="8"/>
    <s v="Y"/>
    <s v="No"/>
    <n v="22"/>
    <n v="4"/>
    <n v="2"/>
    <n v="80"/>
    <n v="3"/>
    <n v="7"/>
    <n v="6"/>
    <n v="2"/>
    <x v="8"/>
    <n v="3"/>
    <n v="0"/>
    <n v="4"/>
    <x v="1"/>
    <n v="0"/>
    <n v="0"/>
    <x v="1"/>
    <n v="1"/>
    <m/>
    <m/>
  </r>
  <r>
    <n v="55"/>
    <x v="1"/>
    <s v="Travel_Rarely"/>
    <n v="478"/>
    <s v="Research &amp; Development"/>
    <n v="2"/>
    <n v="3"/>
    <s v="Medical"/>
    <n v="1"/>
    <n v="1770"/>
    <n v="3"/>
    <x v="1"/>
    <n v="60"/>
    <n v="2"/>
    <x v="4"/>
    <x v="7"/>
    <x v="3"/>
    <s v="Married"/>
    <n v="19038"/>
    <n v="19805"/>
    <n v="8"/>
    <s v="Y"/>
    <s v="No"/>
    <n v="12"/>
    <n v="3"/>
    <n v="2"/>
    <n v="80"/>
    <n v="3"/>
    <n v="34"/>
    <n v="2"/>
    <n v="3"/>
    <x v="6"/>
    <n v="0"/>
    <n v="0"/>
    <n v="0"/>
    <x v="1"/>
    <n v="0"/>
    <n v="0"/>
    <x v="3"/>
    <n v="1"/>
    <m/>
    <m/>
  </r>
  <r>
    <n v="33"/>
    <x v="1"/>
    <s v="Non-Travel"/>
    <n v="775"/>
    <s v="Research &amp; Development"/>
    <n v="4"/>
    <n v="3"/>
    <s v="Technical Degree"/>
    <n v="1"/>
    <n v="1771"/>
    <n v="4"/>
    <x v="1"/>
    <n v="90"/>
    <n v="3"/>
    <x v="0"/>
    <x v="1"/>
    <x v="1"/>
    <s v="Divorced"/>
    <n v="3055"/>
    <n v="6194"/>
    <n v="5"/>
    <s v="Y"/>
    <s v="No"/>
    <n v="15"/>
    <n v="3"/>
    <n v="4"/>
    <n v="80"/>
    <n v="2"/>
    <n v="11"/>
    <n v="2"/>
    <n v="2"/>
    <x v="7"/>
    <n v="8"/>
    <n v="1"/>
    <n v="7"/>
    <x v="1"/>
    <n v="0"/>
    <n v="0"/>
    <x v="0"/>
    <n v="1"/>
    <m/>
    <m/>
  </r>
  <r>
    <n v="41"/>
    <x v="1"/>
    <s v="Travel_Rarely"/>
    <n v="548"/>
    <s v="Research &amp; Development"/>
    <n v="9"/>
    <n v="4"/>
    <s v="Life Sciences"/>
    <n v="1"/>
    <n v="1772"/>
    <n v="3"/>
    <x v="1"/>
    <n v="94"/>
    <n v="3"/>
    <x v="1"/>
    <x v="2"/>
    <x v="3"/>
    <s v="Divorced"/>
    <n v="2289"/>
    <n v="20520"/>
    <n v="1"/>
    <s v="Y"/>
    <s v="No"/>
    <n v="20"/>
    <n v="4"/>
    <n v="2"/>
    <n v="80"/>
    <n v="2"/>
    <n v="5"/>
    <n v="2"/>
    <n v="3"/>
    <x v="8"/>
    <n v="3"/>
    <n v="0"/>
    <n v="4"/>
    <x v="1"/>
    <n v="0"/>
    <n v="0"/>
    <x v="1"/>
    <n v="1"/>
    <m/>
    <m/>
  </r>
  <r>
    <n v="34"/>
    <x v="1"/>
    <s v="Non-Travel"/>
    <n v="1375"/>
    <s v="Sales"/>
    <n v="10"/>
    <n v="3"/>
    <s v="Life Sciences"/>
    <n v="1"/>
    <n v="1774"/>
    <n v="4"/>
    <x v="1"/>
    <n v="87"/>
    <n v="3"/>
    <x v="0"/>
    <x v="0"/>
    <x v="2"/>
    <s v="Divorced"/>
    <n v="4001"/>
    <n v="12313"/>
    <n v="1"/>
    <s v="Y"/>
    <s v="Yes"/>
    <n v="14"/>
    <n v="3"/>
    <n v="3"/>
    <n v="80"/>
    <n v="1"/>
    <n v="15"/>
    <n v="3"/>
    <n v="3"/>
    <x v="15"/>
    <n v="14"/>
    <n v="0"/>
    <n v="7"/>
    <x v="0"/>
    <n v="0"/>
    <n v="0"/>
    <x v="0"/>
    <n v="1"/>
    <m/>
    <m/>
  </r>
  <r>
    <n v="53"/>
    <x v="1"/>
    <s v="Non-Travel"/>
    <n v="661"/>
    <s v="Research &amp; Development"/>
    <n v="1"/>
    <n v="4"/>
    <s v="Medical"/>
    <n v="1"/>
    <n v="1775"/>
    <n v="1"/>
    <x v="0"/>
    <n v="60"/>
    <n v="2"/>
    <x v="3"/>
    <x v="3"/>
    <x v="2"/>
    <s v="Married"/>
    <n v="12965"/>
    <n v="22308"/>
    <n v="4"/>
    <s v="Y"/>
    <s v="Yes"/>
    <n v="20"/>
    <n v="4"/>
    <n v="4"/>
    <n v="80"/>
    <n v="3"/>
    <n v="27"/>
    <n v="2"/>
    <n v="2"/>
    <x v="11"/>
    <n v="2"/>
    <n v="0"/>
    <n v="2"/>
    <x v="2"/>
    <n v="0"/>
    <n v="0"/>
    <x v="3"/>
    <n v="1"/>
    <m/>
    <m/>
  </r>
  <r>
    <n v="43"/>
    <x v="1"/>
    <s v="Travel_Rarely"/>
    <n v="244"/>
    <s v="Human Resources"/>
    <n v="2"/>
    <n v="3"/>
    <s v="Life Sciences"/>
    <n v="1"/>
    <n v="1778"/>
    <n v="2"/>
    <x v="1"/>
    <n v="97"/>
    <n v="3"/>
    <x v="1"/>
    <x v="8"/>
    <x v="0"/>
    <s v="Single"/>
    <n v="3539"/>
    <n v="5033"/>
    <n v="0"/>
    <s v="Y"/>
    <s v="No"/>
    <n v="13"/>
    <n v="3"/>
    <n v="2"/>
    <n v="80"/>
    <n v="0"/>
    <n v="10"/>
    <n v="5"/>
    <n v="3"/>
    <x v="7"/>
    <n v="7"/>
    <n v="1"/>
    <n v="8"/>
    <x v="5"/>
    <n v="0"/>
    <n v="0"/>
    <x v="0"/>
    <n v="1"/>
    <m/>
    <m/>
  </r>
  <r>
    <n v="34"/>
    <x v="1"/>
    <s v="Travel_Rarely"/>
    <n v="511"/>
    <s v="Sales"/>
    <n v="3"/>
    <n v="2"/>
    <s v="Life Sciences"/>
    <n v="1"/>
    <n v="1779"/>
    <n v="4"/>
    <x v="0"/>
    <n v="32"/>
    <n v="1"/>
    <x v="0"/>
    <x v="0"/>
    <x v="0"/>
    <s v="Single"/>
    <n v="6029"/>
    <n v="25353"/>
    <n v="5"/>
    <s v="Y"/>
    <s v="No"/>
    <n v="12"/>
    <n v="3"/>
    <n v="1"/>
    <n v="80"/>
    <n v="0"/>
    <n v="6"/>
    <n v="3"/>
    <n v="3"/>
    <x v="4"/>
    <n v="2"/>
    <n v="2"/>
    <n v="2"/>
    <x v="0"/>
    <n v="0"/>
    <n v="0"/>
    <x v="4"/>
    <n v="1"/>
    <m/>
    <m/>
  </r>
  <r>
    <n v="21"/>
    <x v="0"/>
    <s v="Travel_Rarely"/>
    <n v="337"/>
    <s v="Sales"/>
    <n v="7"/>
    <n v="1"/>
    <s v="Marketing"/>
    <n v="1"/>
    <n v="1780"/>
    <n v="2"/>
    <x v="1"/>
    <n v="31"/>
    <n v="3"/>
    <x v="1"/>
    <x v="6"/>
    <x v="1"/>
    <s v="Single"/>
    <n v="2679"/>
    <n v="4567"/>
    <n v="1"/>
    <s v="Y"/>
    <s v="No"/>
    <n v="13"/>
    <n v="3"/>
    <n v="2"/>
    <n v="80"/>
    <n v="0"/>
    <n v="1"/>
    <n v="3"/>
    <n v="3"/>
    <x v="6"/>
    <n v="0"/>
    <n v="1"/>
    <n v="0"/>
    <x v="0"/>
    <n v="1"/>
    <n v="48222"/>
    <x v="1"/>
    <n v="1"/>
    <m/>
    <m/>
  </r>
  <r>
    <n v="38"/>
    <x v="1"/>
    <s v="Travel_Rarely"/>
    <n v="1153"/>
    <s v="Research &amp; Development"/>
    <n v="6"/>
    <n v="2"/>
    <s v="Other"/>
    <n v="1"/>
    <n v="1782"/>
    <n v="4"/>
    <x v="0"/>
    <n v="40"/>
    <n v="2"/>
    <x v="1"/>
    <x v="2"/>
    <x v="2"/>
    <s v="Married"/>
    <n v="3702"/>
    <n v="16376"/>
    <n v="1"/>
    <s v="Y"/>
    <s v="No"/>
    <n v="11"/>
    <n v="3"/>
    <n v="2"/>
    <n v="80"/>
    <n v="1"/>
    <n v="5"/>
    <n v="3"/>
    <n v="3"/>
    <x v="8"/>
    <n v="4"/>
    <n v="0"/>
    <n v="4"/>
    <x v="1"/>
    <n v="0"/>
    <n v="0"/>
    <x v="0"/>
    <n v="1"/>
    <m/>
    <m/>
  </r>
  <r>
    <n v="22"/>
    <x v="0"/>
    <s v="Travel_Rarely"/>
    <n v="1294"/>
    <s v="Research &amp; Development"/>
    <n v="8"/>
    <n v="1"/>
    <s v="Medical"/>
    <n v="1"/>
    <n v="1783"/>
    <n v="3"/>
    <x v="0"/>
    <n v="79"/>
    <n v="3"/>
    <x v="1"/>
    <x v="2"/>
    <x v="3"/>
    <s v="Married"/>
    <n v="2398"/>
    <n v="15999"/>
    <n v="1"/>
    <s v="Y"/>
    <s v="Yes"/>
    <n v="17"/>
    <n v="3"/>
    <n v="3"/>
    <n v="80"/>
    <n v="0"/>
    <n v="1"/>
    <n v="6"/>
    <n v="3"/>
    <x v="6"/>
    <n v="0"/>
    <n v="0"/>
    <n v="0"/>
    <x v="1"/>
    <n v="1"/>
    <n v="43164"/>
    <x v="1"/>
    <n v="1"/>
    <m/>
    <m/>
  </r>
  <r>
    <n v="31"/>
    <x v="1"/>
    <s v="Travel_Rarely"/>
    <n v="196"/>
    <s v="Sales"/>
    <n v="29"/>
    <n v="4"/>
    <s v="Marketing"/>
    <n v="1"/>
    <n v="1784"/>
    <n v="1"/>
    <x v="0"/>
    <n v="91"/>
    <n v="2"/>
    <x v="0"/>
    <x v="0"/>
    <x v="0"/>
    <s v="Married"/>
    <n v="5468"/>
    <n v="13402"/>
    <n v="1"/>
    <s v="Y"/>
    <s v="No"/>
    <n v="14"/>
    <n v="3"/>
    <n v="1"/>
    <n v="80"/>
    <n v="2"/>
    <n v="13"/>
    <n v="3"/>
    <n v="3"/>
    <x v="12"/>
    <n v="7"/>
    <n v="5"/>
    <n v="7"/>
    <x v="0"/>
    <n v="0"/>
    <n v="0"/>
    <x v="0"/>
    <n v="1"/>
    <m/>
    <m/>
  </r>
  <r>
    <n v="51"/>
    <x v="1"/>
    <s v="Travel_Rarely"/>
    <n v="942"/>
    <s v="Research &amp; Development"/>
    <n v="3"/>
    <n v="3"/>
    <s v="Technical Degree"/>
    <n v="1"/>
    <n v="1786"/>
    <n v="1"/>
    <x v="0"/>
    <n v="53"/>
    <n v="3"/>
    <x v="2"/>
    <x v="5"/>
    <x v="2"/>
    <s v="Married"/>
    <n v="13116"/>
    <n v="22984"/>
    <n v="2"/>
    <s v="Y"/>
    <s v="No"/>
    <n v="11"/>
    <n v="3"/>
    <n v="4"/>
    <n v="80"/>
    <n v="0"/>
    <n v="15"/>
    <n v="2"/>
    <n v="3"/>
    <x v="4"/>
    <n v="2"/>
    <n v="2"/>
    <n v="2"/>
    <x v="4"/>
    <n v="0"/>
    <n v="0"/>
    <x v="3"/>
    <n v="1"/>
    <m/>
    <m/>
  </r>
  <r>
    <n v="37"/>
    <x v="1"/>
    <s v="Travel_Rarely"/>
    <n v="589"/>
    <s v="Sales"/>
    <n v="9"/>
    <n v="2"/>
    <s v="Marketing"/>
    <n v="1"/>
    <n v="1787"/>
    <n v="2"/>
    <x v="1"/>
    <n v="46"/>
    <n v="2"/>
    <x v="0"/>
    <x v="0"/>
    <x v="1"/>
    <s v="Married"/>
    <n v="4189"/>
    <n v="8800"/>
    <n v="1"/>
    <s v="Y"/>
    <s v="No"/>
    <n v="14"/>
    <n v="3"/>
    <n v="1"/>
    <n v="80"/>
    <n v="2"/>
    <n v="5"/>
    <n v="2"/>
    <n v="3"/>
    <x v="8"/>
    <n v="2"/>
    <n v="0"/>
    <n v="3"/>
    <x v="0"/>
    <n v="0"/>
    <n v="0"/>
    <x v="0"/>
    <n v="1"/>
    <m/>
    <m/>
  </r>
  <r>
    <n v="46"/>
    <x v="1"/>
    <s v="Travel_Rarely"/>
    <n v="734"/>
    <s v="Research &amp; Development"/>
    <n v="2"/>
    <n v="4"/>
    <s v="Medical"/>
    <n v="1"/>
    <n v="1789"/>
    <n v="3"/>
    <x v="1"/>
    <n v="46"/>
    <n v="3"/>
    <x v="4"/>
    <x v="7"/>
    <x v="0"/>
    <s v="Divorced"/>
    <n v="19328"/>
    <n v="14218"/>
    <n v="7"/>
    <s v="Y"/>
    <s v="Yes"/>
    <n v="17"/>
    <n v="3"/>
    <n v="3"/>
    <n v="80"/>
    <n v="1"/>
    <n v="24"/>
    <n v="3"/>
    <n v="3"/>
    <x v="4"/>
    <n v="1"/>
    <n v="2"/>
    <n v="2"/>
    <x v="1"/>
    <n v="0"/>
    <n v="0"/>
    <x v="3"/>
    <n v="1"/>
    <m/>
    <m/>
  </r>
  <r>
    <n v="36"/>
    <x v="1"/>
    <s v="Travel_Rarely"/>
    <n v="1383"/>
    <s v="Research &amp; Development"/>
    <n v="10"/>
    <n v="3"/>
    <s v="Life Sciences"/>
    <n v="1"/>
    <n v="1790"/>
    <n v="4"/>
    <x v="1"/>
    <n v="90"/>
    <n v="3"/>
    <x v="2"/>
    <x v="4"/>
    <x v="3"/>
    <s v="Married"/>
    <n v="8321"/>
    <n v="25949"/>
    <n v="7"/>
    <s v="Y"/>
    <s v="Yes"/>
    <n v="13"/>
    <n v="3"/>
    <n v="4"/>
    <n v="80"/>
    <n v="1"/>
    <n v="15"/>
    <n v="1"/>
    <n v="3"/>
    <x v="12"/>
    <n v="8"/>
    <n v="5"/>
    <n v="7"/>
    <x v="3"/>
    <n v="0"/>
    <n v="0"/>
    <x v="4"/>
    <n v="1"/>
    <m/>
    <m/>
  </r>
  <r>
    <n v="44"/>
    <x v="0"/>
    <s v="Travel_Frequently"/>
    <n v="429"/>
    <s v="Research &amp; Development"/>
    <n v="1"/>
    <n v="2"/>
    <s v="Medical"/>
    <n v="1"/>
    <n v="1792"/>
    <n v="3"/>
    <x v="1"/>
    <n v="99"/>
    <n v="3"/>
    <x v="1"/>
    <x v="1"/>
    <x v="1"/>
    <s v="Divorced"/>
    <n v="2342"/>
    <n v="11092"/>
    <n v="1"/>
    <s v="Y"/>
    <s v="Yes"/>
    <n v="12"/>
    <n v="3"/>
    <n v="3"/>
    <n v="80"/>
    <n v="3"/>
    <n v="6"/>
    <n v="2"/>
    <n v="2"/>
    <x v="8"/>
    <n v="3"/>
    <n v="2"/>
    <n v="3"/>
    <x v="1"/>
    <n v="1"/>
    <n v="42156"/>
    <x v="1"/>
    <n v="1"/>
    <m/>
    <m/>
  </r>
  <r>
    <n v="37"/>
    <x v="1"/>
    <s v="Travel_Rarely"/>
    <n v="1239"/>
    <s v="Human Resources"/>
    <n v="8"/>
    <n v="2"/>
    <s v="Other"/>
    <n v="1"/>
    <n v="1794"/>
    <n v="3"/>
    <x v="1"/>
    <n v="89"/>
    <n v="3"/>
    <x v="0"/>
    <x v="8"/>
    <x v="1"/>
    <s v="Divorced"/>
    <n v="4071"/>
    <n v="12832"/>
    <n v="2"/>
    <s v="Y"/>
    <s v="No"/>
    <n v="13"/>
    <n v="3"/>
    <n v="3"/>
    <n v="80"/>
    <n v="0"/>
    <n v="19"/>
    <n v="4"/>
    <n v="2"/>
    <x v="1"/>
    <n v="0"/>
    <n v="4"/>
    <n v="7"/>
    <x v="5"/>
    <n v="0"/>
    <n v="0"/>
    <x v="0"/>
    <n v="1"/>
    <m/>
    <m/>
  </r>
  <r>
    <n v="35"/>
    <x v="0"/>
    <s v="Travel_Rarely"/>
    <n v="303"/>
    <s v="Sales"/>
    <n v="27"/>
    <n v="3"/>
    <s v="Life Sciences"/>
    <n v="1"/>
    <n v="1797"/>
    <n v="3"/>
    <x v="1"/>
    <n v="84"/>
    <n v="3"/>
    <x v="0"/>
    <x v="0"/>
    <x v="0"/>
    <s v="Single"/>
    <n v="5813"/>
    <n v="13492"/>
    <n v="1"/>
    <s v="Y"/>
    <s v="Yes"/>
    <n v="18"/>
    <n v="3"/>
    <n v="4"/>
    <n v="80"/>
    <n v="0"/>
    <n v="10"/>
    <n v="2"/>
    <n v="3"/>
    <x v="1"/>
    <n v="7"/>
    <n v="7"/>
    <n v="7"/>
    <x v="0"/>
    <n v="1"/>
    <n v="104634"/>
    <x v="0"/>
    <n v="1"/>
    <m/>
    <m/>
  </r>
  <r>
    <n v="33"/>
    <x v="1"/>
    <s v="Travel_Rarely"/>
    <n v="867"/>
    <s v="Research &amp; Development"/>
    <n v="8"/>
    <n v="4"/>
    <s v="Life Sciences"/>
    <n v="1"/>
    <n v="1798"/>
    <n v="4"/>
    <x v="1"/>
    <n v="90"/>
    <n v="4"/>
    <x v="1"/>
    <x v="1"/>
    <x v="3"/>
    <s v="Married"/>
    <n v="3143"/>
    <n v="6076"/>
    <n v="6"/>
    <s v="Y"/>
    <s v="No"/>
    <n v="19"/>
    <n v="3"/>
    <n v="2"/>
    <n v="80"/>
    <n v="1"/>
    <n v="14"/>
    <n v="1"/>
    <n v="3"/>
    <x v="1"/>
    <n v="8"/>
    <n v="7"/>
    <n v="6"/>
    <x v="1"/>
    <n v="0"/>
    <n v="0"/>
    <x v="0"/>
    <n v="1"/>
    <m/>
    <m/>
  </r>
  <r>
    <n v="28"/>
    <x v="1"/>
    <s v="Travel_Rarely"/>
    <n v="1181"/>
    <s v="Research &amp; Development"/>
    <n v="1"/>
    <n v="3"/>
    <s v="Life Sciences"/>
    <n v="1"/>
    <n v="1799"/>
    <n v="3"/>
    <x v="1"/>
    <n v="82"/>
    <n v="3"/>
    <x v="1"/>
    <x v="1"/>
    <x v="0"/>
    <s v="Married"/>
    <n v="2044"/>
    <n v="5531"/>
    <n v="1"/>
    <s v="Y"/>
    <s v="No"/>
    <n v="11"/>
    <n v="3"/>
    <n v="3"/>
    <n v="80"/>
    <n v="1"/>
    <n v="5"/>
    <n v="6"/>
    <n v="4"/>
    <x v="8"/>
    <n v="3"/>
    <n v="0"/>
    <n v="3"/>
    <x v="1"/>
    <n v="0"/>
    <n v="0"/>
    <x v="1"/>
    <n v="1"/>
    <m/>
    <m/>
  </r>
  <r>
    <n v="39"/>
    <x v="1"/>
    <s v="Travel_Rarely"/>
    <n v="1253"/>
    <s v="Research &amp; Development"/>
    <n v="10"/>
    <n v="1"/>
    <s v="Medical"/>
    <n v="1"/>
    <n v="1800"/>
    <n v="3"/>
    <x v="1"/>
    <n v="65"/>
    <n v="3"/>
    <x v="2"/>
    <x v="7"/>
    <x v="2"/>
    <s v="Single"/>
    <n v="13464"/>
    <n v="7914"/>
    <n v="7"/>
    <s v="Y"/>
    <s v="No"/>
    <n v="21"/>
    <n v="4"/>
    <n v="3"/>
    <n v="80"/>
    <n v="0"/>
    <n v="9"/>
    <n v="3"/>
    <n v="3"/>
    <x v="9"/>
    <n v="3"/>
    <n v="2"/>
    <n v="2"/>
    <x v="1"/>
    <n v="0"/>
    <n v="0"/>
    <x v="3"/>
    <n v="1"/>
    <m/>
    <m/>
  </r>
  <r>
    <n v="46"/>
    <x v="1"/>
    <s v="Non-Travel"/>
    <n v="849"/>
    <s v="Sales"/>
    <n v="26"/>
    <n v="2"/>
    <s v="Life Sciences"/>
    <n v="1"/>
    <n v="1801"/>
    <n v="2"/>
    <x v="1"/>
    <n v="98"/>
    <n v="2"/>
    <x v="0"/>
    <x v="0"/>
    <x v="1"/>
    <s v="Single"/>
    <n v="7991"/>
    <n v="25166"/>
    <n v="8"/>
    <s v="Y"/>
    <s v="No"/>
    <n v="15"/>
    <n v="3"/>
    <n v="3"/>
    <n v="80"/>
    <n v="0"/>
    <n v="6"/>
    <n v="3"/>
    <n v="3"/>
    <x v="4"/>
    <n v="2"/>
    <n v="2"/>
    <n v="2"/>
    <x v="0"/>
    <n v="0"/>
    <n v="0"/>
    <x v="4"/>
    <n v="1"/>
    <m/>
    <m/>
  </r>
  <r>
    <n v="40"/>
    <x v="1"/>
    <s v="Travel_Rarely"/>
    <n v="616"/>
    <s v="Research &amp; Development"/>
    <n v="2"/>
    <n v="2"/>
    <s v="Life Sciences"/>
    <n v="1"/>
    <n v="1802"/>
    <n v="3"/>
    <x v="0"/>
    <n v="99"/>
    <n v="3"/>
    <x v="1"/>
    <x v="2"/>
    <x v="3"/>
    <s v="Married"/>
    <n v="3377"/>
    <n v="25605"/>
    <n v="4"/>
    <s v="Y"/>
    <s v="No"/>
    <n v="17"/>
    <n v="3"/>
    <n v="4"/>
    <n v="80"/>
    <n v="1"/>
    <n v="7"/>
    <n v="5"/>
    <n v="2"/>
    <x v="9"/>
    <n v="3"/>
    <n v="0"/>
    <n v="2"/>
    <x v="1"/>
    <n v="0"/>
    <n v="0"/>
    <x v="0"/>
    <n v="1"/>
    <m/>
    <m/>
  </r>
  <r>
    <n v="42"/>
    <x v="1"/>
    <s v="Travel_Rarely"/>
    <n v="1128"/>
    <s v="Research &amp; Development"/>
    <n v="13"/>
    <n v="3"/>
    <s v="Medical"/>
    <n v="1"/>
    <n v="1803"/>
    <n v="2"/>
    <x v="1"/>
    <n v="95"/>
    <n v="4"/>
    <x v="0"/>
    <x v="4"/>
    <x v="3"/>
    <s v="Married"/>
    <n v="5538"/>
    <n v="5696"/>
    <n v="5"/>
    <s v="Y"/>
    <s v="No"/>
    <n v="18"/>
    <n v="3"/>
    <n v="3"/>
    <n v="80"/>
    <n v="2"/>
    <n v="10"/>
    <n v="2"/>
    <n v="2"/>
    <x v="2"/>
    <n v="0"/>
    <n v="0"/>
    <n v="0"/>
    <x v="3"/>
    <n v="0"/>
    <n v="0"/>
    <x v="0"/>
    <n v="1"/>
    <m/>
    <m/>
  </r>
  <r>
    <n v="35"/>
    <x v="1"/>
    <s v="Non-Travel"/>
    <n v="1180"/>
    <s v="Research &amp; Development"/>
    <n v="2"/>
    <n v="2"/>
    <s v="Medical"/>
    <n v="1"/>
    <n v="1804"/>
    <n v="2"/>
    <x v="1"/>
    <n v="90"/>
    <n v="3"/>
    <x v="0"/>
    <x v="3"/>
    <x v="0"/>
    <s v="Divorced"/>
    <n v="5762"/>
    <n v="24442"/>
    <n v="2"/>
    <s v="Y"/>
    <s v="No"/>
    <n v="14"/>
    <n v="3"/>
    <n v="3"/>
    <n v="80"/>
    <n v="1"/>
    <n v="15"/>
    <n v="6"/>
    <n v="3"/>
    <x v="5"/>
    <n v="7"/>
    <n v="1"/>
    <n v="7"/>
    <x v="2"/>
    <n v="0"/>
    <n v="0"/>
    <x v="0"/>
    <n v="1"/>
    <m/>
    <m/>
  </r>
  <r>
    <n v="38"/>
    <x v="1"/>
    <s v="Non-Travel"/>
    <n v="1336"/>
    <s v="Human Resources"/>
    <n v="2"/>
    <n v="3"/>
    <s v="Human Resources"/>
    <n v="1"/>
    <n v="1805"/>
    <n v="1"/>
    <x v="1"/>
    <n v="100"/>
    <n v="3"/>
    <x v="1"/>
    <x v="8"/>
    <x v="1"/>
    <s v="Divorced"/>
    <n v="2592"/>
    <n v="7129"/>
    <n v="5"/>
    <s v="Y"/>
    <s v="No"/>
    <n v="13"/>
    <n v="3"/>
    <n v="4"/>
    <n v="80"/>
    <n v="3"/>
    <n v="13"/>
    <n v="3"/>
    <n v="3"/>
    <x v="19"/>
    <n v="10"/>
    <n v="3"/>
    <n v="8"/>
    <x v="5"/>
    <n v="0"/>
    <n v="0"/>
    <x v="1"/>
    <n v="1"/>
    <m/>
    <m/>
  </r>
  <r>
    <n v="34"/>
    <x v="0"/>
    <s v="Travel_Frequently"/>
    <n v="234"/>
    <s v="Research &amp; Development"/>
    <n v="9"/>
    <n v="4"/>
    <s v="Life Sciences"/>
    <n v="1"/>
    <n v="1807"/>
    <n v="4"/>
    <x v="1"/>
    <n v="93"/>
    <n v="3"/>
    <x v="0"/>
    <x v="2"/>
    <x v="3"/>
    <s v="Married"/>
    <n v="5346"/>
    <n v="6208"/>
    <n v="4"/>
    <s v="Y"/>
    <s v="No"/>
    <n v="17"/>
    <n v="3"/>
    <n v="3"/>
    <n v="80"/>
    <n v="1"/>
    <n v="11"/>
    <n v="3"/>
    <n v="2"/>
    <x v="5"/>
    <n v="1"/>
    <n v="0"/>
    <n v="7"/>
    <x v="1"/>
    <n v="1"/>
    <n v="96228"/>
    <x v="0"/>
    <n v="1"/>
    <m/>
    <m/>
  </r>
  <r>
    <n v="37"/>
    <x v="0"/>
    <s v="Travel_Rarely"/>
    <n v="370"/>
    <s v="Research &amp; Development"/>
    <n v="10"/>
    <n v="4"/>
    <s v="Medical"/>
    <n v="1"/>
    <n v="1809"/>
    <n v="4"/>
    <x v="1"/>
    <n v="58"/>
    <n v="3"/>
    <x v="0"/>
    <x v="3"/>
    <x v="3"/>
    <s v="Single"/>
    <n v="4213"/>
    <n v="4992"/>
    <n v="1"/>
    <s v="Y"/>
    <s v="No"/>
    <n v="15"/>
    <n v="3"/>
    <n v="2"/>
    <n v="80"/>
    <n v="0"/>
    <n v="10"/>
    <n v="4"/>
    <n v="1"/>
    <x v="1"/>
    <n v="3"/>
    <n v="0"/>
    <n v="8"/>
    <x v="2"/>
    <n v="1"/>
    <n v="75834"/>
    <x v="0"/>
    <n v="1"/>
    <m/>
    <m/>
  </r>
  <r>
    <n v="39"/>
    <x v="1"/>
    <s v="Travel_Frequently"/>
    <n v="766"/>
    <s v="Sales"/>
    <n v="20"/>
    <n v="3"/>
    <s v="Life Sciences"/>
    <n v="1"/>
    <n v="1812"/>
    <n v="3"/>
    <x v="1"/>
    <n v="83"/>
    <n v="3"/>
    <x v="0"/>
    <x v="0"/>
    <x v="0"/>
    <s v="Divorced"/>
    <n v="4127"/>
    <n v="19188"/>
    <n v="2"/>
    <s v="Y"/>
    <s v="No"/>
    <n v="18"/>
    <n v="3"/>
    <n v="4"/>
    <n v="80"/>
    <n v="1"/>
    <n v="7"/>
    <n v="6"/>
    <n v="3"/>
    <x v="4"/>
    <n v="1"/>
    <n v="2"/>
    <n v="2"/>
    <x v="0"/>
    <n v="0"/>
    <n v="0"/>
    <x v="0"/>
    <n v="1"/>
    <m/>
    <m/>
  </r>
  <r>
    <n v="43"/>
    <x v="1"/>
    <s v="Non-Travel"/>
    <n v="343"/>
    <s v="Research &amp; Development"/>
    <n v="9"/>
    <n v="3"/>
    <s v="Life Sciences"/>
    <n v="1"/>
    <n v="1813"/>
    <n v="1"/>
    <x v="1"/>
    <n v="52"/>
    <n v="3"/>
    <x v="1"/>
    <x v="1"/>
    <x v="2"/>
    <s v="Single"/>
    <n v="2438"/>
    <n v="24978"/>
    <n v="4"/>
    <s v="Y"/>
    <s v="No"/>
    <n v="13"/>
    <n v="3"/>
    <n v="3"/>
    <n v="80"/>
    <n v="0"/>
    <n v="7"/>
    <n v="2"/>
    <n v="2"/>
    <x v="11"/>
    <n v="2"/>
    <n v="1"/>
    <n v="2"/>
    <x v="1"/>
    <n v="0"/>
    <n v="0"/>
    <x v="1"/>
    <n v="1"/>
    <m/>
    <m/>
  </r>
  <r>
    <n v="41"/>
    <x v="1"/>
    <s v="Travel_Rarely"/>
    <n v="447"/>
    <s v="Research &amp; Development"/>
    <n v="5"/>
    <n v="3"/>
    <s v="Life Sciences"/>
    <n v="1"/>
    <n v="1814"/>
    <n v="2"/>
    <x v="1"/>
    <n v="85"/>
    <n v="4"/>
    <x v="0"/>
    <x v="4"/>
    <x v="1"/>
    <s v="Single"/>
    <n v="6870"/>
    <n v="15530"/>
    <n v="3"/>
    <s v="Y"/>
    <s v="No"/>
    <n v="12"/>
    <n v="3"/>
    <n v="1"/>
    <n v="80"/>
    <n v="0"/>
    <n v="11"/>
    <n v="3"/>
    <n v="1"/>
    <x v="11"/>
    <n v="2"/>
    <n v="1"/>
    <n v="2"/>
    <x v="3"/>
    <n v="0"/>
    <n v="0"/>
    <x v="4"/>
    <n v="1"/>
    <m/>
    <m/>
  </r>
  <r>
    <n v="41"/>
    <x v="1"/>
    <s v="Travel_Rarely"/>
    <n v="796"/>
    <s v="Sales"/>
    <n v="4"/>
    <n v="1"/>
    <s v="Marketing"/>
    <n v="1"/>
    <n v="1815"/>
    <n v="3"/>
    <x v="0"/>
    <n v="81"/>
    <n v="3"/>
    <x v="2"/>
    <x v="0"/>
    <x v="2"/>
    <s v="Divorced"/>
    <n v="10447"/>
    <n v="26458"/>
    <n v="0"/>
    <s v="Y"/>
    <s v="Yes"/>
    <n v="13"/>
    <n v="3"/>
    <n v="4"/>
    <n v="80"/>
    <n v="1"/>
    <n v="23"/>
    <n v="3"/>
    <n v="4"/>
    <x v="14"/>
    <n v="14"/>
    <n v="13"/>
    <n v="5"/>
    <x v="0"/>
    <n v="0"/>
    <n v="0"/>
    <x v="2"/>
    <n v="1"/>
    <m/>
    <m/>
  </r>
  <r>
    <n v="30"/>
    <x v="1"/>
    <s v="Travel_Rarely"/>
    <n v="1092"/>
    <s v="Research &amp; Development"/>
    <n v="10"/>
    <n v="3"/>
    <s v="Medical"/>
    <n v="1"/>
    <n v="1816"/>
    <n v="1"/>
    <x v="0"/>
    <n v="64"/>
    <n v="3"/>
    <x v="2"/>
    <x v="3"/>
    <x v="2"/>
    <s v="Single"/>
    <n v="9667"/>
    <n v="2739"/>
    <n v="9"/>
    <s v="Y"/>
    <s v="No"/>
    <n v="14"/>
    <n v="3"/>
    <n v="2"/>
    <n v="80"/>
    <n v="0"/>
    <n v="9"/>
    <n v="3"/>
    <n v="3"/>
    <x v="5"/>
    <n v="7"/>
    <n v="0"/>
    <n v="2"/>
    <x v="2"/>
    <n v="0"/>
    <n v="0"/>
    <x v="2"/>
    <n v="1"/>
    <m/>
    <m/>
  </r>
  <r>
    <n v="26"/>
    <x v="0"/>
    <s v="Travel_Rarely"/>
    <n v="920"/>
    <s v="Human Resources"/>
    <n v="20"/>
    <n v="2"/>
    <s v="Medical"/>
    <n v="1"/>
    <n v="1818"/>
    <n v="4"/>
    <x v="0"/>
    <n v="69"/>
    <n v="3"/>
    <x v="1"/>
    <x v="8"/>
    <x v="1"/>
    <s v="Married"/>
    <n v="2148"/>
    <n v="6889"/>
    <n v="0"/>
    <s v="Y"/>
    <s v="Yes"/>
    <n v="11"/>
    <n v="3"/>
    <n v="3"/>
    <n v="80"/>
    <n v="0"/>
    <n v="6"/>
    <n v="3"/>
    <n v="3"/>
    <x v="8"/>
    <n v="1"/>
    <n v="1"/>
    <n v="4"/>
    <x v="5"/>
    <n v="1"/>
    <n v="38664"/>
    <x v="1"/>
    <n v="1"/>
    <m/>
    <m/>
  </r>
  <r>
    <n v="46"/>
    <x v="0"/>
    <s v="Travel_Rarely"/>
    <n v="261"/>
    <s v="Research &amp; Development"/>
    <n v="21"/>
    <n v="2"/>
    <s v="Medical"/>
    <n v="1"/>
    <n v="1821"/>
    <n v="4"/>
    <x v="0"/>
    <n v="66"/>
    <n v="3"/>
    <x v="0"/>
    <x v="4"/>
    <x v="1"/>
    <s v="Married"/>
    <n v="8926"/>
    <n v="10842"/>
    <n v="4"/>
    <s v="Y"/>
    <s v="No"/>
    <n v="22"/>
    <n v="4"/>
    <n v="4"/>
    <n v="80"/>
    <n v="1"/>
    <n v="13"/>
    <n v="2"/>
    <n v="4"/>
    <x v="7"/>
    <n v="7"/>
    <n v="3"/>
    <n v="7"/>
    <x v="3"/>
    <n v="1"/>
    <n v="160668"/>
    <x v="4"/>
    <n v="1"/>
    <m/>
    <m/>
  </r>
  <r>
    <n v="40"/>
    <x v="1"/>
    <s v="Travel_Rarely"/>
    <n v="1194"/>
    <s v="Research &amp; Development"/>
    <n v="1"/>
    <n v="3"/>
    <s v="Life Sciences"/>
    <n v="1"/>
    <n v="1822"/>
    <n v="3"/>
    <x v="0"/>
    <n v="52"/>
    <n v="3"/>
    <x v="0"/>
    <x v="4"/>
    <x v="0"/>
    <s v="Divorced"/>
    <n v="6513"/>
    <n v="9060"/>
    <n v="4"/>
    <s v="Y"/>
    <s v="No"/>
    <n v="17"/>
    <n v="3"/>
    <n v="4"/>
    <n v="80"/>
    <n v="1"/>
    <n v="12"/>
    <n v="3"/>
    <n v="3"/>
    <x v="8"/>
    <n v="3"/>
    <n v="0"/>
    <n v="3"/>
    <x v="3"/>
    <n v="0"/>
    <n v="0"/>
    <x v="4"/>
    <n v="1"/>
    <m/>
    <m/>
  </r>
  <r>
    <n v="34"/>
    <x v="1"/>
    <s v="Travel_Rarely"/>
    <n v="810"/>
    <s v="Sales"/>
    <n v="8"/>
    <n v="2"/>
    <s v="Technical Degree"/>
    <n v="1"/>
    <n v="1823"/>
    <n v="2"/>
    <x v="1"/>
    <n v="92"/>
    <n v="4"/>
    <x v="0"/>
    <x v="0"/>
    <x v="2"/>
    <s v="Married"/>
    <n v="6799"/>
    <n v="22128"/>
    <n v="1"/>
    <s v="Y"/>
    <s v="No"/>
    <n v="21"/>
    <n v="4"/>
    <n v="3"/>
    <n v="80"/>
    <n v="2"/>
    <n v="10"/>
    <n v="5"/>
    <n v="3"/>
    <x v="1"/>
    <n v="8"/>
    <n v="4"/>
    <n v="8"/>
    <x v="0"/>
    <n v="0"/>
    <n v="0"/>
    <x v="4"/>
    <n v="1"/>
    <m/>
    <m/>
  </r>
  <r>
    <n v="58"/>
    <x v="1"/>
    <s v="Non-Travel"/>
    <n v="350"/>
    <s v="Sales"/>
    <n v="2"/>
    <n v="3"/>
    <s v="Medical"/>
    <n v="1"/>
    <n v="1824"/>
    <n v="2"/>
    <x v="1"/>
    <n v="52"/>
    <n v="3"/>
    <x v="3"/>
    <x v="5"/>
    <x v="1"/>
    <s v="Divorced"/>
    <n v="16291"/>
    <n v="22577"/>
    <n v="4"/>
    <s v="Y"/>
    <s v="No"/>
    <n v="22"/>
    <n v="4"/>
    <n v="4"/>
    <n v="80"/>
    <n v="1"/>
    <n v="37"/>
    <n v="0"/>
    <n v="2"/>
    <x v="22"/>
    <n v="9"/>
    <n v="14"/>
    <n v="14"/>
    <x v="4"/>
    <n v="0"/>
    <n v="0"/>
    <x v="3"/>
    <n v="1"/>
    <m/>
    <m/>
  </r>
  <r>
    <n v="35"/>
    <x v="1"/>
    <s v="Travel_Rarely"/>
    <n v="185"/>
    <s v="Research &amp; Development"/>
    <n v="23"/>
    <n v="4"/>
    <s v="Medical"/>
    <n v="1"/>
    <n v="1826"/>
    <n v="2"/>
    <x v="1"/>
    <n v="91"/>
    <n v="1"/>
    <x v="1"/>
    <x v="2"/>
    <x v="2"/>
    <s v="Married"/>
    <n v="2705"/>
    <n v="9696"/>
    <n v="0"/>
    <s v="Y"/>
    <s v="No"/>
    <n v="16"/>
    <n v="3"/>
    <n v="2"/>
    <n v="80"/>
    <n v="1"/>
    <n v="6"/>
    <n v="2"/>
    <n v="4"/>
    <x v="8"/>
    <n v="4"/>
    <n v="0"/>
    <n v="3"/>
    <x v="1"/>
    <n v="0"/>
    <n v="0"/>
    <x v="1"/>
    <n v="1"/>
    <m/>
    <m/>
  </r>
  <r>
    <n v="47"/>
    <x v="1"/>
    <s v="Travel_Rarely"/>
    <n v="1001"/>
    <s v="Research &amp; Development"/>
    <n v="4"/>
    <n v="3"/>
    <s v="Life Sciences"/>
    <n v="1"/>
    <n v="1827"/>
    <n v="3"/>
    <x v="0"/>
    <n v="92"/>
    <n v="2"/>
    <x v="2"/>
    <x v="3"/>
    <x v="1"/>
    <s v="Divorced"/>
    <n v="10333"/>
    <n v="19271"/>
    <n v="8"/>
    <s v="Y"/>
    <s v="Yes"/>
    <n v="12"/>
    <n v="3"/>
    <n v="3"/>
    <n v="80"/>
    <n v="1"/>
    <n v="28"/>
    <n v="4"/>
    <n v="3"/>
    <x v="14"/>
    <n v="11"/>
    <n v="14"/>
    <n v="10"/>
    <x v="2"/>
    <n v="0"/>
    <n v="0"/>
    <x v="2"/>
    <n v="1"/>
    <m/>
    <m/>
  </r>
  <r>
    <n v="40"/>
    <x v="1"/>
    <s v="Travel_Rarely"/>
    <n v="750"/>
    <s v="Research &amp; Development"/>
    <n v="12"/>
    <n v="3"/>
    <s v="Life Sciences"/>
    <n v="1"/>
    <n v="1829"/>
    <n v="2"/>
    <x v="0"/>
    <n v="47"/>
    <n v="3"/>
    <x v="0"/>
    <x v="4"/>
    <x v="3"/>
    <s v="Divorced"/>
    <n v="4448"/>
    <n v="10748"/>
    <n v="2"/>
    <s v="Y"/>
    <s v="No"/>
    <n v="12"/>
    <n v="3"/>
    <n v="2"/>
    <n v="80"/>
    <n v="1"/>
    <n v="15"/>
    <n v="3"/>
    <n v="3"/>
    <x v="5"/>
    <n v="4"/>
    <n v="7"/>
    <n v="7"/>
    <x v="3"/>
    <n v="0"/>
    <n v="0"/>
    <x v="0"/>
    <n v="1"/>
    <m/>
    <m/>
  </r>
  <r>
    <n v="54"/>
    <x v="1"/>
    <s v="Travel_Rarely"/>
    <n v="431"/>
    <s v="Research &amp; Development"/>
    <n v="7"/>
    <n v="4"/>
    <s v="Medical"/>
    <n v="1"/>
    <n v="1830"/>
    <n v="4"/>
    <x v="0"/>
    <n v="68"/>
    <n v="3"/>
    <x v="0"/>
    <x v="1"/>
    <x v="0"/>
    <s v="Married"/>
    <n v="6854"/>
    <n v="15696"/>
    <n v="4"/>
    <s v="Y"/>
    <s v="No"/>
    <n v="15"/>
    <n v="3"/>
    <n v="2"/>
    <n v="80"/>
    <n v="1"/>
    <n v="14"/>
    <n v="2"/>
    <n v="2"/>
    <x v="5"/>
    <n v="1"/>
    <n v="1"/>
    <n v="7"/>
    <x v="1"/>
    <n v="0"/>
    <n v="0"/>
    <x v="4"/>
    <n v="1"/>
    <m/>
    <m/>
  </r>
  <r>
    <n v="31"/>
    <x v="1"/>
    <s v="Travel_Frequently"/>
    <n v="1125"/>
    <s v="Sales"/>
    <n v="7"/>
    <n v="4"/>
    <s v="Marketing"/>
    <n v="1"/>
    <n v="1833"/>
    <n v="1"/>
    <x v="0"/>
    <n v="68"/>
    <n v="3"/>
    <x v="2"/>
    <x v="0"/>
    <x v="3"/>
    <s v="Married"/>
    <n v="9637"/>
    <n v="8277"/>
    <n v="2"/>
    <s v="Y"/>
    <s v="No"/>
    <n v="14"/>
    <n v="3"/>
    <n v="4"/>
    <n v="80"/>
    <n v="2"/>
    <n v="9"/>
    <n v="3"/>
    <n v="3"/>
    <x v="11"/>
    <n v="2"/>
    <n v="2"/>
    <n v="2"/>
    <x v="0"/>
    <n v="0"/>
    <n v="0"/>
    <x v="2"/>
    <n v="1"/>
    <m/>
    <m/>
  </r>
  <r>
    <n v="28"/>
    <x v="1"/>
    <s v="Travel_Rarely"/>
    <n v="1217"/>
    <s v="Research &amp; Development"/>
    <n v="1"/>
    <n v="3"/>
    <s v="Medical"/>
    <n v="1"/>
    <n v="1834"/>
    <n v="3"/>
    <x v="0"/>
    <n v="67"/>
    <n v="3"/>
    <x v="1"/>
    <x v="1"/>
    <x v="3"/>
    <s v="Married"/>
    <n v="3591"/>
    <n v="12719"/>
    <n v="1"/>
    <s v="Y"/>
    <s v="No"/>
    <n v="25"/>
    <n v="4"/>
    <n v="3"/>
    <n v="80"/>
    <n v="1"/>
    <n v="3"/>
    <n v="3"/>
    <n v="3"/>
    <x v="11"/>
    <n v="2"/>
    <n v="1"/>
    <n v="2"/>
    <x v="1"/>
    <n v="0"/>
    <n v="0"/>
    <x v="0"/>
    <n v="1"/>
    <m/>
    <m/>
  </r>
  <r>
    <n v="38"/>
    <x v="1"/>
    <s v="Travel_Rarely"/>
    <n v="723"/>
    <s v="Sales"/>
    <n v="2"/>
    <n v="4"/>
    <s v="Marketing"/>
    <n v="1"/>
    <n v="1835"/>
    <n v="2"/>
    <x v="0"/>
    <n v="77"/>
    <n v="1"/>
    <x v="0"/>
    <x v="6"/>
    <x v="0"/>
    <s v="Married"/>
    <n v="5405"/>
    <n v="4244"/>
    <n v="2"/>
    <s v="Y"/>
    <s v="Yes"/>
    <n v="20"/>
    <n v="4"/>
    <n v="1"/>
    <n v="80"/>
    <n v="2"/>
    <n v="20"/>
    <n v="4"/>
    <n v="2"/>
    <x v="9"/>
    <n v="2"/>
    <n v="0"/>
    <n v="3"/>
    <x v="0"/>
    <n v="0"/>
    <n v="0"/>
    <x v="0"/>
    <n v="1"/>
    <m/>
    <m/>
  </r>
  <r>
    <n v="26"/>
    <x v="1"/>
    <s v="Travel_Rarely"/>
    <n v="572"/>
    <s v="Sales"/>
    <n v="10"/>
    <n v="3"/>
    <s v="Medical"/>
    <n v="1"/>
    <n v="1836"/>
    <n v="3"/>
    <x v="1"/>
    <n v="46"/>
    <n v="3"/>
    <x v="0"/>
    <x v="0"/>
    <x v="0"/>
    <s v="Single"/>
    <n v="4684"/>
    <n v="9125"/>
    <n v="1"/>
    <s v="Y"/>
    <s v="No"/>
    <n v="13"/>
    <n v="3"/>
    <n v="1"/>
    <n v="80"/>
    <n v="0"/>
    <n v="5"/>
    <n v="4"/>
    <n v="3"/>
    <x v="8"/>
    <n v="3"/>
    <n v="1"/>
    <n v="2"/>
    <x v="0"/>
    <n v="0"/>
    <n v="0"/>
    <x v="0"/>
    <n v="1"/>
    <m/>
    <m/>
  </r>
  <r>
    <n v="58"/>
    <x v="1"/>
    <s v="Travel_Frequently"/>
    <n v="1216"/>
    <s v="Research &amp; Development"/>
    <n v="15"/>
    <n v="4"/>
    <s v="Life Sciences"/>
    <n v="1"/>
    <n v="1837"/>
    <n v="1"/>
    <x v="1"/>
    <n v="87"/>
    <n v="3"/>
    <x v="3"/>
    <x v="7"/>
    <x v="2"/>
    <s v="Married"/>
    <n v="15787"/>
    <n v="21624"/>
    <n v="2"/>
    <s v="Y"/>
    <s v="Yes"/>
    <n v="14"/>
    <n v="3"/>
    <n v="2"/>
    <n v="80"/>
    <n v="0"/>
    <n v="23"/>
    <n v="3"/>
    <n v="3"/>
    <x v="4"/>
    <n v="2"/>
    <n v="2"/>
    <n v="2"/>
    <x v="1"/>
    <n v="0"/>
    <n v="0"/>
    <x v="3"/>
    <n v="1"/>
    <m/>
    <m/>
  </r>
  <r>
    <n v="18"/>
    <x v="1"/>
    <s v="Non-Travel"/>
    <n v="1431"/>
    <s v="Research &amp; Development"/>
    <n v="14"/>
    <n v="3"/>
    <s v="Medical"/>
    <n v="1"/>
    <n v="1839"/>
    <n v="2"/>
    <x v="0"/>
    <n v="33"/>
    <n v="3"/>
    <x v="1"/>
    <x v="1"/>
    <x v="2"/>
    <s v="Single"/>
    <n v="1514"/>
    <n v="8018"/>
    <n v="1"/>
    <s v="Y"/>
    <s v="No"/>
    <n v="16"/>
    <n v="3"/>
    <n v="3"/>
    <n v="80"/>
    <n v="0"/>
    <n v="0"/>
    <n v="4"/>
    <n v="1"/>
    <x v="2"/>
    <n v="0"/>
    <n v="0"/>
    <n v="0"/>
    <x v="1"/>
    <n v="0"/>
    <n v="0"/>
    <x v="1"/>
    <n v="1"/>
    <m/>
    <m/>
  </r>
  <r>
    <n v="31"/>
    <x v="0"/>
    <s v="Travel_Rarely"/>
    <n v="359"/>
    <s v="Human Resources"/>
    <n v="18"/>
    <n v="5"/>
    <s v="Human Resources"/>
    <n v="1"/>
    <n v="1842"/>
    <n v="4"/>
    <x v="1"/>
    <n v="89"/>
    <n v="4"/>
    <x v="1"/>
    <x v="8"/>
    <x v="3"/>
    <s v="Married"/>
    <n v="2956"/>
    <n v="21495"/>
    <n v="0"/>
    <s v="Y"/>
    <s v="No"/>
    <n v="17"/>
    <n v="3"/>
    <n v="3"/>
    <n v="80"/>
    <n v="0"/>
    <n v="2"/>
    <n v="4"/>
    <n v="3"/>
    <x v="6"/>
    <n v="0"/>
    <n v="0"/>
    <n v="0"/>
    <x v="5"/>
    <n v="1"/>
    <n v="53208"/>
    <x v="1"/>
    <n v="1"/>
    <m/>
    <m/>
  </r>
  <r>
    <n v="29"/>
    <x v="0"/>
    <s v="Travel_Rarely"/>
    <n v="350"/>
    <s v="Human Resources"/>
    <n v="13"/>
    <n v="3"/>
    <s v="Human Resources"/>
    <n v="1"/>
    <n v="1844"/>
    <n v="1"/>
    <x v="1"/>
    <n v="56"/>
    <n v="2"/>
    <x v="1"/>
    <x v="8"/>
    <x v="3"/>
    <s v="Divorced"/>
    <n v="2335"/>
    <n v="3157"/>
    <n v="4"/>
    <s v="Y"/>
    <s v="Yes"/>
    <n v="15"/>
    <n v="3"/>
    <n v="4"/>
    <n v="80"/>
    <n v="3"/>
    <n v="4"/>
    <n v="3"/>
    <n v="3"/>
    <x v="4"/>
    <n v="2"/>
    <n v="2"/>
    <n v="0"/>
    <x v="5"/>
    <n v="1"/>
    <n v="42030"/>
    <x v="1"/>
    <n v="1"/>
    <m/>
    <m/>
  </r>
  <r>
    <n v="45"/>
    <x v="1"/>
    <s v="Non-Travel"/>
    <n v="589"/>
    <s v="Sales"/>
    <n v="2"/>
    <n v="4"/>
    <s v="Life Sciences"/>
    <n v="1"/>
    <n v="1845"/>
    <n v="3"/>
    <x v="0"/>
    <n v="67"/>
    <n v="3"/>
    <x v="0"/>
    <x v="0"/>
    <x v="2"/>
    <s v="Married"/>
    <n v="5154"/>
    <n v="19665"/>
    <n v="4"/>
    <s v="Y"/>
    <s v="No"/>
    <n v="22"/>
    <n v="4"/>
    <n v="2"/>
    <n v="80"/>
    <n v="2"/>
    <n v="10"/>
    <n v="3"/>
    <n v="4"/>
    <x v="3"/>
    <n v="7"/>
    <n v="5"/>
    <n v="7"/>
    <x v="0"/>
    <n v="0"/>
    <n v="0"/>
    <x v="0"/>
    <n v="1"/>
    <m/>
    <m/>
  </r>
  <r>
    <n v="36"/>
    <x v="1"/>
    <s v="Travel_Rarely"/>
    <n v="430"/>
    <s v="Research &amp; Development"/>
    <n v="2"/>
    <n v="4"/>
    <s v="Other"/>
    <n v="1"/>
    <n v="1847"/>
    <n v="4"/>
    <x v="0"/>
    <n v="73"/>
    <n v="3"/>
    <x v="0"/>
    <x v="1"/>
    <x v="1"/>
    <s v="Married"/>
    <n v="6962"/>
    <n v="19573"/>
    <n v="4"/>
    <s v="Y"/>
    <s v="Yes"/>
    <n v="22"/>
    <n v="4"/>
    <n v="4"/>
    <n v="80"/>
    <n v="1"/>
    <n v="15"/>
    <n v="2"/>
    <n v="3"/>
    <x v="6"/>
    <n v="0"/>
    <n v="0"/>
    <n v="0"/>
    <x v="1"/>
    <n v="0"/>
    <n v="0"/>
    <x v="4"/>
    <n v="1"/>
    <m/>
    <m/>
  </r>
  <r>
    <n v="43"/>
    <x v="1"/>
    <s v="Travel_Frequently"/>
    <n v="1422"/>
    <s v="Sales"/>
    <n v="2"/>
    <n v="4"/>
    <s v="Life Sciences"/>
    <n v="1"/>
    <n v="1849"/>
    <n v="1"/>
    <x v="1"/>
    <n v="92"/>
    <n v="3"/>
    <x v="0"/>
    <x v="0"/>
    <x v="0"/>
    <s v="Married"/>
    <n v="5675"/>
    <n v="19246"/>
    <n v="1"/>
    <s v="Y"/>
    <s v="No"/>
    <n v="20"/>
    <n v="4"/>
    <n v="3"/>
    <n v="80"/>
    <n v="1"/>
    <n v="7"/>
    <n v="5"/>
    <n v="3"/>
    <x v="5"/>
    <n v="7"/>
    <n v="7"/>
    <n v="7"/>
    <x v="0"/>
    <n v="0"/>
    <n v="0"/>
    <x v="0"/>
    <n v="1"/>
    <m/>
    <m/>
  </r>
  <r>
    <n v="27"/>
    <x v="1"/>
    <s v="Travel_Frequently"/>
    <n v="1297"/>
    <s v="Research &amp; Development"/>
    <n v="5"/>
    <n v="2"/>
    <s v="Life Sciences"/>
    <n v="1"/>
    <n v="1850"/>
    <n v="4"/>
    <x v="0"/>
    <n v="53"/>
    <n v="3"/>
    <x v="1"/>
    <x v="2"/>
    <x v="0"/>
    <s v="Single"/>
    <n v="2379"/>
    <n v="19826"/>
    <n v="0"/>
    <s v="Y"/>
    <s v="Yes"/>
    <n v="14"/>
    <n v="3"/>
    <n v="3"/>
    <n v="80"/>
    <n v="0"/>
    <n v="6"/>
    <n v="3"/>
    <n v="2"/>
    <x v="8"/>
    <n v="4"/>
    <n v="0"/>
    <n v="2"/>
    <x v="1"/>
    <n v="0"/>
    <n v="0"/>
    <x v="1"/>
    <n v="1"/>
    <m/>
    <m/>
  </r>
  <r>
    <n v="29"/>
    <x v="1"/>
    <s v="Travel_Frequently"/>
    <n v="574"/>
    <s v="Research &amp; Development"/>
    <n v="20"/>
    <n v="1"/>
    <s v="Medical"/>
    <n v="1"/>
    <n v="1852"/>
    <n v="4"/>
    <x v="1"/>
    <n v="40"/>
    <n v="3"/>
    <x v="1"/>
    <x v="2"/>
    <x v="0"/>
    <s v="Married"/>
    <n v="3812"/>
    <n v="7003"/>
    <n v="1"/>
    <s v="Y"/>
    <s v="No"/>
    <n v="13"/>
    <n v="3"/>
    <n v="2"/>
    <n v="80"/>
    <n v="0"/>
    <n v="11"/>
    <n v="3"/>
    <n v="4"/>
    <x v="19"/>
    <n v="8"/>
    <n v="3"/>
    <n v="10"/>
    <x v="1"/>
    <n v="0"/>
    <n v="0"/>
    <x v="0"/>
    <n v="1"/>
    <m/>
    <m/>
  </r>
  <r>
    <n v="32"/>
    <x v="1"/>
    <s v="Travel_Frequently"/>
    <n v="1318"/>
    <s v="Sales"/>
    <n v="10"/>
    <n v="4"/>
    <s v="Marketing"/>
    <n v="1"/>
    <n v="1853"/>
    <n v="4"/>
    <x v="1"/>
    <n v="79"/>
    <n v="3"/>
    <x v="0"/>
    <x v="0"/>
    <x v="0"/>
    <s v="Single"/>
    <n v="4648"/>
    <n v="26075"/>
    <n v="8"/>
    <s v="Y"/>
    <s v="No"/>
    <n v="13"/>
    <n v="3"/>
    <n v="3"/>
    <n v="80"/>
    <n v="0"/>
    <n v="4"/>
    <n v="2"/>
    <n v="4"/>
    <x v="2"/>
    <n v="0"/>
    <n v="0"/>
    <n v="0"/>
    <x v="0"/>
    <n v="0"/>
    <n v="0"/>
    <x v="0"/>
    <n v="1"/>
    <m/>
    <m/>
  </r>
  <r>
    <n v="42"/>
    <x v="1"/>
    <s v="Non-Travel"/>
    <n v="355"/>
    <s v="Research &amp; Development"/>
    <n v="10"/>
    <n v="4"/>
    <s v="Technical Degree"/>
    <n v="1"/>
    <n v="1854"/>
    <n v="3"/>
    <x v="1"/>
    <n v="38"/>
    <n v="3"/>
    <x v="1"/>
    <x v="1"/>
    <x v="2"/>
    <s v="Married"/>
    <n v="2936"/>
    <n v="6161"/>
    <n v="3"/>
    <s v="Y"/>
    <s v="No"/>
    <n v="22"/>
    <n v="4"/>
    <n v="2"/>
    <n v="80"/>
    <n v="2"/>
    <n v="10"/>
    <n v="1"/>
    <n v="2"/>
    <x v="0"/>
    <n v="3"/>
    <n v="3"/>
    <n v="3"/>
    <x v="1"/>
    <n v="0"/>
    <n v="0"/>
    <x v="1"/>
    <n v="1"/>
    <m/>
    <m/>
  </r>
  <r>
    <n v="47"/>
    <x v="1"/>
    <s v="Travel_Rarely"/>
    <n v="207"/>
    <s v="Research &amp; Development"/>
    <n v="9"/>
    <n v="4"/>
    <s v="Life Sciences"/>
    <n v="1"/>
    <n v="1856"/>
    <n v="2"/>
    <x v="0"/>
    <n v="64"/>
    <n v="3"/>
    <x v="1"/>
    <x v="2"/>
    <x v="2"/>
    <s v="Single"/>
    <n v="2105"/>
    <n v="5411"/>
    <n v="4"/>
    <s v="Y"/>
    <s v="No"/>
    <n v="12"/>
    <n v="3"/>
    <n v="3"/>
    <n v="80"/>
    <n v="0"/>
    <n v="7"/>
    <n v="2"/>
    <n v="3"/>
    <x v="4"/>
    <n v="2"/>
    <n v="2"/>
    <n v="0"/>
    <x v="1"/>
    <n v="0"/>
    <n v="0"/>
    <x v="1"/>
    <n v="1"/>
    <m/>
    <m/>
  </r>
  <r>
    <n v="46"/>
    <x v="1"/>
    <s v="Travel_Rarely"/>
    <n v="706"/>
    <s v="Research &amp; Development"/>
    <n v="2"/>
    <n v="2"/>
    <s v="Life Sciences"/>
    <n v="1"/>
    <n v="1857"/>
    <n v="4"/>
    <x v="1"/>
    <n v="82"/>
    <n v="3"/>
    <x v="2"/>
    <x v="3"/>
    <x v="0"/>
    <s v="Divorced"/>
    <n v="8578"/>
    <n v="19989"/>
    <n v="3"/>
    <s v="Y"/>
    <s v="No"/>
    <n v="14"/>
    <n v="3"/>
    <n v="3"/>
    <n v="80"/>
    <n v="1"/>
    <n v="12"/>
    <n v="4"/>
    <n v="2"/>
    <x v="7"/>
    <n v="8"/>
    <n v="4"/>
    <n v="7"/>
    <x v="2"/>
    <n v="0"/>
    <n v="0"/>
    <x v="4"/>
    <n v="1"/>
    <m/>
    <m/>
  </r>
  <r>
    <n v="28"/>
    <x v="1"/>
    <s v="Non-Travel"/>
    <n v="280"/>
    <s v="Human Resources"/>
    <n v="1"/>
    <n v="2"/>
    <s v="Life Sciences"/>
    <n v="1"/>
    <n v="1858"/>
    <n v="3"/>
    <x v="1"/>
    <n v="43"/>
    <n v="3"/>
    <x v="1"/>
    <x v="8"/>
    <x v="0"/>
    <s v="Divorced"/>
    <n v="2706"/>
    <n v="10494"/>
    <n v="1"/>
    <s v="Y"/>
    <s v="No"/>
    <n v="15"/>
    <n v="3"/>
    <n v="2"/>
    <n v="80"/>
    <n v="1"/>
    <n v="3"/>
    <n v="2"/>
    <n v="3"/>
    <x v="11"/>
    <n v="2"/>
    <n v="2"/>
    <n v="2"/>
    <x v="5"/>
    <n v="0"/>
    <n v="0"/>
    <x v="1"/>
    <n v="1"/>
    <m/>
    <m/>
  </r>
  <r>
    <n v="29"/>
    <x v="1"/>
    <s v="Travel_Rarely"/>
    <n v="726"/>
    <s v="Research &amp; Development"/>
    <n v="29"/>
    <n v="1"/>
    <s v="Life Sciences"/>
    <n v="1"/>
    <n v="1859"/>
    <n v="4"/>
    <x v="1"/>
    <n v="93"/>
    <n v="1"/>
    <x v="0"/>
    <x v="4"/>
    <x v="2"/>
    <s v="Divorced"/>
    <n v="6384"/>
    <n v="21143"/>
    <n v="8"/>
    <s v="Y"/>
    <s v="No"/>
    <n v="17"/>
    <n v="3"/>
    <n v="4"/>
    <n v="80"/>
    <n v="2"/>
    <n v="11"/>
    <n v="3"/>
    <n v="3"/>
    <x v="5"/>
    <n v="0"/>
    <n v="1"/>
    <n v="6"/>
    <x v="3"/>
    <n v="0"/>
    <n v="0"/>
    <x v="4"/>
    <n v="1"/>
    <m/>
    <m/>
  </r>
  <r>
    <n v="42"/>
    <x v="1"/>
    <s v="Travel_Rarely"/>
    <n v="1142"/>
    <s v="Research &amp; Development"/>
    <n v="8"/>
    <n v="3"/>
    <s v="Life Sciences"/>
    <n v="1"/>
    <n v="1860"/>
    <n v="4"/>
    <x v="1"/>
    <n v="81"/>
    <n v="3"/>
    <x v="1"/>
    <x v="2"/>
    <x v="2"/>
    <s v="Single"/>
    <n v="3968"/>
    <n v="13624"/>
    <n v="4"/>
    <s v="Y"/>
    <s v="No"/>
    <n v="13"/>
    <n v="3"/>
    <n v="4"/>
    <n v="80"/>
    <n v="0"/>
    <n v="8"/>
    <n v="3"/>
    <n v="3"/>
    <x v="2"/>
    <n v="0"/>
    <n v="0"/>
    <n v="0"/>
    <x v="1"/>
    <n v="0"/>
    <n v="0"/>
    <x v="0"/>
    <n v="1"/>
    <m/>
    <m/>
  </r>
  <r>
    <n v="32"/>
    <x v="0"/>
    <s v="Travel_Rarely"/>
    <n v="414"/>
    <s v="Sales"/>
    <n v="2"/>
    <n v="4"/>
    <s v="Marketing"/>
    <n v="1"/>
    <n v="1862"/>
    <n v="3"/>
    <x v="1"/>
    <n v="82"/>
    <n v="2"/>
    <x v="0"/>
    <x v="0"/>
    <x v="1"/>
    <s v="Single"/>
    <n v="9907"/>
    <n v="26186"/>
    <n v="7"/>
    <s v="Y"/>
    <s v="Yes"/>
    <n v="12"/>
    <n v="3"/>
    <n v="3"/>
    <n v="80"/>
    <n v="0"/>
    <n v="7"/>
    <n v="3"/>
    <n v="2"/>
    <x v="4"/>
    <n v="2"/>
    <n v="2"/>
    <n v="2"/>
    <x v="0"/>
    <n v="1"/>
    <n v="178326"/>
    <x v="2"/>
    <n v="1"/>
    <m/>
    <m/>
  </r>
  <r>
    <n v="46"/>
    <x v="1"/>
    <s v="Travel_Rarely"/>
    <n v="1319"/>
    <s v="Sales"/>
    <n v="3"/>
    <n v="3"/>
    <s v="Technical Degree"/>
    <n v="1"/>
    <n v="1863"/>
    <n v="1"/>
    <x v="0"/>
    <n v="45"/>
    <n v="4"/>
    <x v="3"/>
    <x v="0"/>
    <x v="3"/>
    <s v="Divorced"/>
    <n v="13225"/>
    <n v="7739"/>
    <n v="2"/>
    <s v="Y"/>
    <s v="No"/>
    <n v="12"/>
    <n v="3"/>
    <n v="4"/>
    <n v="80"/>
    <n v="1"/>
    <n v="25"/>
    <n v="5"/>
    <n v="3"/>
    <x v="27"/>
    <n v="17"/>
    <n v="2"/>
    <n v="8"/>
    <x v="0"/>
    <n v="0"/>
    <n v="0"/>
    <x v="3"/>
    <n v="1"/>
    <m/>
    <m/>
  </r>
  <r>
    <n v="27"/>
    <x v="1"/>
    <s v="Travel_Rarely"/>
    <n v="728"/>
    <s v="Sales"/>
    <n v="23"/>
    <n v="1"/>
    <s v="Medical"/>
    <n v="1"/>
    <n v="1864"/>
    <n v="2"/>
    <x v="0"/>
    <n v="36"/>
    <n v="2"/>
    <x v="0"/>
    <x v="6"/>
    <x v="2"/>
    <s v="Married"/>
    <n v="3540"/>
    <n v="7018"/>
    <n v="1"/>
    <s v="Y"/>
    <s v="No"/>
    <n v="21"/>
    <n v="4"/>
    <n v="4"/>
    <n v="80"/>
    <n v="1"/>
    <n v="9"/>
    <n v="5"/>
    <n v="3"/>
    <x v="7"/>
    <n v="8"/>
    <n v="5"/>
    <n v="8"/>
    <x v="0"/>
    <n v="0"/>
    <n v="0"/>
    <x v="0"/>
    <n v="1"/>
    <m/>
    <m/>
  </r>
  <r>
    <n v="29"/>
    <x v="1"/>
    <s v="Travel_Rarely"/>
    <n v="352"/>
    <s v="Human Resources"/>
    <n v="6"/>
    <n v="1"/>
    <s v="Medical"/>
    <n v="1"/>
    <n v="1865"/>
    <n v="4"/>
    <x v="1"/>
    <n v="87"/>
    <n v="2"/>
    <x v="1"/>
    <x v="8"/>
    <x v="1"/>
    <s v="Married"/>
    <n v="2804"/>
    <n v="15434"/>
    <n v="1"/>
    <s v="Y"/>
    <s v="No"/>
    <n v="11"/>
    <n v="3"/>
    <n v="4"/>
    <n v="80"/>
    <n v="0"/>
    <n v="1"/>
    <n v="3"/>
    <n v="3"/>
    <x v="6"/>
    <n v="0"/>
    <n v="0"/>
    <n v="0"/>
    <x v="5"/>
    <n v="0"/>
    <n v="0"/>
    <x v="1"/>
    <n v="1"/>
    <m/>
    <m/>
  </r>
  <r>
    <n v="43"/>
    <x v="1"/>
    <s v="Travel_Rarely"/>
    <n v="823"/>
    <s v="Research &amp; Development"/>
    <n v="6"/>
    <n v="3"/>
    <s v="Medical"/>
    <n v="1"/>
    <n v="1866"/>
    <n v="1"/>
    <x v="0"/>
    <n v="81"/>
    <n v="2"/>
    <x v="4"/>
    <x v="5"/>
    <x v="2"/>
    <s v="Married"/>
    <n v="19392"/>
    <n v="22539"/>
    <n v="7"/>
    <s v="Y"/>
    <s v="No"/>
    <n v="13"/>
    <n v="3"/>
    <n v="4"/>
    <n v="80"/>
    <n v="0"/>
    <n v="21"/>
    <n v="2"/>
    <n v="3"/>
    <x v="22"/>
    <n v="12"/>
    <n v="6"/>
    <n v="14"/>
    <x v="4"/>
    <n v="0"/>
    <n v="0"/>
    <x v="3"/>
    <n v="1"/>
    <m/>
    <m/>
  </r>
  <r>
    <n v="48"/>
    <x v="1"/>
    <s v="Travel_Rarely"/>
    <n v="1224"/>
    <s v="Research &amp; Development"/>
    <n v="10"/>
    <n v="3"/>
    <s v="Life Sciences"/>
    <n v="1"/>
    <n v="1867"/>
    <n v="4"/>
    <x v="1"/>
    <n v="91"/>
    <n v="2"/>
    <x v="4"/>
    <x v="7"/>
    <x v="1"/>
    <s v="Married"/>
    <n v="19665"/>
    <n v="13583"/>
    <n v="4"/>
    <s v="Y"/>
    <s v="No"/>
    <n v="12"/>
    <n v="3"/>
    <n v="4"/>
    <n v="80"/>
    <n v="0"/>
    <n v="29"/>
    <n v="3"/>
    <n v="3"/>
    <x v="14"/>
    <n v="10"/>
    <n v="12"/>
    <n v="9"/>
    <x v="1"/>
    <n v="0"/>
    <n v="0"/>
    <x v="3"/>
    <n v="1"/>
    <m/>
    <m/>
  </r>
  <r>
    <n v="29"/>
    <x v="0"/>
    <s v="Travel_Frequently"/>
    <n v="459"/>
    <s v="Research &amp; Development"/>
    <n v="24"/>
    <n v="2"/>
    <s v="Life Sciences"/>
    <n v="1"/>
    <n v="1868"/>
    <n v="4"/>
    <x v="1"/>
    <n v="73"/>
    <n v="2"/>
    <x v="1"/>
    <x v="1"/>
    <x v="0"/>
    <s v="Single"/>
    <n v="2439"/>
    <n v="14753"/>
    <n v="1"/>
    <s v="Y"/>
    <s v="Yes"/>
    <n v="24"/>
    <n v="4"/>
    <n v="2"/>
    <n v="80"/>
    <n v="0"/>
    <n v="1"/>
    <n v="3"/>
    <n v="2"/>
    <x v="6"/>
    <n v="0"/>
    <n v="1"/>
    <n v="0"/>
    <x v="1"/>
    <n v="1"/>
    <n v="43902"/>
    <x v="1"/>
    <n v="1"/>
    <m/>
    <m/>
  </r>
  <r>
    <n v="46"/>
    <x v="0"/>
    <s v="Travel_Rarely"/>
    <n v="1254"/>
    <s v="Sales"/>
    <n v="10"/>
    <n v="3"/>
    <s v="Life Sciences"/>
    <n v="1"/>
    <n v="1869"/>
    <n v="3"/>
    <x v="0"/>
    <n v="64"/>
    <n v="3"/>
    <x v="2"/>
    <x v="0"/>
    <x v="1"/>
    <s v="Married"/>
    <n v="7314"/>
    <n v="14011"/>
    <n v="5"/>
    <s v="Y"/>
    <s v="No"/>
    <n v="21"/>
    <n v="4"/>
    <n v="3"/>
    <n v="80"/>
    <n v="3"/>
    <n v="14"/>
    <n v="2"/>
    <n v="3"/>
    <x v="3"/>
    <n v="7"/>
    <n v="0"/>
    <n v="7"/>
    <x v="0"/>
    <n v="1"/>
    <n v="131652"/>
    <x v="4"/>
    <n v="1"/>
    <m/>
    <m/>
  </r>
  <r>
    <n v="27"/>
    <x v="1"/>
    <s v="Travel_Frequently"/>
    <n v="1131"/>
    <s v="Research &amp; Development"/>
    <n v="15"/>
    <n v="3"/>
    <s v="Life Sciences"/>
    <n v="1"/>
    <n v="1870"/>
    <n v="4"/>
    <x v="0"/>
    <n v="77"/>
    <n v="2"/>
    <x v="1"/>
    <x v="1"/>
    <x v="3"/>
    <s v="Married"/>
    <n v="4774"/>
    <n v="23844"/>
    <n v="0"/>
    <s v="Y"/>
    <s v="No"/>
    <n v="19"/>
    <n v="3"/>
    <n v="4"/>
    <n v="80"/>
    <n v="1"/>
    <n v="8"/>
    <n v="2"/>
    <n v="2"/>
    <x v="5"/>
    <n v="6"/>
    <n v="7"/>
    <n v="3"/>
    <x v="1"/>
    <n v="0"/>
    <n v="0"/>
    <x v="0"/>
    <n v="1"/>
    <m/>
    <m/>
  </r>
  <r>
    <n v="39"/>
    <x v="1"/>
    <s v="Travel_Rarely"/>
    <n v="835"/>
    <s v="Research &amp; Development"/>
    <n v="19"/>
    <n v="4"/>
    <s v="Other"/>
    <n v="1"/>
    <n v="1871"/>
    <n v="4"/>
    <x v="1"/>
    <n v="41"/>
    <n v="3"/>
    <x v="0"/>
    <x v="1"/>
    <x v="0"/>
    <s v="Divorced"/>
    <n v="3902"/>
    <n v="5141"/>
    <n v="8"/>
    <s v="Y"/>
    <s v="No"/>
    <n v="14"/>
    <n v="3"/>
    <n v="2"/>
    <n v="80"/>
    <n v="3"/>
    <n v="7"/>
    <n v="2"/>
    <n v="3"/>
    <x v="4"/>
    <n v="2"/>
    <n v="2"/>
    <n v="2"/>
    <x v="1"/>
    <n v="0"/>
    <n v="0"/>
    <x v="0"/>
    <n v="1"/>
    <m/>
    <m/>
  </r>
  <r>
    <n v="55"/>
    <x v="1"/>
    <s v="Travel_Rarely"/>
    <n v="836"/>
    <s v="Research &amp; Development"/>
    <n v="2"/>
    <n v="4"/>
    <s v="Technical Degree"/>
    <n v="1"/>
    <n v="1873"/>
    <n v="2"/>
    <x v="1"/>
    <n v="98"/>
    <n v="2"/>
    <x v="1"/>
    <x v="1"/>
    <x v="0"/>
    <s v="Married"/>
    <n v="2662"/>
    <n v="7975"/>
    <n v="8"/>
    <s v="Y"/>
    <s v="No"/>
    <n v="20"/>
    <n v="4"/>
    <n v="2"/>
    <n v="80"/>
    <n v="1"/>
    <n v="19"/>
    <n v="2"/>
    <n v="4"/>
    <x v="8"/>
    <n v="2"/>
    <n v="0"/>
    <n v="4"/>
    <x v="1"/>
    <n v="0"/>
    <n v="0"/>
    <x v="1"/>
    <n v="1"/>
    <m/>
    <m/>
  </r>
  <r>
    <n v="28"/>
    <x v="1"/>
    <s v="Travel_Rarely"/>
    <n v="1172"/>
    <s v="Sales"/>
    <n v="3"/>
    <n v="3"/>
    <s v="Medical"/>
    <n v="1"/>
    <n v="1875"/>
    <n v="2"/>
    <x v="0"/>
    <n v="78"/>
    <n v="3"/>
    <x v="1"/>
    <x v="6"/>
    <x v="1"/>
    <s v="Married"/>
    <n v="2856"/>
    <n v="3692"/>
    <n v="1"/>
    <s v="Y"/>
    <s v="No"/>
    <n v="19"/>
    <n v="3"/>
    <n v="4"/>
    <n v="80"/>
    <n v="1"/>
    <n v="1"/>
    <n v="3"/>
    <n v="3"/>
    <x v="6"/>
    <n v="0"/>
    <n v="0"/>
    <n v="0"/>
    <x v="0"/>
    <n v="0"/>
    <n v="0"/>
    <x v="1"/>
    <n v="1"/>
    <m/>
    <m/>
  </r>
  <r>
    <n v="30"/>
    <x v="0"/>
    <s v="Travel_Rarely"/>
    <n v="945"/>
    <s v="Sales"/>
    <n v="9"/>
    <n v="3"/>
    <s v="Medical"/>
    <n v="1"/>
    <n v="1876"/>
    <n v="2"/>
    <x v="1"/>
    <n v="89"/>
    <n v="3"/>
    <x v="1"/>
    <x v="6"/>
    <x v="0"/>
    <s v="Single"/>
    <n v="1081"/>
    <n v="16019"/>
    <n v="1"/>
    <s v="Y"/>
    <s v="No"/>
    <n v="13"/>
    <n v="3"/>
    <n v="3"/>
    <n v="80"/>
    <n v="0"/>
    <n v="1"/>
    <n v="3"/>
    <n v="2"/>
    <x v="6"/>
    <n v="0"/>
    <n v="0"/>
    <n v="0"/>
    <x v="0"/>
    <n v="1"/>
    <n v="19458"/>
    <x v="1"/>
    <n v="1"/>
    <m/>
    <m/>
  </r>
  <r>
    <n v="22"/>
    <x v="0"/>
    <s v="Travel_Rarely"/>
    <n v="391"/>
    <s v="Research &amp; Development"/>
    <n v="7"/>
    <n v="1"/>
    <s v="Life Sciences"/>
    <n v="1"/>
    <n v="1878"/>
    <n v="4"/>
    <x v="1"/>
    <n v="75"/>
    <n v="3"/>
    <x v="1"/>
    <x v="1"/>
    <x v="1"/>
    <s v="Single"/>
    <n v="2472"/>
    <n v="26092"/>
    <n v="1"/>
    <s v="Y"/>
    <s v="Yes"/>
    <n v="23"/>
    <n v="4"/>
    <n v="1"/>
    <n v="80"/>
    <n v="0"/>
    <n v="1"/>
    <n v="2"/>
    <n v="3"/>
    <x v="6"/>
    <n v="0"/>
    <n v="0"/>
    <n v="0"/>
    <x v="1"/>
    <n v="1"/>
    <n v="44496"/>
    <x v="1"/>
    <n v="1"/>
    <m/>
    <m/>
  </r>
  <r>
    <n v="36"/>
    <x v="1"/>
    <s v="Travel_Rarely"/>
    <n v="1266"/>
    <s v="Sales"/>
    <n v="10"/>
    <n v="4"/>
    <s v="Technical Degree"/>
    <n v="1"/>
    <n v="1880"/>
    <n v="2"/>
    <x v="0"/>
    <n v="63"/>
    <n v="2"/>
    <x v="0"/>
    <x v="0"/>
    <x v="2"/>
    <s v="Married"/>
    <n v="5673"/>
    <n v="6060"/>
    <n v="1"/>
    <s v="Y"/>
    <s v="Yes"/>
    <n v="13"/>
    <n v="3"/>
    <n v="1"/>
    <n v="80"/>
    <n v="1"/>
    <n v="10"/>
    <n v="4"/>
    <n v="3"/>
    <x v="1"/>
    <n v="9"/>
    <n v="1"/>
    <n v="7"/>
    <x v="0"/>
    <n v="0"/>
    <n v="0"/>
    <x v="0"/>
    <n v="1"/>
    <m/>
    <m/>
  </r>
  <r>
    <n v="31"/>
    <x v="1"/>
    <s v="Travel_Rarely"/>
    <n v="311"/>
    <s v="Research &amp; Development"/>
    <n v="20"/>
    <n v="3"/>
    <s v="Life Sciences"/>
    <n v="1"/>
    <n v="1881"/>
    <n v="2"/>
    <x v="1"/>
    <n v="89"/>
    <n v="3"/>
    <x v="0"/>
    <x v="2"/>
    <x v="2"/>
    <s v="Divorced"/>
    <n v="4197"/>
    <n v="18624"/>
    <n v="1"/>
    <s v="Y"/>
    <s v="No"/>
    <n v="11"/>
    <n v="3"/>
    <n v="1"/>
    <n v="80"/>
    <n v="1"/>
    <n v="10"/>
    <n v="2"/>
    <n v="3"/>
    <x v="1"/>
    <n v="8"/>
    <n v="0"/>
    <n v="2"/>
    <x v="1"/>
    <n v="0"/>
    <n v="0"/>
    <x v="0"/>
    <n v="1"/>
    <m/>
    <m/>
  </r>
  <r>
    <n v="34"/>
    <x v="1"/>
    <s v="Travel_Rarely"/>
    <n v="1480"/>
    <s v="Sales"/>
    <n v="4"/>
    <n v="3"/>
    <s v="Life Sciences"/>
    <n v="1"/>
    <n v="1882"/>
    <n v="3"/>
    <x v="1"/>
    <n v="64"/>
    <n v="3"/>
    <x v="2"/>
    <x v="0"/>
    <x v="0"/>
    <s v="Married"/>
    <n v="9713"/>
    <n v="24444"/>
    <n v="2"/>
    <s v="Y"/>
    <s v="Yes"/>
    <n v="13"/>
    <n v="3"/>
    <n v="4"/>
    <n v="80"/>
    <n v="3"/>
    <n v="9"/>
    <n v="3"/>
    <n v="3"/>
    <x v="8"/>
    <n v="3"/>
    <n v="1"/>
    <n v="0"/>
    <x v="0"/>
    <n v="0"/>
    <n v="0"/>
    <x v="2"/>
    <n v="1"/>
    <m/>
    <m/>
  </r>
  <r>
    <n v="29"/>
    <x v="1"/>
    <s v="Travel_Rarely"/>
    <n v="592"/>
    <s v="Research &amp; Development"/>
    <n v="7"/>
    <n v="3"/>
    <s v="Life Sciences"/>
    <n v="1"/>
    <n v="1883"/>
    <n v="4"/>
    <x v="1"/>
    <n v="59"/>
    <n v="3"/>
    <x v="1"/>
    <x v="2"/>
    <x v="3"/>
    <s v="Single"/>
    <n v="2062"/>
    <n v="19384"/>
    <n v="3"/>
    <s v="Y"/>
    <s v="No"/>
    <n v="14"/>
    <n v="3"/>
    <n v="2"/>
    <n v="80"/>
    <n v="0"/>
    <n v="11"/>
    <n v="2"/>
    <n v="3"/>
    <x v="11"/>
    <n v="2"/>
    <n v="1"/>
    <n v="2"/>
    <x v="1"/>
    <n v="0"/>
    <n v="0"/>
    <x v="1"/>
    <n v="1"/>
    <m/>
    <m/>
  </r>
  <r>
    <n v="37"/>
    <x v="1"/>
    <s v="Travel_Rarely"/>
    <n v="783"/>
    <s v="Research &amp; Development"/>
    <n v="7"/>
    <n v="4"/>
    <s v="Medical"/>
    <n v="1"/>
    <n v="1885"/>
    <n v="4"/>
    <x v="1"/>
    <n v="78"/>
    <n v="3"/>
    <x v="0"/>
    <x v="1"/>
    <x v="3"/>
    <s v="Married"/>
    <n v="4284"/>
    <n v="13588"/>
    <n v="5"/>
    <s v="Y"/>
    <s v="Yes"/>
    <n v="22"/>
    <n v="4"/>
    <n v="3"/>
    <n v="80"/>
    <n v="1"/>
    <n v="16"/>
    <n v="2"/>
    <n v="3"/>
    <x v="8"/>
    <n v="3"/>
    <n v="0"/>
    <n v="4"/>
    <x v="1"/>
    <n v="0"/>
    <n v="0"/>
    <x v="0"/>
    <n v="1"/>
    <m/>
    <m/>
  </r>
  <r>
    <n v="35"/>
    <x v="1"/>
    <s v="Travel_Rarely"/>
    <n v="219"/>
    <s v="Research &amp; Development"/>
    <n v="16"/>
    <n v="2"/>
    <s v="Other"/>
    <n v="1"/>
    <n v="1886"/>
    <n v="4"/>
    <x v="0"/>
    <n v="44"/>
    <n v="2"/>
    <x v="0"/>
    <x v="3"/>
    <x v="1"/>
    <s v="Married"/>
    <n v="4788"/>
    <n v="25388"/>
    <n v="0"/>
    <s v="Y"/>
    <s v="Yes"/>
    <n v="11"/>
    <n v="3"/>
    <n v="4"/>
    <n v="80"/>
    <n v="0"/>
    <n v="4"/>
    <n v="2"/>
    <n v="3"/>
    <x v="11"/>
    <n v="2"/>
    <n v="0"/>
    <n v="2"/>
    <x v="2"/>
    <n v="0"/>
    <n v="0"/>
    <x v="0"/>
    <n v="1"/>
    <m/>
    <m/>
  </r>
  <r>
    <n v="45"/>
    <x v="1"/>
    <s v="Travel_Rarely"/>
    <n v="556"/>
    <s v="Research &amp; Development"/>
    <n v="25"/>
    <n v="2"/>
    <s v="Life Sciences"/>
    <n v="1"/>
    <n v="1888"/>
    <n v="2"/>
    <x v="0"/>
    <n v="93"/>
    <n v="2"/>
    <x v="0"/>
    <x v="3"/>
    <x v="0"/>
    <s v="Married"/>
    <n v="5906"/>
    <n v="23888"/>
    <n v="0"/>
    <s v="Y"/>
    <s v="No"/>
    <n v="13"/>
    <n v="3"/>
    <n v="4"/>
    <n v="80"/>
    <n v="2"/>
    <n v="10"/>
    <n v="2"/>
    <n v="2"/>
    <x v="7"/>
    <n v="8"/>
    <n v="3"/>
    <n v="8"/>
    <x v="2"/>
    <n v="0"/>
    <n v="0"/>
    <x v="0"/>
    <n v="1"/>
    <m/>
    <m/>
  </r>
  <r>
    <n v="36"/>
    <x v="1"/>
    <s v="Travel_Frequently"/>
    <n v="1213"/>
    <s v="Human Resources"/>
    <n v="2"/>
    <n v="1"/>
    <s v="Human Resources"/>
    <n v="1"/>
    <n v="1890"/>
    <n v="2"/>
    <x v="1"/>
    <n v="94"/>
    <n v="2"/>
    <x v="0"/>
    <x v="8"/>
    <x v="0"/>
    <s v="Single"/>
    <n v="3886"/>
    <n v="4223"/>
    <n v="1"/>
    <s v="Y"/>
    <s v="No"/>
    <n v="21"/>
    <n v="4"/>
    <n v="4"/>
    <n v="80"/>
    <n v="0"/>
    <n v="10"/>
    <n v="2"/>
    <n v="2"/>
    <x v="1"/>
    <n v="1"/>
    <n v="0"/>
    <n v="8"/>
    <x v="5"/>
    <n v="0"/>
    <n v="0"/>
    <x v="0"/>
    <n v="1"/>
    <m/>
    <m/>
  </r>
  <r>
    <n v="40"/>
    <x v="1"/>
    <s v="Travel_Rarely"/>
    <n v="1137"/>
    <s v="Research &amp; Development"/>
    <n v="1"/>
    <n v="4"/>
    <s v="Life Sciences"/>
    <n v="1"/>
    <n v="1892"/>
    <n v="1"/>
    <x v="1"/>
    <n v="98"/>
    <n v="3"/>
    <x v="3"/>
    <x v="5"/>
    <x v="3"/>
    <s v="Divorced"/>
    <n v="16823"/>
    <n v="18991"/>
    <n v="2"/>
    <s v="Y"/>
    <s v="No"/>
    <n v="11"/>
    <n v="3"/>
    <n v="1"/>
    <n v="80"/>
    <n v="1"/>
    <n v="22"/>
    <n v="3"/>
    <n v="3"/>
    <x v="27"/>
    <n v="7"/>
    <n v="11"/>
    <n v="16"/>
    <x v="4"/>
    <n v="0"/>
    <n v="0"/>
    <x v="3"/>
    <n v="1"/>
    <m/>
    <m/>
  </r>
  <r>
    <n v="26"/>
    <x v="1"/>
    <s v="Travel_Rarely"/>
    <n v="482"/>
    <s v="Research &amp; Development"/>
    <n v="1"/>
    <n v="2"/>
    <s v="Life Sciences"/>
    <n v="1"/>
    <n v="1893"/>
    <n v="2"/>
    <x v="0"/>
    <n v="90"/>
    <n v="2"/>
    <x v="1"/>
    <x v="1"/>
    <x v="2"/>
    <s v="Married"/>
    <n v="2933"/>
    <n v="14908"/>
    <n v="1"/>
    <s v="Y"/>
    <s v="Yes"/>
    <n v="13"/>
    <n v="3"/>
    <n v="3"/>
    <n v="80"/>
    <n v="1"/>
    <n v="1"/>
    <n v="3"/>
    <n v="2"/>
    <x v="6"/>
    <n v="0"/>
    <n v="1"/>
    <n v="0"/>
    <x v="1"/>
    <n v="0"/>
    <n v="0"/>
    <x v="1"/>
    <n v="1"/>
    <m/>
    <m/>
  </r>
  <r>
    <n v="27"/>
    <x v="1"/>
    <s v="Travel_Rarely"/>
    <n v="511"/>
    <s v="Sales"/>
    <n v="2"/>
    <n v="2"/>
    <s v="Medical"/>
    <n v="1"/>
    <n v="1898"/>
    <n v="1"/>
    <x v="0"/>
    <n v="89"/>
    <n v="4"/>
    <x v="0"/>
    <x v="0"/>
    <x v="2"/>
    <s v="Single"/>
    <n v="6500"/>
    <n v="26997"/>
    <n v="0"/>
    <s v="Y"/>
    <s v="No"/>
    <n v="14"/>
    <n v="3"/>
    <n v="2"/>
    <n v="80"/>
    <n v="0"/>
    <n v="9"/>
    <n v="5"/>
    <n v="2"/>
    <x v="3"/>
    <n v="7"/>
    <n v="0"/>
    <n v="7"/>
    <x v="0"/>
    <n v="0"/>
    <n v="0"/>
    <x v="4"/>
    <n v="1"/>
    <m/>
    <m/>
  </r>
  <r>
    <n v="48"/>
    <x v="1"/>
    <s v="Travel_Frequently"/>
    <n v="117"/>
    <s v="Research &amp; Development"/>
    <n v="22"/>
    <n v="3"/>
    <s v="Medical"/>
    <n v="1"/>
    <n v="1900"/>
    <n v="4"/>
    <x v="0"/>
    <n v="58"/>
    <n v="3"/>
    <x v="3"/>
    <x v="5"/>
    <x v="0"/>
    <s v="Divorced"/>
    <n v="17174"/>
    <n v="2437"/>
    <n v="3"/>
    <s v="Y"/>
    <s v="No"/>
    <n v="11"/>
    <n v="3"/>
    <n v="2"/>
    <n v="80"/>
    <n v="1"/>
    <n v="24"/>
    <n v="3"/>
    <n v="3"/>
    <x v="14"/>
    <n v="17"/>
    <n v="4"/>
    <n v="7"/>
    <x v="4"/>
    <n v="0"/>
    <n v="0"/>
    <x v="3"/>
    <n v="1"/>
    <m/>
    <m/>
  </r>
  <r>
    <n v="44"/>
    <x v="1"/>
    <s v="Travel_Rarely"/>
    <n v="170"/>
    <s v="Research &amp; Development"/>
    <n v="1"/>
    <n v="4"/>
    <s v="Life Sciences"/>
    <n v="1"/>
    <n v="1903"/>
    <n v="2"/>
    <x v="1"/>
    <n v="78"/>
    <n v="4"/>
    <x v="0"/>
    <x v="4"/>
    <x v="3"/>
    <s v="Married"/>
    <n v="5033"/>
    <n v="9364"/>
    <n v="2"/>
    <s v="Y"/>
    <s v="No"/>
    <n v="15"/>
    <n v="3"/>
    <n v="4"/>
    <n v="80"/>
    <n v="1"/>
    <n v="10"/>
    <n v="5"/>
    <n v="3"/>
    <x v="4"/>
    <n v="0"/>
    <n v="2"/>
    <n v="2"/>
    <x v="3"/>
    <n v="0"/>
    <n v="0"/>
    <x v="0"/>
    <n v="1"/>
    <m/>
    <m/>
  </r>
  <r>
    <n v="34"/>
    <x v="0"/>
    <s v="Non-Travel"/>
    <n v="967"/>
    <s v="Research &amp; Development"/>
    <n v="16"/>
    <n v="4"/>
    <s v="Technical Degree"/>
    <n v="1"/>
    <n v="1905"/>
    <n v="4"/>
    <x v="1"/>
    <n v="85"/>
    <n v="1"/>
    <x v="1"/>
    <x v="1"/>
    <x v="3"/>
    <s v="Married"/>
    <n v="2307"/>
    <n v="14460"/>
    <n v="1"/>
    <s v="Y"/>
    <s v="Yes"/>
    <n v="23"/>
    <n v="4"/>
    <n v="2"/>
    <n v="80"/>
    <n v="1"/>
    <n v="5"/>
    <n v="2"/>
    <n v="3"/>
    <x v="8"/>
    <n v="2"/>
    <n v="3"/>
    <n v="0"/>
    <x v="1"/>
    <n v="1"/>
    <n v="41526"/>
    <x v="1"/>
    <n v="1"/>
    <m/>
    <m/>
  </r>
  <r>
    <n v="56"/>
    <x v="0"/>
    <s v="Travel_Rarely"/>
    <n v="1162"/>
    <s v="Research &amp; Development"/>
    <n v="24"/>
    <n v="2"/>
    <s v="Life Sciences"/>
    <n v="1"/>
    <n v="1907"/>
    <n v="1"/>
    <x v="1"/>
    <n v="97"/>
    <n v="3"/>
    <x v="1"/>
    <x v="2"/>
    <x v="0"/>
    <s v="Single"/>
    <n v="2587"/>
    <n v="10261"/>
    <n v="1"/>
    <s v="Y"/>
    <s v="No"/>
    <n v="16"/>
    <n v="3"/>
    <n v="4"/>
    <n v="80"/>
    <n v="0"/>
    <n v="5"/>
    <n v="3"/>
    <n v="3"/>
    <x v="9"/>
    <n v="2"/>
    <n v="1"/>
    <n v="0"/>
    <x v="1"/>
    <n v="1"/>
    <n v="46566"/>
    <x v="1"/>
    <n v="1"/>
    <m/>
    <m/>
  </r>
  <r>
    <n v="36"/>
    <x v="1"/>
    <s v="Travel_Rarely"/>
    <n v="335"/>
    <s v="Sales"/>
    <n v="17"/>
    <n v="2"/>
    <s v="Marketing"/>
    <n v="1"/>
    <n v="1908"/>
    <n v="3"/>
    <x v="1"/>
    <n v="33"/>
    <n v="2"/>
    <x v="0"/>
    <x v="0"/>
    <x v="1"/>
    <s v="Married"/>
    <n v="5507"/>
    <n v="16822"/>
    <n v="2"/>
    <s v="Y"/>
    <s v="No"/>
    <n v="16"/>
    <n v="3"/>
    <n v="3"/>
    <n v="80"/>
    <n v="2"/>
    <n v="12"/>
    <n v="1"/>
    <n v="1"/>
    <x v="9"/>
    <n v="2"/>
    <n v="1"/>
    <n v="3"/>
    <x v="0"/>
    <n v="0"/>
    <n v="0"/>
    <x v="0"/>
    <n v="1"/>
    <m/>
    <m/>
  </r>
  <r>
    <n v="41"/>
    <x v="1"/>
    <s v="Travel_Rarely"/>
    <n v="337"/>
    <s v="Sales"/>
    <n v="8"/>
    <n v="3"/>
    <s v="Marketing"/>
    <n v="1"/>
    <n v="1909"/>
    <n v="3"/>
    <x v="0"/>
    <n v="54"/>
    <n v="3"/>
    <x v="0"/>
    <x v="0"/>
    <x v="1"/>
    <s v="Married"/>
    <n v="4393"/>
    <n v="26841"/>
    <n v="5"/>
    <s v="Y"/>
    <s v="No"/>
    <n v="21"/>
    <n v="4"/>
    <n v="3"/>
    <n v="80"/>
    <n v="1"/>
    <n v="14"/>
    <n v="3"/>
    <n v="3"/>
    <x v="8"/>
    <n v="4"/>
    <n v="1"/>
    <n v="4"/>
    <x v="0"/>
    <n v="0"/>
    <n v="0"/>
    <x v="0"/>
    <n v="1"/>
    <m/>
    <m/>
  </r>
  <r>
    <n v="42"/>
    <x v="1"/>
    <s v="Travel_Rarely"/>
    <n v="1396"/>
    <s v="Research &amp; Development"/>
    <n v="6"/>
    <n v="3"/>
    <s v="Medical"/>
    <n v="1"/>
    <n v="1911"/>
    <n v="3"/>
    <x v="1"/>
    <n v="83"/>
    <n v="3"/>
    <x v="2"/>
    <x v="7"/>
    <x v="3"/>
    <s v="Married"/>
    <n v="13348"/>
    <n v="14842"/>
    <n v="9"/>
    <s v="Y"/>
    <s v="No"/>
    <n v="13"/>
    <n v="3"/>
    <n v="2"/>
    <n v="80"/>
    <n v="1"/>
    <n v="18"/>
    <n v="3"/>
    <n v="4"/>
    <x v="20"/>
    <n v="7"/>
    <n v="5"/>
    <n v="7"/>
    <x v="1"/>
    <n v="0"/>
    <n v="0"/>
    <x v="3"/>
    <n v="1"/>
    <m/>
    <m/>
  </r>
  <r>
    <n v="31"/>
    <x v="1"/>
    <s v="Travel_Rarely"/>
    <n v="1079"/>
    <s v="Sales"/>
    <n v="10"/>
    <n v="2"/>
    <s v="Medical"/>
    <n v="1"/>
    <n v="1912"/>
    <n v="3"/>
    <x v="0"/>
    <n v="86"/>
    <n v="3"/>
    <x v="0"/>
    <x v="0"/>
    <x v="0"/>
    <s v="Divorced"/>
    <n v="6583"/>
    <n v="20115"/>
    <n v="2"/>
    <s v="Y"/>
    <s v="Yes"/>
    <n v="11"/>
    <n v="3"/>
    <n v="4"/>
    <n v="80"/>
    <n v="1"/>
    <n v="8"/>
    <n v="2"/>
    <n v="3"/>
    <x v="8"/>
    <n v="2"/>
    <n v="1"/>
    <n v="4"/>
    <x v="0"/>
    <n v="0"/>
    <n v="0"/>
    <x v="4"/>
    <n v="1"/>
    <m/>
    <m/>
  </r>
  <r>
    <n v="34"/>
    <x v="1"/>
    <s v="Travel_Rarely"/>
    <n v="735"/>
    <s v="Sales"/>
    <n v="3"/>
    <n v="1"/>
    <s v="Medical"/>
    <n v="1"/>
    <n v="1915"/>
    <n v="4"/>
    <x v="0"/>
    <n v="75"/>
    <n v="2"/>
    <x v="0"/>
    <x v="0"/>
    <x v="0"/>
    <s v="Married"/>
    <n v="8103"/>
    <n v="16495"/>
    <n v="3"/>
    <s v="Y"/>
    <s v="Yes"/>
    <n v="12"/>
    <n v="3"/>
    <n v="3"/>
    <n v="80"/>
    <n v="0"/>
    <n v="9"/>
    <n v="3"/>
    <n v="2"/>
    <x v="9"/>
    <n v="2"/>
    <n v="0"/>
    <n v="1"/>
    <x v="0"/>
    <n v="0"/>
    <n v="0"/>
    <x v="4"/>
    <n v="1"/>
    <m/>
    <m/>
  </r>
  <r>
    <n v="31"/>
    <x v="1"/>
    <s v="Travel_Rarely"/>
    <n v="471"/>
    <s v="Research &amp; Development"/>
    <n v="4"/>
    <n v="3"/>
    <s v="Medical"/>
    <n v="1"/>
    <n v="1916"/>
    <n v="1"/>
    <x v="0"/>
    <n v="62"/>
    <n v="4"/>
    <x v="1"/>
    <x v="2"/>
    <x v="2"/>
    <s v="Divorced"/>
    <n v="3978"/>
    <n v="16031"/>
    <n v="8"/>
    <s v="Y"/>
    <s v="No"/>
    <n v="12"/>
    <n v="3"/>
    <n v="2"/>
    <n v="80"/>
    <n v="1"/>
    <n v="4"/>
    <n v="0"/>
    <n v="2"/>
    <x v="4"/>
    <n v="2"/>
    <n v="2"/>
    <n v="2"/>
    <x v="1"/>
    <n v="0"/>
    <n v="0"/>
    <x v="0"/>
    <n v="1"/>
    <m/>
    <m/>
  </r>
  <r>
    <n v="26"/>
    <x v="1"/>
    <s v="Travel_Frequently"/>
    <n v="1096"/>
    <s v="Research &amp; Development"/>
    <n v="6"/>
    <n v="3"/>
    <s v="Other"/>
    <n v="1"/>
    <n v="1918"/>
    <n v="3"/>
    <x v="1"/>
    <n v="61"/>
    <n v="4"/>
    <x v="1"/>
    <x v="2"/>
    <x v="0"/>
    <s v="Married"/>
    <n v="2544"/>
    <n v="7102"/>
    <n v="0"/>
    <s v="Y"/>
    <s v="No"/>
    <n v="18"/>
    <n v="3"/>
    <n v="1"/>
    <n v="80"/>
    <n v="1"/>
    <n v="8"/>
    <n v="3"/>
    <n v="3"/>
    <x v="5"/>
    <n v="7"/>
    <n v="7"/>
    <n v="7"/>
    <x v="1"/>
    <n v="0"/>
    <n v="0"/>
    <x v="1"/>
    <n v="1"/>
    <m/>
    <m/>
  </r>
  <r>
    <n v="45"/>
    <x v="1"/>
    <s v="Travel_Frequently"/>
    <n v="1297"/>
    <s v="Research &amp; Development"/>
    <n v="1"/>
    <n v="4"/>
    <s v="Medical"/>
    <n v="1"/>
    <n v="1922"/>
    <n v="2"/>
    <x v="1"/>
    <n v="44"/>
    <n v="3"/>
    <x v="0"/>
    <x v="4"/>
    <x v="2"/>
    <s v="Single"/>
    <n v="5399"/>
    <n v="14511"/>
    <n v="4"/>
    <s v="Y"/>
    <s v="No"/>
    <n v="12"/>
    <n v="3"/>
    <n v="3"/>
    <n v="80"/>
    <n v="0"/>
    <n v="12"/>
    <n v="3"/>
    <n v="3"/>
    <x v="9"/>
    <n v="2"/>
    <n v="0"/>
    <n v="3"/>
    <x v="3"/>
    <n v="0"/>
    <n v="0"/>
    <x v="0"/>
    <n v="1"/>
    <m/>
    <m/>
  </r>
  <r>
    <n v="33"/>
    <x v="1"/>
    <s v="Travel_Rarely"/>
    <n v="217"/>
    <s v="Sales"/>
    <n v="10"/>
    <n v="4"/>
    <s v="Marketing"/>
    <n v="1"/>
    <n v="1924"/>
    <n v="2"/>
    <x v="1"/>
    <n v="43"/>
    <n v="3"/>
    <x v="0"/>
    <x v="0"/>
    <x v="2"/>
    <s v="Single"/>
    <n v="5487"/>
    <n v="10410"/>
    <n v="1"/>
    <s v="Y"/>
    <s v="No"/>
    <n v="14"/>
    <n v="3"/>
    <n v="2"/>
    <n v="80"/>
    <n v="0"/>
    <n v="10"/>
    <n v="2"/>
    <n v="2"/>
    <x v="1"/>
    <n v="4"/>
    <n v="0"/>
    <n v="9"/>
    <x v="0"/>
    <n v="0"/>
    <n v="0"/>
    <x v="0"/>
    <n v="1"/>
    <m/>
    <m/>
  </r>
  <r>
    <n v="28"/>
    <x v="1"/>
    <s v="Travel_Frequently"/>
    <n v="783"/>
    <s v="Sales"/>
    <n v="1"/>
    <n v="2"/>
    <s v="Life Sciences"/>
    <n v="1"/>
    <n v="1927"/>
    <n v="3"/>
    <x v="1"/>
    <n v="42"/>
    <n v="2"/>
    <x v="0"/>
    <x v="0"/>
    <x v="0"/>
    <s v="Married"/>
    <n v="6834"/>
    <n v="19255"/>
    <n v="1"/>
    <s v="Y"/>
    <s v="Yes"/>
    <n v="12"/>
    <n v="3"/>
    <n v="3"/>
    <n v="80"/>
    <n v="1"/>
    <n v="7"/>
    <n v="2"/>
    <n v="3"/>
    <x v="5"/>
    <n v="7"/>
    <n v="0"/>
    <n v="7"/>
    <x v="0"/>
    <n v="0"/>
    <n v="0"/>
    <x v="4"/>
    <n v="1"/>
    <m/>
    <m/>
  </r>
  <r>
    <n v="29"/>
    <x v="0"/>
    <s v="Travel_Frequently"/>
    <n v="746"/>
    <s v="Sales"/>
    <n v="24"/>
    <n v="3"/>
    <s v="Technical Degree"/>
    <n v="1"/>
    <n v="1928"/>
    <n v="3"/>
    <x v="1"/>
    <n v="45"/>
    <n v="4"/>
    <x v="1"/>
    <x v="6"/>
    <x v="3"/>
    <s v="Single"/>
    <n v="1091"/>
    <n v="10642"/>
    <n v="1"/>
    <s v="Y"/>
    <s v="No"/>
    <n v="17"/>
    <n v="3"/>
    <n v="4"/>
    <n v="80"/>
    <n v="0"/>
    <n v="1"/>
    <n v="3"/>
    <n v="3"/>
    <x v="6"/>
    <n v="0"/>
    <n v="0"/>
    <n v="0"/>
    <x v="0"/>
    <n v="1"/>
    <n v="19638"/>
    <x v="1"/>
    <n v="1"/>
    <m/>
    <m/>
  </r>
  <r>
    <n v="39"/>
    <x v="1"/>
    <s v="Non-Travel"/>
    <n v="1251"/>
    <s v="Sales"/>
    <n v="21"/>
    <n v="4"/>
    <s v="Life Sciences"/>
    <n v="1"/>
    <n v="1929"/>
    <n v="1"/>
    <x v="0"/>
    <n v="32"/>
    <n v="1"/>
    <x v="0"/>
    <x v="0"/>
    <x v="2"/>
    <s v="Married"/>
    <n v="5736"/>
    <n v="3987"/>
    <n v="6"/>
    <s v="Y"/>
    <s v="No"/>
    <n v="19"/>
    <n v="3"/>
    <n v="3"/>
    <n v="80"/>
    <n v="1"/>
    <n v="10"/>
    <n v="1"/>
    <n v="3"/>
    <x v="11"/>
    <n v="2"/>
    <n v="1"/>
    <n v="2"/>
    <x v="0"/>
    <n v="0"/>
    <n v="0"/>
    <x v="0"/>
    <n v="1"/>
    <m/>
    <m/>
  </r>
  <r>
    <n v="27"/>
    <x v="1"/>
    <s v="Travel_Rarely"/>
    <n v="1354"/>
    <s v="Research &amp; Development"/>
    <n v="2"/>
    <n v="4"/>
    <s v="Technical Degree"/>
    <n v="1"/>
    <n v="1931"/>
    <n v="2"/>
    <x v="1"/>
    <n v="41"/>
    <n v="3"/>
    <x v="1"/>
    <x v="1"/>
    <x v="1"/>
    <s v="Married"/>
    <n v="2226"/>
    <n v="6073"/>
    <n v="1"/>
    <s v="Y"/>
    <s v="No"/>
    <n v="11"/>
    <n v="3"/>
    <n v="3"/>
    <n v="80"/>
    <n v="1"/>
    <n v="6"/>
    <n v="3"/>
    <n v="2"/>
    <x v="8"/>
    <n v="3"/>
    <n v="1"/>
    <n v="2"/>
    <x v="1"/>
    <n v="0"/>
    <n v="0"/>
    <x v="1"/>
    <n v="1"/>
    <m/>
    <m/>
  </r>
  <r>
    <n v="34"/>
    <x v="1"/>
    <s v="Travel_Frequently"/>
    <n v="735"/>
    <s v="Research &amp; Development"/>
    <n v="22"/>
    <n v="4"/>
    <s v="Other"/>
    <n v="1"/>
    <n v="1932"/>
    <n v="3"/>
    <x v="1"/>
    <n v="86"/>
    <n v="2"/>
    <x v="0"/>
    <x v="1"/>
    <x v="0"/>
    <s v="Married"/>
    <n v="5747"/>
    <n v="26496"/>
    <n v="1"/>
    <s v="Y"/>
    <s v="Yes"/>
    <n v="15"/>
    <n v="3"/>
    <n v="2"/>
    <n v="80"/>
    <n v="0"/>
    <n v="16"/>
    <n v="3"/>
    <n v="3"/>
    <x v="15"/>
    <n v="10"/>
    <n v="6"/>
    <n v="11"/>
    <x v="1"/>
    <n v="0"/>
    <n v="0"/>
    <x v="0"/>
    <n v="1"/>
    <m/>
    <m/>
  </r>
  <r>
    <n v="28"/>
    <x v="0"/>
    <s v="Travel_Rarely"/>
    <n v="1475"/>
    <s v="Sales"/>
    <n v="13"/>
    <n v="2"/>
    <s v="Marketing"/>
    <n v="1"/>
    <n v="1933"/>
    <n v="4"/>
    <x v="0"/>
    <n v="84"/>
    <n v="3"/>
    <x v="0"/>
    <x v="0"/>
    <x v="2"/>
    <s v="Single"/>
    <n v="9854"/>
    <n v="23352"/>
    <n v="3"/>
    <s v="Y"/>
    <s v="Yes"/>
    <n v="11"/>
    <n v="3"/>
    <n v="4"/>
    <n v="80"/>
    <n v="0"/>
    <n v="6"/>
    <n v="0"/>
    <n v="3"/>
    <x v="4"/>
    <n v="0"/>
    <n v="2"/>
    <n v="2"/>
    <x v="0"/>
    <n v="1"/>
    <n v="177372"/>
    <x v="2"/>
    <n v="1"/>
    <m/>
    <m/>
  </r>
  <r>
    <n v="47"/>
    <x v="1"/>
    <s v="Non-Travel"/>
    <n v="1169"/>
    <s v="Research &amp; Development"/>
    <n v="14"/>
    <n v="4"/>
    <s v="Technical Degree"/>
    <n v="1"/>
    <n v="1934"/>
    <n v="3"/>
    <x v="1"/>
    <n v="64"/>
    <n v="3"/>
    <x v="0"/>
    <x v="1"/>
    <x v="1"/>
    <s v="Married"/>
    <n v="5467"/>
    <n v="2125"/>
    <n v="8"/>
    <s v="Y"/>
    <s v="No"/>
    <n v="18"/>
    <n v="3"/>
    <n v="3"/>
    <n v="80"/>
    <n v="1"/>
    <n v="16"/>
    <n v="4"/>
    <n v="4"/>
    <x v="3"/>
    <n v="7"/>
    <n v="1"/>
    <n v="7"/>
    <x v="1"/>
    <n v="0"/>
    <n v="0"/>
    <x v="0"/>
    <n v="1"/>
    <m/>
    <m/>
  </r>
  <r>
    <n v="56"/>
    <x v="1"/>
    <s v="Travel_Rarely"/>
    <n v="1443"/>
    <s v="Sales"/>
    <n v="11"/>
    <n v="5"/>
    <s v="Marketing"/>
    <n v="1"/>
    <n v="1935"/>
    <n v="4"/>
    <x v="0"/>
    <n v="89"/>
    <n v="2"/>
    <x v="0"/>
    <x v="0"/>
    <x v="3"/>
    <s v="Married"/>
    <n v="5380"/>
    <n v="20328"/>
    <n v="4"/>
    <s v="Y"/>
    <s v="No"/>
    <n v="16"/>
    <n v="3"/>
    <n v="3"/>
    <n v="80"/>
    <n v="1"/>
    <n v="6"/>
    <n v="3"/>
    <n v="3"/>
    <x v="2"/>
    <n v="0"/>
    <n v="0"/>
    <n v="0"/>
    <x v="0"/>
    <n v="0"/>
    <n v="0"/>
    <x v="0"/>
    <n v="1"/>
    <m/>
    <m/>
  </r>
  <r>
    <n v="39"/>
    <x v="1"/>
    <s v="Travel_Rarely"/>
    <n v="867"/>
    <s v="Research &amp; Development"/>
    <n v="9"/>
    <n v="2"/>
    <s v="Medical"/>
    <n v="1"/>
    <n v="1936"/>
    <n v="1"/>
    <x v="1"/>
    <n v="87"/>
    <n v="3"/>
    <x v="0"/>
    <x v="3"/>
    <x v="3"/>
    <s v="Married"/>
    <n v="5151"/>
    <n v="12315"/>
    <n v="1"/>
    <s v="Y"/>
    <s v="No"/>
    <n v="25"/>
    <n v="4"/>
    <n v="4"/>
    <n v="80"/>
    <n v="1"/>
    <n v="10"/>
    <n v="3"/>
    <n v="3"/>
    <x v="1"/>
    <n v="0"/>
    <n v="7"/>
    <n v="9"/>
    <x v="2"/>
    <n v="0"/>
    <n v="0"/>
    <x v="0"/>
    <n v="1"/>
    <m/>
    <m/>
  </r>
  <r>
    <n v="38"/>
    <x v="1"/>
    <s v="Travel_Frequently"/>
    <n v="1394"/>
    <s v="Research &amp; Development"/>
    <n v="8"/>
    <n v="3"/>
    <s v="Medical"/>
    <n v="1"/>
    <n v="1937"/>
    <n v="4"/>
    <x v="0"/>
    <n v="58"/>
    <n v="2"/>
    <x v="0"/>
    <x v="1"/>
    <x v="1"/>
    <s v="Divorced"/>
    <n v="2133"/>
    <n v="18115"/>
    <n v="1"/>
    <s v="Y"/>
    <s v="Yes"/>
    <n v="16"/>
    <n v="3"/>
    <n v="3"/>
    <n v="80"/>
    <n v="1"/>
    <n v="20"/>
    <n v="3"/>
    <n v="3"/>
    <x v="23"/>
    <n v="11"/>
    <n v="0"/>
    <n v="7"/>
    <x v="1"/>
    <n v="0"/>
    <n v="0"/>
    <x v="1"/>
    <n v="1"/>
    <m/>
    <m/>
  </r>
  <r>
    <n v="58"/>
    <x v="1"/>
    <s v="Travel_Rarely"/>
    <n v="605"/>
    <s v="Sales"/>
    <n v="21"/>
    <n v="3"/>
    <s v="Life Sciences"/>
    <n v="1"/>
    <n v="1938"/>
    <n v="4"/>
    <x v="0"/>
    <n v="72"/>
    <n v="3"/>
    <x v="3"/>
    <x v="5"/>
    <x v="0"/>
    <s v="Married"/>
    <n v="17875"/>
    <n v="11761"/>
    <n v="4"/>
    <s v="Y"/>
    <s v="Yes"/>
    <n v="13"/>
    <n v="3"/>
    <n v="3"/>
    <n v="80"/>
    <n v="1"/>
    <n v="29"/>
    <n v="2"/>
    <n v="2"/>
    <x v="6"/>
    <n v="0"/>
    <n v="0"/>
    <n v="0"/>
    <x v="4"/>
    <n v="0"/>
    <n v="0"/>
    <x v="3"/>
    <n v="1"/>
    <m/>
    <m/>
  </r>
  <r>
    <n v="32"/>
    <x v="0"/>
    <s v="Travel_Frequently"/>
    <n v="238"/>
    <s v="Research &amp; Development"/>
    <n v="5"/>
    <n v="2"/>
    <s v="Life Sciences"/>
    <n v="1"/>
    <n v="1939"/>
    <n v="1"/>
    <x v="0"/>
    <n v="47"/>
    <n v="4"/>
    <x v="1"/>
    <x v="1"/>
    <x v="2"/>
    <s v="Single"/>
    <n v="2432"/>
    <n v="15318"/>
    <n v="3"/>
    <s v="Y"/>
    <s v="Yes"/>
    <n v="14"/>
    <n v="3"/>
    <n v="1"/>
    <n v="80"/>
    <n v="0"/>
    <n v="8"/>
    <n v="2"/>
    <n v="3"/>
    <x v="9"/>
    <n v="1"/>
    <n v="0"/>
    <n v="3"/>
    <x v="1"/>
    <n v="1"/>
    <n v="43776"/>
    <x v="1"/>
    <n v="1"/>
    <m/>
    <m/>
  </r>
  <r>
    <n v="38"/>
    <x v="1"/>
    <s v="Travel_Rarely"/>
    <n v="1206"/>
    <s v="Research &amp; Development"/>
    <n v="9"/>
    <n v="2"/>
    <s v="Life Sciences"/>
    <n v="1"/>
    <n v="1940"/>
    <n v="2"/>
    <x v="1"/>
    <n v="71"/>
    <n v="3"/>
    <x v="1"/>
    <x v="1"/>
    <x v="0"/>
    <s v="Divorced"/>
    <n v="4771"/>
    <n v="14293"/>
    <n v="2"/>
    <s v="Y"/>
    <s v="No"/>
    <n v="19"/>
    <n v="3"/>
    <n v="4"/>
    <n v="80"/>
    <n v="2"/>
    <n v="10"/>
    <n v="0"/>
    <n v="4"/>
    <x v="8"/>
    <n v="2"/>
    <n v="0"/>
    <n v="3"/>
    <x v="1"/>
    <n v="0"/>
    <n v="0"/>
    <x v="0"/>
    <n v="1"/>
    <m/>
    <m/>
  </r>
  <r>
    <n v="49"/>
    <x v="1"/>
    <s v="Travel_Frequently"/>
    <n v="1064"/>
    <s v="Research &amp; Development"/>
    <n v="2"/>
    <n v="1"/>
    <s v="Life Sciences"/>
    <n v="1"/>
    <n v="1941"/>
    <n v="2"/>
    <x v="1"/>
    <n v="42"/>
    <n v="3"/>
    <x v="4"/>
    <x v="7"/>
    <x v="0"/>
    <s v="Married"/>
    <n v="19161"/>
    <n v="13738"/>
    <n v="3"/>
    <s v="Y"/>
    <s v="No"/>
    <n v="15"/>
    <n v="3"/>
    <n v="4"/>
    <n v="80"/>
    <n v="0"/>
    <n v="28"/>
    <n v="3"/>
    <n v="3"/>
    <x v="8"/>
    <n v="4"/>
    <n v="4"/>
    <n v="3"/>
    <x v="1"/>
    <n v="0"/>
    <n v="0"/>
    <x v="3"/>
    <n v="1"/>
    <m/>
    <m/>
  </r>
  <r>
    <n v="42"/>
    <x v="1"/>
    <s v="Travel_Rarely"/>
    <n v="419"/>
    <s v="Sales"/>
    <n v="12"/>
    <n v="4"/>
    <s v="Marketing"/>
    <n v="1"/>
    <n v="1943"/>
    <n v="2"/>
    <x v="1"/>
    <n v="77"/>
    <n v="3"/>
    <x v="0"/>
    <x v="0"/>
    <x v="0"/>
    <s v="Divorced"/>
    <n v="5087"/>
    <n v="2900"/>
    <n v="3"/>
    <s v="Y"/>
    <s v="Yes"/>
    <n v="12"/>
    <n v="3"/>
    <n v="3"/>
    <n v="80"/>
    <n v="2"/>
    <n v="14"/>
    <n v="4"/>
    <n v="3"/>
    <x v="2"/>
    <n v="0"/>
    <n v="0"/>
    <n v="0"/>
    <x v="0"/>
    <n v="0"/>
    <n v="0"/>
    <x v="0"/>
    <n v="1"/>
    <m/>
    <m/>
  </r>
  <r>
    <n v="27"/>
    <x v="0"/>
    <s v="Travel_Frequently"/>
    <n v="1337"/>
    <s v="Human Resources"/>
    <n v="22"/>
    <n v="3"/>
    <s v="Human Resources"/>
    <n v="1"/>
    <n v="1944"/>
    <n v="1"/>
    <x v="0"/>
    <n v="58"/>
    <n v="2"/>
    <x v="1"/>
    <x v="8"/>
    <x v="1"/>
    <s v="Married"/>
    <n v="2863"/>
    <n v="19555"/>
    <n v="1"/>
    <s v="Y"/>
    <s v="No"/>
    <n v="12"/>
    <n v="3"/>
    <n v="1"/>
    <n v="80"/>
    <n v="0"/>
    <n v="1"/>
    <n v="2"/>
    <n v="3"/>
    <x v="6"/>
    <n v="0"/>
    <n v="0"/>
    <n v="0"/>
    <x v="5"/>
    <n v="1"/>
    <n v="51534"/>
    <x v="1"/>
    <n v="1"/>
    <m/>
    <m/>
  </r>
  <r>
    <n v="35"/>
    <x v="1"/>
    <s v="Travel_Rarely"/>
    <n v="682"/>
    <s v="Sales"/>
    <n v="18"/>
    <n v="4"/>
    <s v="Medical"/>
    <n v="1"/>
    <n v="1945"/>
    <n v="2"/>
    <x v="1"/>
    <n v="71"/>
    <n v="3"/>
    <x v="0"/>
    <x v="0"/>
    <x v="3"/>
    <s v="Married"/>
    <n v="5561"/>
    <n v="15975"/>
    <n v="0"/>
    <s v="Y"/>
    <s v="No"/>
    <n v="16"/>
    <n v="3"/>
    <n v="4"/>
    <n v="80"/>
    <n v="1"/>
    <n v="6"/>
    <n v="2"/>
    <n v="1"/>
    <x v="8"/>
    <n v="3"/>
    <n v="0"/>
    <n v="4"/>
    <x v="0"/>
    <n v="0"/>
    <n v="0"/>
    <x v="0"/>
    <n v="1"/>
    <m/>
    <m/>
  </r>
  <r>
    <n v="28"/>
    <x v="1"/>
    <s v="Non-Travel"/>
    <n v="1103"/>
    <s v="Research &amp; Development"/>
    <n v="16"/>
    <n v="3"/>
    <s v="Medical"/>
    <n v="1"/>
    <n v="1947"/>
    <n v="3"/>
    <x v="1"/>
    <n v="49"/>
    <n v="3"/>
    <x v="1"/>
    <x v="1"/>
    <x v="2"/>
    <s v="Single"/>
    <n v="2144"/>
    <n v="2122"/>
    <n v="1"/>
    <s v="Y"/>
    <s v="No"/>
    <n v="14"/>
    <n v="3"/>
    <n v="3"/>
    <n v="80"/>
    <n v="0"/>
    <n v="5"/>
    <n v="3"/>
    <n v="2"/>
    <x v="8"/>
    <n v="3"/>
    <n v="1"/>
    <n v="4"/>
    <x v="1"/>
    <n v="0"/>
    <n v="0"/>
    <x v="1"/>
    <n v="1"/>
    <m/>
    <m/>
  </r>
  <r>
    <n v="31"/>
    <x v="1"/>
    <s v="Non-Travel"/>
    <n v="976"/>
    <s v="Research &amp; Development"/>
    <n v="3"/>
    <n v="2"/>
    <s v="Medical"/>
    <n v="1"/>
    <n v="1948"/>
    <n v="3"/>
    <x v="1"/>
    <n v="48"/>
    <n v="3"/>
    <x v="1"/>
    <x v="1"/>
    <x v="3"/>
    <s v="Divorced"/>
    <n v="3065"/>
    <n v="3995"/>
    <n v="1"/>
    <s v="Y"/>
    <s v="Yes"/>
    <n v="13"/>
    <n v="3"/>
    <n v="4"/>
    <n v="80"/>
    <n v="1"/>
    <n v="4"/>
    <n v="3"/>
    <n v="4"/>
    <x v="9"/>
    <n v="2"/>
    <n v="2"/>
    <n v="3"/>
    <x v="1"/>
    <n v="0"/>
    <n v="0"/>
    <x v="0"/>
    <n v="1"/>
    <m/>
    <m/>
  </r>
  <r>
    <n v="36"/>
    <x v="1"/>
    <s v="Non-Travel"/>
    <n v="1351"/>
    <s v="Research &amp; Development"/>
    <n v="9"/>
    <n v="4"/>
    <s v="Life Sciences"/>
    <n v="1"/>
    <n v="1949"/>
    <n v="1"/>
    <x v="1"/>
    <n v="66"/>
    <n v="4"/>
    <x v="1"/>
    <x v="2"/>
    <x v="1"/>
    <s v="Married"/>
    <n v="2810"/>
    <n v="9238"/>
    <n v="1"/>
    <s v="Y"/>
    <s v="No"/>
    <n v="22"/>
    <n v="4"/>
    <n v="2"/>
    <n v="80"/>
    <n v="0"/>
    <n v="5"/>
    <n v="3"/>
    <n v="3"/>
    <x v="8"/>
    <n v="4"/>
    <n v="0"/>
    <n v="2"/>
    <x v="1"/>
    <n v="0"/>
    <n v="0"/>
    <x v="1"/>
    <n v="1"/>
    <m/>
    <m/>
  </r>
  <r>
    <n v="34"/>
    <x v="1"/>
    <s v="Travel_Rarely"/>
    <n v="937"/>
    <s v="Sales"/>
    <n v="1"/>
    <n v="3"/>
    <s v="Marketing"/>
    <n v="1"/>
    <n v="1950"/>
    <n v="1"/>
    <x v="1"/>
    <n v="32"/>
    <n v="3"/>
    <x v="2"/>
    <x v="0"/>
    <x v="0"/>
    <s v="Single"/>
    <n v="9888"/>
    <n v="6770"/>
    <n v="1"/>
    <s v="Y"/>
    <s v="No"/>
    <n v="21"/>
    <n v="4"/>
    <n v="1"/>
    <n v="80"/>
    <n v="0"/>
    <n v="14"/>
    <n v="3"/>
    <n v="2"/>
    <x v="13"/>
    <n v="8"/>
    <n v="2"/>
    <n v="1"/>
    <x v="0"/>
    <n v="0"/>
    <n v="0"/>
    <x v="2"/>
    <n v="1"/>
    <m/>
    <m/>
  </r>
  <r>
    <n v="34"/>
    <x v="1"/>
    <s v="Travel_Rarely"/>
    <n v="1239"/>
    <s v="Sales"/>
    <n v="13"/>
    <n v="4"/>
    <s v="Medical"/>
    <n v="1"/>
    <n v="1951"/>
    <n v="4"/>
    <x v="1"/>
    <n v="39"/>
    <n v="3"/>
    <x v="2"/>
    <x v="0"/>
    <x v="2"/>
    <s v="Divorced"/>
    <n v="8628"/>
    <n v="22914"/>
    <n v="1"/>
    <s v="Y"/>
    <s v="No"/>
    <n v="18"/>
    <n v="3"/>
    <n v="3"/>
    <n v="80"/>
    <n v="1"/>
    <n v="9"/>
    <n v="2"/>
    <n v="2"/>
    <x v="3"/>
    <n v="7"/>
    <n v="1"/>
    <n v="1"/>
    <x v="0"/>
    <n v="0"/>
    <n v="0"/>
    <x v="4"/>
    <n v="1"/>
    <m/>
    <m/>
  </r>
  <r>
    <n v="26"/>
    <x v="1"/>
    <s v="Travel_Rarely"/>
    <n v="157"/>
    <s v="Research &amp; Development"/>
    <n v="1"/>
    <n v="3"/>
    <s v="Medical"/>
    <n v="1"/>
    <n v="1952"/>
    <n v="3"/>
    <x v="1"/>
    <n v="95"/>
    <n v="3"/>
    <x v="1"/>
    <x v="2"/>
    <x v="3"/>
    <s v="Single"/>
    <n v="2867"/>
    <n v="20006"/>
    <n v="0"/>
    <s v="Y"/>
    <s v="No"/>
    <n v="13"/>
    <n v="3"/>
    <n v="4"/>
    <n v="80"/>
    <n v="0"/>
    <n v="8"/>
    <n v="6"/>
    <n v="2"/>
    <x v="5"/>
    <n v="7"/>
    <n v="7"/>
    <n v="6"/>
    <x v="1"/>
    <n v="0"/>
    <n v="0"/>
    <x v="1"/>
    <n v="1"/>
    <m/>
    <m/>
  </r>
  <r>
    <n v="29"/>
    <x v="1"/>
    <s v="Travel_Rarely"/>
    <n v="136"/>
    <s v="Research &amp; Development"/>
    <n v="1"/>
    <n v="3"/>
    <s v="Life Sciences"/>
    <n v="1"/>
    <n v="1954"/>
    <n v="1"/>
    <x v="1"/>
    <n v="89"/>
    <n v="3"/>
    <x v="0"/>
    <x v="4"/>
    <x v="3"/>
    <s v="Married"/>
    <n v="5373"/>
    <n v="6225"/>
    <n v="0"/>
    <s v="Y"/>
    <s v="No"/>
    <n v="12"/>
    <n v="3"/>
    <n v="1"/>
    <n v="80"/>
    <n v="1"/>
    <n v="6"/>
    <n v="5"/>
    <n v="2"/>
    <x v="8"/>
    <n v="3"/>
    <n v="0"/>
    <n v="2"/>
    <x v="3"/>
    <n v="0"/>
    <n v="0"/>
    <x v="0"/>
    <n v="1"/>
    <m/>
    <m/>
  </r>
  <r>
    <n v="32"/>
    <x v="1"/>
    <s v="Non-Travel"/>
    <n v="1146"/>
    <s v="Research &amp; Development"/>
    <n v="15"/>
    <n v="4"/>
    <s v="Medical"/>
    <n v="1"/>
    <n v="1955"/>
    <n v="3"/>
    <x v="0"/>
    <n v="34"/>
    <n v="3"/>
    <x v="0"/>
    <x v="4"/>
    <x v="0"/>
    <s v="Divorced"/>
    <n v="6667"/>
    <n v="16542"/>
    <n v="5"/>
    <s v="Y"/>
    <s v="No"/>
    <n v="18"/>
    <n v="3"/>
    <n v="2"/>
    <n v="80"/>
    <n v="1"/>
    <n v="9"/>
    <n v="6"/>
    <n v="3"/>
    <x v="8"/>
    <n v="1"/>
    <n v="1"/>
    <n v="2"/>
    <x v="3"/>
    <n v="0"/>
    <n v="0"/>
    <x v="4"/>
    <n v="1"/>
    <m/>
    <m/>
  </r>
  <r>
    <n v="31"/>
    <x v="1"/>
    <s v="Travel_Frequently"/>
    <n v="1125"/>
    <s v="Research &amp; Development"/>
    <n v="1"/>
    <n v="3"/>
    <s v="Life Sciences"/>
    <n v="1"/>
    <n v="1956"/>
    <n v="4"/>
    <x v="1"/>
    <n v="48"/>
    <n v="1"/>
    <x v="0"/>
    <x v="1"/>
    <x v="3"/>
    <s v="Married"/>
    <n v="5003"/>
    <n v="5771"/>
    <n v="1"/>
    <s v="Y"/>
    <s v="No"/>
    <n v="21"/>
    <n v="4"/>
    <n v="2"/>
    <n v="80"/>
    <n v="0"/>
    <n v="10"/>
    <n v="6"/>
    <n v="3"/>
    <x v="1"/>
    <n v="8"/>
    <n v="8"/>
    <n v="7"/>
    <x v="1"/>
    <n v="0"/>
    <n v="0"/>
    <x v="0"/>
    <n v="1"/>
    <m/>
    <m/>
  </r>
  <r>
    <n v="28"/>
    <x v="0"/>
    <s v="Travel_Rarely"/>
    <n v="1404"/>
    <s v="Research &amp; Development"/>
    <n v="17"/>
    <n v="3"/>
    <s v="Technical Degree"/>
    <n v="1"/>
    <n v="1960"/>
    <n v="3"/>
    <x v="1"/>
    <n v="32"/>
    <n v="2"/>
    <x v="1"/>
    <x v="2"/>
    <x v="0"/>
    <s v="Divorced"/>
    <n v="2367"/>
    <n v="18779"/>
    <n v="5"/>
    <s v="Y"/>
    <s v="No"/>
    <n v="12"/>
    <n v="3"/>
    <n v="1"/>
    <n v="80"/>
    <n v="1"/>
    <n v="6"/>
    <n v="2"/>
    <n v="2"/>
    <x v="9"/>
    <n v="1"/>
    <n v="0"/>
    <n v="3"/>
    <x v="1"/>
    <n v="1"/>
    <n v="42606"/>
    <x v="1"/>
    <n v="1"/>
    <m/>
    <m/>
  </r>
  <r>
    <n v="38"/>
    <x v="1"/>
    <s v="Travel_Rarely"/>
    <n v="1404"/>
    <s v="Sales"/>
    <n v="1"/>
    <n v="3"/>
    <s v="Life Sciences"/>
    <n v="1"/>
    <n v="1961"/>
    <n v="1"/>
    <x v="1"/>
    <n v="59"/>
    <n v="2"/>
    <x v="1"/>
    <x v="6"/>
    <x v="3"/>
    <s v="Single"/>
    <n v="2858"/>
    <n v="11473"/>
    <n v="4"/>
    <s v="Y"/>
    <s v="No"/>
    <n v="14"/>
    <n v="3"/>
    <n v="1"/>
    <n v="80"/>
    <n v="0"/>
    <n v="20"/>
    <n v="3"/>
    <n v="2"/>
    <x v="6"/>
    <n v="0"/>
    <n v="0"/>
    <n v="0"/>
    <x v="0"/>
    <n v="0"/>
    <n v="0"/>
    <x v="1"/>
    <n v="1"/>
    <m/>
    <m/>
  </r>
  <r>
    <n v="35"/>
    <x v="1"/>
    <s v="Travel_Rarely"/>
    <n v="1224"/>
    <s v="Sales"/>
    <n v="7"/>
    <n v="4"/>
    <s v="Life Sciences"/>
    <n v="1"/>
    <n v="1962"/>
    <n v="3"/>
    <x v="0"/>
    <n v="55"/>
    <n v="3"/>
    <x v="0"/>
    <x v="0"/>
    <x v="0"/>
    <s v="Married"/>
    <n v="5204"/>
    <n v="13586"/>
    <n v="1"/>
    <s v="Y"/>
    <s v="Yes"/>
    <n v="11"/>
    <n v="3"/>
    <n v="4"/>
    <n v="80"/>
    <n v="0"/>
    <n v="10"/>
    <n v="2"/>
    <n v="3"/>
    <x v="1"/>
    <n v="8"/>
    <n v="0"/>
    <n v="9"/>
    <x v="0"/>
    <n v="0"/>
    <n v="0"/>
    <x v="0"/>
    <n v="1"/>
    <m/>
    <m/>
  </r>
  <r>
    <n v="27"/>
    <x v="1"/>
    <s v="Travel_Rarely"/>
    <n v="954"/>
    <s v="Sales"/>
    <n v="9"/>
    <n v="3"/>
    <s v="Marketing"/>
    <n v="1"/>
    <n v="1965"/>
    <n v="4"/>
    <x v="1"/>
    <n v="44"/>
    <n v="3"/>
    <x v="0"/>
    <x v="0"/>
    <x v="0"/>
    <s v="Single"/>
    <n v="4105"/>
    <n v="5099"/>
    <n v="1"/>
    <s v="Y"/>
    <s v="No"/>
    <n v="14"/>
    <n v="3"/>
    <n v="1"/>
    <n v="80"/>
    <n v="0"/>
    <n v="7"/>
    <n v="5"/>
    <n v="3"/>
    <x v="5"/>
    <n v="7"/>
    <n v="0"/>
    <n v="7"/>
    <x v="0"/>
    <n v="0"/>
    <n v="0"/>
    <x v="0"/>
    <n v="1"/>
    <m/>
    <m/>
  </r>
  <r>
    <n v="32"/>
    <x v="1"/>
    <s v="Travel_Rarely"/>
    <n v="1373"/>
    <s v="Research &amp; Development"/>
    <n v="5"/>
    <n v="4"/>
    <s v="Life Sciences"/>
    <n v="1"/>
    <n v="1966"/>
    <n v="4"/>
    <x v="1"/>
    <n v="56"/>
    <n v="2"/>
    <x v="0"/>
    <x v="3"/>
    <x v="0"/>
    <s v="Single"/>
    <n v="9679"/>
    <n v="10138"/>
    <n v="8"/>
    <s v="Y"/>
    <s v="No"/>
    <n v="24"/>
    <n v="4"/>
    <n v="2"/>
    <n v="80"/>
    <n v="0"/>
    <n v="8"/>
    <n v="1"/>
    <n v="3"/>
    <x v="6"/>
    <n v="0"/>
    <n v="0"/>
    <n v="0"/>
    <x v="2"/>
    <n v="0"/>
    <n v="0"/>
    <x v="2"/>
    <n v="1"/>
    <m/>
    <m/>
  </r>
  <r>
    <n v="31"/>
    <x v="0"/>
    <s v="Travel_Frequently"/>
    <n v="754"/>
    <s v="Sales"/>
    <n v="26"/>
    <n v="4"/>
    <s v="Marketing"/>
    <n v="1"/>
    <n v="1967"/>
    <n v="1"/>
    <x v="1"/>
    <n v="63"/>
    <n v="3"/>
    <x v="0"/>
    <x v="0"/>
    <x v="0"/>
    <s v="Married"/>
    <n v="5617"/>
    <n v="21075"/>
    <n v="1"/>
    <s v="Y"/>
    <s v="Yes"/>
    <n v="11"/>
    <n v="3"/>
    <n v="3"/>
    <n v="80"/>
    <n v="0"/>
    <n v="10"/>
    <n v="4"/>
    <n v="3"/>
    <x v="1"/>
    <n v="7"/>
    <n v="0"/>
    <n v="8"/>
    <x v="0"/>
    <n v="1"/>
    <n v="101106"/>
    <x v="0"/>
    <n v="1"/>
    <m/>
    <m/>
  </r>
  <r>
    <n v="53"/>
    <x v="0"/>
    <s v="Travel_Rarely"/>
    <n v="1168"/>
    <s v="Sales"/>
    <n v="24"/>
    <n v="4"/>
    <s v="Life Sciences"/>
    <n v="1"/>
    <n v="1968"/>
    <n v="1"/>
    <x v="1"/>
    <n v="66"/>
    <n v="3"/>
    <x v="2"/>
    <x v="0"/>
    <x v="3"/>
    <s v="Single"/>
    <n v="10448"/>
    <n v="5843"/>
    <n v="6"/>
    <s v="Y"/>
    <s v="Yes"/>
    <n v="13"/>
    <n v="3"/>
    <n v="2"/>
    <n v="80"/>
    <n v="0"/>
    <n v="15"/>
    <n v="2"/>
    <n v="2"/>
    <x v="4"/>
    <n v="2"/>
    <n v="2"/>
    <n v="2"/>
    <x v="0"/>
    <n v="1"/>
    <n v="188064"/>
    <x v="2"/>
    <n v="1"/>
    <m/>
    <m/>
  </r>
  <r>
    <n v="54"/>
    <x v="1"/>
    <s v="Travel_Rarely"/>
    <n v="155"/>
    <s v="Research &amp; Development"/>
    <n v="9"/>
    <n v="2"/>
    <s v="Life Sciences"/>
    <n v="1"/>
    <n v="1969"/>
    <n v="1"/>
    <x v="0"/>
    <n v="67"/>
    <n v="3"/>
    <x v="0"/>
    <x v="1"/>
    <x v="2"/>
    <s v="Married"/>
    <n v="2897"/>
    <n v="22474"/>
    <n v="3"/>
    <s v="Y"/>
    <s v="No"/>
    <n v="11"/>
    <n v="3"/>
    <n v="3"/>
    <n v="80"/>
    <n v="2"/>
    <n v="9"/>
    <n v="6"/>
    <n v="2"/>
    <x v="9"/>
    <n v="3"/>
    <n v="2"/>
    <n v="3"/>
    <x v="1"/>
    <n v="0"/>
    <n v="0"/>
    <x v="1"/>
    <n v="1"/>
    <m/>
    <m/>
  </r>
  <r>
    <n v="33"/>
    <x v="1"/>
    <s v="Travel_Frequently"/>
    <n v="1303"/>
    <s v="Research &amp; Development"/>
    <n v="7"/>
    <n v="2"/>
    <s v="Life Sciences"/>
    <n v="1"/>
    <n v="1970"/>
    <n v="4"/>
    <x v="1"/>
    <n v="36"/>
    <n v="3"/>
    <x v="0"/>
    <x v="4"/>
    <x v="2"/>
    <s v="Divorced"/>
    <n v="5968"/>
    <n v="18079"/>
    <n v="1"/>
    <s v="Y"/>
    <s v="No"/>
    <n v="20"/>
    <n v="4"/>
    <n v="3"/>
    <n v="80"/>
    <n v="3"/>
    <n v="9"/>
    <n v="2"/>
    <n v="3"/>
    <x v="7"/>
    <n v="7"/>
    <n v="2"/>
    <n v="8"/>
    <x v="3"/>
    <n v="0"/>
    <n v="0"/>
    <x v="0"/>
    <n v="1"/>
    <m/>
    <m/>
  </r>
  <r>
    <n v="43"/>
    <x v="1"/>
    <s v="Travel_Rarely"/>
    <n v="574"/>
    <s v="Research &amp; Development"/>
    <n v="11"/>
    <n v="3"/>
    <s v="Life Sciences"/>
    <n v="1"/>
    <n v="1971"/>
    <n v="1"/>
    <x v="1"/>
    <n v="30"/>
    <n v="3"/>
    <x v="2"/>
    <x v="4"/>
    <x v="2"/>
    <s v="Married"/>
    <n v="7510"/>
    <n v="16873"/>
    <n v="1"/>
    <s v="Y"/>
    <s v="No"/>
    <n v="17"/>
    <n v="3"/>
    <n v="2"/>
    <n v="80"/>
    <n v="1"/>
    <n v="10"/>
    <n v="1"/>
    <n v="3"/>
    <x v="1"/>
    <n v="9"/>
    <n v="0"/>
    <n v="9"/>
    <x v="3"/>
    <n v="0"/>
    <n v="0"/>
    <x v="4"/>
    <n v="1"/>
    <m/>
    <m/>
  </r>
  <r>
    <n v="38"/>
    <x v="1"/>
    <s v="Travel_Frequently"/>
    <n v="1444"/>
    <s v="Human Resources"/>
    <n v="1"/>
    <n v="4"/>
    <s v="Other"/>
    <n v="1"/>
    <n v="1972"/>
    <n v="4"/>
    <x v="1"/>
    <n v="88"/>
    <n v="3"/>
    <x v="1"/>
    <x v="8"/>
    <x v="1"/>
    <s v="Married"/>
    <n v="2991"/>
    <n v="5224"/>
    <n v="0"/>
    <s v="Y"/>
    <s v="Yes"/>
    <n v="11"/>
    <n v="3"/>
    <n v="2"/>
    <n v="80"/>
    <n v="1"/>
    <n v="7"/>
    <n v="2"/>
    <n v="3"/>
    <x v="0"/>
    <n v="2"/>
    <n v="1"/>
    <n v="2"/>
    <x v="5"/>
    <n v="0"/>
    <n v="0"/>
    <x v="1"/>
    <n v="1"/>
    <m/>
    <m/>
  </r>
  <r>
    <n v="55"/>
    <x v="1"/>
    <s v="Travel_Rarely"/>
    <n v="189"/>
    <s v="Human Resources"/>
    <n v="26"/>
    <n v="4"/>
    <s v="Human Resources"/>
    <n v="1"/>
    <n v="1973"/>
    <n v="3"/>
    <x v="1"/>
    <n v="71"/>
    <n v="4"/>
    <x v="4"/>
    <x v="5"/>
    <x v="1"/>
    <s v="Married"/>
    <n v="19636"/>
    <n v="25811"/>
    <n v="4"/>
    <s v="Y"/>
    <s v="Yes"/>
    <n v="18"/>
    <n v="3"/>
    <n v="1"/>
    <n v="80"/>
    <n v="1"/>
    <n v="35"/>
    <n v="0"/>
    <n v="3"/>
    <x v="1"/>
    <n v="9"/>
    <n v="1"/>
    <n v="4"/>
    <x v="4"/>
    <n v="0"/>
    <n v="0"/>
    <x v="3"/>
    <n v="1"/>
    <m/>
    <m/>
  </r>
  <r>
    <n v="31"/>
    <x v="1"/>
    <s v="Travel_Rarely"/>
    <n v="1276"/>
    <s v="Research &amp; Development"/>
    <n v="2"/>
    <n v="1"/>
    <s v="Medical"/>
    <n v="1"/>
    <n v="1974"/>
    <n v="4"/>
    <x v="0"/>
    <n v="59"/>
    <n v="1"/>
    <x v="1"/>
    <x v="2"/>
    <x v="0"/>
    <s v="Divorced"/>
    <n v="1129"/>
    <n v="17536"/>
    <n v="1"/>
    <s v="Y"/>
    <s v="Yes"/>
    <n v="11"/>
    <n v="3"/>
    <n v="3"/>
    <n v="80"/>
    <n v="3"/>
    <n v="1"/>
    <n v="4"/>
    <n v="3"/>
    <x v="6"/>
    <n v="0"/>
    <n v="0"/>
    <n v="0"/>
    <x v="1"/>
    <n v="0"/>
    <n v="0"/>
    <x v="1"/>
    <n v="1"/>
    <m/>
    <m/>
  </r>
  <r>
    <n v="39"/>
    <x v="1"/>
    <s v="Travel_Rarely"/>
    <n v="119"/>
    <s v="Sales"/>
    <n v="15"/>
    <n v="4"/>
    <s v="Marketing"/>
    <n v="1"/>
    <n v="1975"/>
    <n v="2"/>
    <x v="1"/>
    <n v="77"/>
    <n v="3"/>
    <x v="3"/>
    <x v="0"/>
    <x v="3"/>
    <s v="Single"/>
    <n v="13341"/>
    <n v="25098"/>
    <n v="0"/>
    <s v="Y"/>
    <s v="No"/>
    <n v="12"/>
    <n v="3"/>
    <n v="1"/>
    <n v="80"/>
    <n v="0"/>
    <n v="21"/>
    <n v="3"/>
    <n v="3"/>
    <x v="23"/>
    <n v="8"/>
    <n v="11"/>
    <n v="10"/>
    <x v="0"/>
    <n v="0"/>
    <n v="0"/>
    <x v="3"/>
    <n v="1"/>
    <m/>
    <m/>
  </r>
  <r>
    <n v="42"/>
    <x v="1"/>
    <s v="Non-Travel"/>
    <n v="335"/>
    <s v="Research &amp; Development"/>
    <n v="23"/>
    <n v="2"/>
    <s v="Life Sciences"/>
    <n v="1"/>
    <n v="1976"/>
    <n v="4"/>
    <x v="1"/>
    <n v="37"/>
    <n v="2"/>
    <x v="0"/>
    <x v="1"/>
    <x v="2"/>
    <s v="Single"/>
    <n v="4332"/>
    <n v="14811"/>
    <n v="1"/>
    <s v="Y"/>
    <s v="No"/>
    <n v="12"/>
    <n v="3"/>
    <n v="4"/>
    <n v="80"/>
    <n v="0"/>
    <n v="20"/>
    <n v="2"/>
    <n v="3"/>
    <x v="23"/>
    <n v="9"/>
    <n v="3"/>
    <n v="7"/>
    <x v="1"/>
    <n v="0"/>
    <n v="0"/>
    <x v="0"/>
    <n v="1"/>
    <m/>
    <m/>
  </r>
  <r>
    <n v="31"/>
    <x v="1"/>
    <s v="Non-Travel"/>
    <n v="697"/>
    <s v="Research &amp; Development"/>
    <n v="10"/>
    <n v="3"/>
    <s v="Medical"/>
    <n v="1"/>
    <n v="1979"/>
    <n v="3"/>
    <x v="0"/>
    <n v="40"/>
    <n v="3"/>
    <x v="2"/>
    <x v="7"/>
    <x v="2"/>
    <s v="Married"/>
    <n v="11031"/>
    <n v="26862"/>
    <n v="4"/>
    <s v="Y"/>
    <s v="No"/>
    <n v="20"/>
    <n v="4"/>
    <n v="3"/>
    <n v="80"/>
    <n v="1"/>
    <n v="13"/>
    <n v="2"/>
    <n v="4"/>
    <x v="19"/>
    <n v="7"/>
    <n v="4"/>
    <n v="8"/>
    <x v="1"/>
    <n v="0"/>
    <n v="0"/>
    <x v="2"/>
    <n v="1"/>
    <m/>
    <m/>
  </r>
  <r>
    <n v="54"/>
    <x v="1"/>
    <s v="Travel_Rarely"/>
    <n v="157"/>
    <s v="Research &amp; Development"/>
    <n v="10"/>
    <n v="3"/>
    <s v="Medical"/>
    <n v="1"/>
    <n v="1980"/>
    <n v="3"/>
    <x v="0"/>
    <n v="77"/>
    <n v="3"/>
    <x v="0"/>
    <x v="3"/>
    <x v="3"/>
    <s v="Single"/>
    <n v="4440"/>
    <n v="25198"/>
    <n v="6"/>
    <s v="Y"/>
    <s v="Yes"/>
    <n v="19"/>
    <n v="3"/>
    <n v="4"/>
    <n v="80"/>
    <n v="0"/>
    <n v="9"/>
    <n v="3"/>
    <n v="3"/>
    <x v="8"/>
    <n v="2"/>
    <n v="1"/>
    <n v="4"/>
    <x v="2"/>
    <n v="0"/>
    <n v="0"/>
    <x v="0"/>
    <n v="1"/>
    <m/>
    <m/>
  </r>
  <r>
    <n v="24"/>
    <x v="1"/>
    <s v="Travel_Rarely"/>
    <n v="771"/>
    <s v="Research &amp; Development"/>
    <n v="1"/>
    <n v="2"/>
    <s v="Life Sciences"/>
    <n v="1"/>
    <n v="1981"/>
    <n v="2"/>
    <x v="1"/>
    <n v="45"/>
    <n v="2"/>
    <x v="0"/>
    <x v="4"/>
    <x v="2"/>
    <s v="Single"/>
    <n v="4617"/>
    <n v="14120"/>
    <n v="1"/>
    <s v="Y"/>
    <s v="No"/>
    <n v="12"/>
    <n v="3"/>
    <n v="2"/>
    <n v="80"/>
    <n v="0"/>
    <n v="4"/>
    <n v="2"/>
    <n v="2"/>
    <x v="9"/>
    <n v="3"/>
    <n v="1"/>
    <n v="2"/>
    <x v="3"/>
    <n v="0"/>
    <n v="0"/>
    <x v="0"/>
    <n v="1"/>
    <m/>
    <m/>
  </r>
  <r>
    <n v="23"/>
    <x v="1"/>
    <s v="Travel_Rarely"/>
    <n v="571"/>
    <s v="Research &amp; Development"/>
    <n v="12"/>
    <n v="2"/>
    <s v="Other"/>
    <n v="1"/>
    <n v="1982"/>
    <n v="4"/>
    <x v="1"/>
    <n v="78"/>
    <n v="3"/>
    <x v="1"/>
    <x v="2"/>
    <x v="0"/>
    <s v="Single"/>
    <n v="2647"/>
    <n v="13672"/>
    <n v="1"/>
    <s v="Y"/>
    <s v="No"/>
    <n v="13"/>
    <n v="3"/>
    <n v="3"/>
    <n v="80"/>
    <n v="0"/>
    <n v="5"/>
    <n v="6"/>
    <n v="4"/>
    <x v="8"/>
    <n v="2"/>
    <n v="1"/>
    <n v="4"/>
    <x v="1"/>
    <n v="0"/>
    <n v="0"/>
    <x v="1"/>
    <n v="1"/>
    <m/>
    <m/>
  </r>
  <r>
    <n v="40"/>
    <x v="1"/>
    <s v="Travel_Frequently"/>
    <n v="692"/>
    <s v="Research &amp; Development"/>
    <n v="11"/>
    <n v="3"/>
    <s v="Technical Degree"/>
    <n v="1"/>
    <n v="1985"/>
    <n v="4"/>
    <x v="0"/>
    <n v="73"/>
    <n v="3"/>
    <x v="0"/>
    <x v="2"/>
    <x v="2"/>
    <s v="Married"/>
    <n v="6323"/>
    <n v="26849"/>
    <n v="1"/>
    <s v="Y"/>
    <s v="No"/>
    <n v="11"/>
    <n v="3"/>
    <n v="1"/>
    <n v="80"/>
    <n v="1"/>
    <n v="10"/>
    <n v="2"/>
    <n v="4"/>
    <x v="1"/>
    <n v="9"/>
    <n v="9"/>
    <n v="4"/>
    <x v="1"/>
    <n v="0"/>
    <n v="0"/>
    <x v="4"/>
    <n v="1"/>
    <m/>
    <m/>
  </r>
  <r>
    <n v="40"/>
    <x v="1"/>
    <s v="Travel_Rarely"/>
    <n v="444"/>
    <s v="Sales"/>
    <n v="2"/>
    <n v="2"/>
    <s v="Marketing"/>
    <n v="1"/>
    <n v="1986"/>
    <n v="2"/>
    <x v="0"/>
    <n v="92"/>
    <n v="3"/>
    <x v="0"/>
    <x v="0"/>
    <x v="1"/>
    <s v="Married"/>
    <n v="5677"/>
    <n v="4258"/>
    <n v="3"/>
    <s v="Y"/>
    <s v="No"/>
    <n v="14"/>
    <n v="3"/>
    <n v="3"/>
    <n v="80"/>
    <n v="1"/>
    <n v="15"/>
    <n v="4"/>
    <n v="3"/>
    <x v="19"/>
    <n v="8"/>
    <n v="5"/>
    <n v="10"/>
    <x v="0"/>
    <n v="0"/>
    <n v="0"/>
    <x v="0"/>
    <n v="1"/>
    <m/>
    <m/>
  </r>
  <r>
    <n v="25"/>
    <x v="1"/>
    <s v="Travel_Rarely"/>
    <n v="309"/>
    <s v="Human Resources"/>
    <n v="2"/>
    <n v="3"/>
    <s v="Human Resources"/>
    <n v="1"/>
    <n v="1987"/>
    <n v="3"/>
    <x v="0"/>
    <n v="82"/>
    <n v="3"/>
    <x v="1"/>
    <x v="8"/>
    <x v="1"/>
    <s v="Married"/>
    <n v="2187"/>
    <n v="19655"/>
    <n v="4"/>
    <s v="Y"/>
    <s v="No"/>
    <n v="14"/>
    <n v="3"/>
    <n v="3"/>
    <n v="80"/>
    <n v="0"/>
    <n v="6"/>
    <n v="3"/>
    <n v="3"/>
    <x v="4"/>
    <n v="0"/>
    <n v="1"/>
    <n v="2"/>
    <x v="5"/>
    <n v="0"/>
    <n v="0"/>
    <x v="1"/>
    <n v="1"/>
    <m/>
    <m/>
  </r>
  <r>
    <n v="30"/>
    <x v="1"/>
    <s v="Travel_Rarely"/>
    <n v="911"/>
    <s v="Research &amp; Development"/>
    <n v="1"/>
    <n v="2"/>
    <s v="Medical"/>
    <n v="1"/>
    <n v="1989"/>
    <n v="4"/>
    <x v="1"/>
    <n v="76"/>
    <n v="3"/>
    <x v="1"/>
    <x v="2"/>
    <x v="1"/>
    <s v="Married"/>
    <n v="3748"/>
    <n v="4077"/>
    <n v="1"/>
    <s v="Y"/>
    <s v="No"/>
    <n v="13"/>
    <n v="3"/>
    <n v="3"/>
    <n v="80"/>
    <n v="0"/>
    <n v="12"/>
    <n v="6"/>
    <n v="2"/>
    <x v="12"/>
    <n v="8"/>
    <n v="1"/>
    <n v="7"/>
    <x v="1"/>
    <n v="0"/>
    <n v="0"/>
    <x v="0"/>
    <n v="1"/>
    <m/>
    <m/>
  </r>
  <r>
    <n v="25"/>
    <x v="1"/>
    <s v="Travel_Rarely"/>
    <n v="977"/>
    <s v="Research &amp; Development"/>
    <n v="2"/>
    <n v="1"/>
    <s v="Other"/>
    <n v="1"/>
    <n v="1992"/>
    <n v="4"/>
    <x v="1"/>
    <n v="57"/>
    <n v="3"/>
    <x v="1"/>
    <x v="2"/>
    <x v="2"/>
    <s v="Divorced"/>
    <n v="3977"/>
    <n v="7298"/>
    <n v="6"/>
    <s v="Y"/>
    <s v="Yes"/>
    <n v="19"/>
    <n v="3"/>
    <n v="3"/>
    <n v="80"/>
    <n v="1"/>
    <n v="7"/>
    <n v="2"/>
    <n v="2"/>
    <x v="4"/>
    <n v="2"/>
    <n v="0"/>
    <n v="2"/>
    <x v="1"/>
    <n v="0"/>
    <n v="0"/>
    <x v="0"/>
    <n v="1"/>
    <m/>
    <m/>
  </r>
  <r>
    <n v="47"/>
    <x v="1"/>
    <s v="Travel_Rarely"/>
    <n v="1180"/>
    <s v="Research &amp; Development"/>
    <n v="25"/>
    <n v="3"/>
    <s v="Medical"/>
    <n v="1"/>
    <n v="1993"/>
    <n v="1"/>
    <x v="1"/>
    <n v="84"/>
    <n v="3"/>
    <x v="2"/>
    <x v="4"/>
    <x v="2"/>
    <s v="Single"/>
    <n v="8633"/>
    <n v="13084"/>
    <n v="2"/>
    <s v="Y"/>
    <s v="No"/>
    <n v="23"/>
    <n v="4"/>
    <n v="2"/>
    <n v="80"/>
    <n v="0"/>
    <n v="25"/>
    <n v="3"/>
    <n v="3"/>
    <x v="18"/>
    <n v="14"/>
    <n v="12"/>
    <n v="11"/>
    <x v="3"/>
    <n v="0"/>
    <n v="0"/>
    <x v="4"/>
    <n v="1"/>
    <m/>
    <m/>
  </r>
  <r>
    <n v="33"/>
    <x v="1"/>
    <s v="Non-Travel"/>
    <n v="1313"/>
    <s v="Research &amp; Development"/>
    <n v="1"/>
    <n v="2"/>
    <s v="Medical"/>
    <n v="1"/>
    <n v="1994"/>
    <n v="2"/>
    <x v="1"/>
    <n v="59"/>
    <n v="2"/>
    <x v="1"/>
    <x v="2"/>
    <x v="2"/>
    <s v="Divorced"/>
    <n v="2008"/>
    <n v="20439"/>
    <n v="1"/>
    <s v="Y"/>
    <s v="No"/>
    <n v="12"/>
    <n v="3"/>
    <n v="3"/>
    <n v="80"/>
    <n v="3"/>
    <n v="1"/>
    <n v="2"/>
    <n v="2"/>
    <x v="6"/>
    <n v="1"/>
    <n v="0"/>
    <n v="0"/>
    <x v="1"/>
    <n v="0"/>
    <n v="0"/>
    <x v="1"/>
    <n v="1"/>
    <m/>
    <m/>
  </r>
  <r>
    <n v="38"/>
    <x v="1"/>
    <s v="Travel_Rarely"/>
    <n v="1321"/>
    <s v="Sales"/>
    <n v="1"/>
    <n v="4"/>
    <s v="Life Sciences"/>
    <n v="1"/>
    <n v="1995"/>
    <n v="4"/>
    <x v="1"/>
    <n v="86"/>
    <n v="3"/>
    <x v="0"/>
    <x v="0"/>
    <x v="1"/>
    <s v="Married"/>
    <n v="4440"/>
    <n v="7636"/>
    <n v="0"/>
    <s v="Y"/>
    <s v="No"/>
    <n v="15"/>
    <n v="3"/>
    <n v="1"/>
    <n v="80"/>
    <n v="2"/>
    <n v="16"/>
    <n v="3"/>
    <n v="3"/>
    <x v="15"/>
    <n v="13"/>
    <n v="5"/>
    <n v="8"/>
    <x v="0"/>
    <n v="0"/>
    <n v="0"/>
    <x v="0"/>
    <n v="1"/>
    <m/>
    <m/>
  </r>
  <r>
    <n v="31"/>
    <x v="1"/>
    <s v="Travel_Rarely"/>
    <n v="1154"/>
    <s v="Sales"/>
    <n v="2"/>
    <n v="2"/>
    <s v="Life Sciences"/>
    <n v="1"/>
    <n v="1996"/>
    <n v="1"/>
    <x v="1"/>
    <n v="54"/>
    <n v="3"/>
    <x v="1"/>
    <x v="6"/>
    <x v="2"/>
    <s v="Married"/>
    <n v="3067"/>
    <n v="6393"/>
    <n v="0"/>
    <s v="Y"/>
    <s v="No"/>
    <n v="19"/>
    <n v="3"/>
    <n v="3"/>
    <n v="80"/>
    <n v="1"/>
    <n v="3"/>
    <n v="1"/>
    <n v="3"/>
    <x v="4"/>
    <n v="2"/>
    <n v="1"/>
    <n v="2"/>
    <x v="0"/>
    <n v="0"/>
    <n v="0"/>
    <x v="0"/>
    <n v="1"/>
    <m/>
    <m/>
  </r>
  <r>
    <n v="38"/>
    <x v="1"/>
    <s v="Travel_Frequently"/>
    <n v="508"/>
    <s v="Research &amp; Development"/>
    <n v="6"/>
    <n v="4"/>
    <s v="Life Sciences"/>
    <n v="1"/>
    <n v="1997"/>
    <n v="1"/>
    <x v="1"/>
    <n v="72"/>
    <n v="2"/>
    <x v="0"/>
    <x v="3"/>
    <x v="2"/>
    <s v="Married"/>
    <n v="5321"/>
    <n v="14284"/>
    <n v="2"/>
    <s v="Y"/>
    <s v="No"/>
    <n v="11"/>
    <n v="3"/>
    <n v="4"/>
    <n v="80"/>
    <n v="1"/>
    <n v="10"/>
    <n v="1"/>
    <n v="3"/>
    <x v="3"/>
    <n v="3"/>
    <n v="7"/>
    <n v="7"/>
    <x v="2"/>
    <n v="0"/>
    <n v="0"/>
    <x v="0"/>
    <n v="1"/>
    <m/>
    <m/>
  </r>
  <r>
    <n v="42"/>
    <x v="1"/>
    <s v="Travel_Rarely"/>
    <n v="557"/>
    <s v="Research &amp; Development"/>
    <n v="18"/>
    <n v="4"/>
    <s v="Life Sciences"/>
    <n v="1"/>
    <n v="1998"/>
    <n v="4"/>
    <x v="1"/>
    <n v="35"/>
    <n v="3"/>
    <x v="0"/>
    <x v="1"/>
    <x v="3"/>
    <s v="Divorced"/>
    <n v="5410"/>
    <n v="11189"/>
    <n v="6"/>
    <s v="Y"/>
    <s v="Yes"/>
    <n v="17"/>
    <n v="3"/>
    <n v="3"/>
    <n v="80"/>
    <n v="1"/>
    <n v="9"/>
    <n v="3"/>
    <n v="2"/>
    <x v="9"/>
    <n v="3"/>
    <n v="1"/>
    <n v="2"/>
    <x v="1"/>
    <n v="0"/>
    <n v="0"/>
    <x v="0"/>
    <n v="1"/>
    <m/>
    <m/>
  </r>
  <r>
    <n v="41"/>
    <x v="1"/>
    <s v="Travel_Rarely"/>
    <n v="642"/>
    <s v="Research &amp; Development"/>
    <n v="1"/>
    <n v="3"/>
    <s v="Life Sciences"/>
    <n v="1"/>
    <n v="1999"/>
    <n v="4"/>
    <x v="1"/>
    <n v="76"/>
    <n v="3"/>
    <x v="1"/>
    <x v="1"/>
    <x v="0"/>
    <s v="Married"/>
    <n v="2782"/>
    <n v="21412"/>
    <n v="3"/>
    <s v="Y"/>
    <s v="No"/>
    <n v="22"/>
    <n v="4"/>
    <n v="1"/>
    <n v="80"/>
    <n v="1"/>
    <n v="12"/>
    <n v="3"/>
    <n v="3"/>
    <x v="8"/>
    <n v="3"/>
    <n v="1"/>
    <n v="0"/>
    <x v="1"/>
    <n v="0"/>
    <n v="0"/>
    <x v="1"/>
    <n v="1"/>
    <m/>
    <m/>
  </r>
  <r>
    <n v="47"/>
    <x v="1"/>
    <s v="Non-Travel"/>
    <n v="1162"/>
    <s v="Research &amp; Development"/>
    <n v="1"/>
    <n v="1"/>
    <s v="Medical"/>
    <n v="1"/>
    <n v="2000"/>
    <n v="3"/>
    <x v="0"/>
    <n v="98"/>
    <n v="3"/>
    <x v="2"/>
    <x v="7"/>
    <x v="1"/>
    <s v="Married"/>
    <n v="11957"/>
    <n v="17231"/>
    <n v="0"/>
    <s v="Y"/>
    <s v="No"/>
    <n v="18"/>
    <n v="3"/>
    <n v="1"/>
    <n v="80"/>
    <n v="2"/>
    <n v="14"/>
    <n v="3"/>
    <n v="1"/>
    <x v="20"/>
    <n v="8"/>
    <n v="5"/>
    <n v="12"/>
    <x v="1"/>
    <n v="0"/>
    <n v="0"/>
    <x v="2"/>
    <n v="1"/>
    <m/>
    <m/>
  </r>
  <r>
    <n v="35"/>
    <x v="1"/>
    <s v="Travel_Rarely"/>
    <n v="1490"/>
    <s v="Research &amp; Development"/>
    <n v="11"/>
    <n v="4"/>
    <s v="Medical"/>
    <n v="1"/>
    <n v="2003"/>
    <n v="4"/>
    <x v="1"/>
    <n v="43"/>
    <n v="3"/>
    <x v="1"/>
    <x v="2"/>
    <x v="2"/>
    <s v="Married"/>
    <n v="2660"/>
    <n v="20232"/>
    <n v="7"/>
    <s v="Y"/>
    <s v="Yes"/>
    <n v="11"/>
    <n v="3"/>
    <n v="3"/>
    <n v="80"/>
    <n v="1"/>
    <n v="5"/>
    <n v="3"/>
    <n v="3"/>
    <x v="4"/>
    <n v="2"/>
    <n v="2"/>
    <n v="2"/>
    <x v="1"/>
    <n v="0"/>
    <n v="0"/>
    <x v="1"/>
    <n v="1"/>
    <m/>
    <m/>
  </r>
  <r>
    <n v="22"/>
    <x v="1"/>
    <s v="Travel_Rarely"/>
    <n v="581"/>
    <s v="Research &amp; Development"/>
    <n v="1"/>
    <n v="2"/>
    <s v="Life Sciences"/>
    <n v="1"/>
    <n v="2007"/>
    <n v="4"/>
    <x v="1"/>
    <n v="63"/>
    <n v="3"/>
    <x v="1"/>
    <x v="1"/>
    <x v="2"/>
    <s v="Single"/>
    <n v="3375"/>
    <n v="17624"/>
    <n v="0"/>
    <s v="Y"/>
    <s v="No"/>
    <n v="12"/>
    <n v="3"/>
    <n v="4"/>
    <n v="80"/>
    <n v="0"/>
    <n v="4"/>
    <n v="2"/>
    <n v="4"/>
    <x v="11"/>
    <n v="2"/>
    <n v="1"/>
    <n v="2"/>
    <x v="1"/>
    <n v="0"/>
    <n v="0"/>
    <x v="0"/>
    <n v="1"/>
    <m/>
    <m/>
  </r>
  <r>
    <n v="35"/>
    <x v="1"/>
    <s v="Travel_Rarely"/>
    <n v="1395"/>
    <s v="Research &amp; Development"/>
    <n v="9"/>
    <n v="4"/>
    <s v="Medical"/>
    <n v="1"/>
    <n v="2008"/>
    <n v="2"/>
    <x v="1"/>
    <n v="48"/>
    <n v="3"/>
    <x v="0"/>
    <x v="1"/>
    <x v="2"/>
    <s v="Single"/>
    <n v="5098"/>
    <n v="18698"/>
    <n v="1"/>
    <s v="Y"/>
    <s v="No"/>
    <n v="19"/>
    <n v="3"/>
    <n v="2"/>
    <n v="80"/>
    <n v="0"/>
    <n v="10"/>
    <n v="5"/>
    <n v="3"/>
    <x v="1"/>
    <n v="7"/>
    <n v="0"/>
    <n v="8"/>
    <x v="1"/>
    <n v="0"/>
    <n v="0"/>
    <x v="0"/>
    <n v="1"/>
    <m/>
    <m/>
  </r>
  <r>
    <n v="33"/>
    <x v="1"/>
    <s v="Travel_Rarely"/>
    <n v="501"/>
    <s v="Research &amp; Development"/>
    <n v="15"/>
    <n v="2"/>
    <s v="Medical"/>
    <n v="1"/>
    <n v="2009"/>
    <n v="2"/>
    <x v="0"/>
    <n v="95"/>
    <n v="3"/>
    <x v="0"/>
    <x v="4"/>
    <x v="0"/>
    <s v="Married"/>
    <n v="4878"/>
    <n v="21653"/>
    <n v="0"/>
    <s v="Y"/>
    <s v="Yes"/>
    <n v="13"/>
    <n v="3"/>
    <n v="1"/>
    <n v="80"/>
    <n v="1"/>
    <n v="10"/>
    <n v="6"/>
    <n v="3"/>
    <x v="7"/>
    <n v="7"/>
    <n v="8"/>
    <n v="1"/>
    <x v="3"/>
    <n v="0"/>
    <n v="0"/>
    <x v="0"/>
    <n v="1"/>
    <m/>
    <m/>
  </r>
  <r>
    <n v="32"/>
    <x v="1"/>
    <s v="Travel_Rarely"/>
    <n v="267"/>
    <s v="Research &amp; Development"/>
    <n v="29"/>
    <n v="4"/>
    <s v="Life Sciences"/>
    <n v="1"/>
    <n v="2010"/>
    <n v="3"/>
    <x v="0"/>
    <n v="49"/>
    <n v="2"/>
    <x v="1"/>
    <x v="2"/>
    <x v="1"/>
    <s v="Single"/>
    <n v="2837"/>
    <n v="15919"/>
    <n v="1"/>
    <s v="Y"/>
    <s v="No"/>
    <n v="13"/>
    <n v="3"/>
    <n v="3"/>
    <n v="80"/>
    <n v="0"/>
    <n v="6"/>
    <n v="3"/>
    <n v="3"/>
    <x v="0"/>
    <n v="2"/>
    <n v="4"/>
    <n v="1"/>
    <x v="1"/>
    <n v="0"/>
    <n v="0"/>
    <x v="1"/>
    <n v="1"/>
    <m/>
    <m/>
  </r>
  <r>
    <n v="40"/>
    <x v="1"/>
    <s v="Travel_Rarely"/>
    <n v="543"/>
    <s v="Research &amp; Development"/>
    <n v="1"/>
    <n v="4"/>
    <s v="Life Sciences"/>
    <n v="1"/>
    <n v="2012"/>
    <n v="1"/>
    <x v="1"/>
    <n v="83"/>
    <n v="3"/>
    <x v="1"/>
    <x v="2"/>
    <x v="0"/>
    <s v="Married"/>
    <n v="2406"/>
    <n v="4060"/>
    <n v="8"/>
    <s v="Y"/>
    <s v="No"/>
    <n v="19"/>
    <n v="3"/>
    <n v="3"/>
    <n v="80"/>
    <n v="2"/>
    <n v="8"/>
    <n v="3"/>
    <n v="2"/>
    <x v="6"/>
    <n v="0"/>
    <n v="0"/>
    <n v="0"/>
    <x v="1"/>
    <n v="0"/>
    <n v="0"/>
    <x v="1"/>
    <n v="1"/>
    <m/>
    <m/>
  </r>
  <r>
    <n v="32"/>
    <x v="1"/>
    <s v="Travel_Rarely"/>
    <n v="234"/>
    <s v="Sales"/>
    <n v="1"/>
    <n v="4"/>
    <s v="Medical"/>
    <n v="1"/>
    <n v="2013"/>
    <n v="2"/>
    <x v="1"/>
    <n v="68"/>
    <n v="2"/>
    <x v="1"/>
    <x v="6"/>
    <x v="1"/>
    <s v="Married"/>
    <n v="2269"/>
    <n v="18024"/>
    <n v="0"/>
    <s v="Y"/>
    <s v="No"/>
    <n v="14"/>
    <n v="3"/>
    <n v="2"/>
    <n v="80"/>
    <n v="1"/>
    <n v="3"/>
    <n v="2"/>
    <n v="3"/>
    <x v="4"/>
    <n v="2"/>
    <n v="2"/>
    <n v="2"/>
    <x v="0"/>
    <n v="0"/>
    <n v="0"/>
    <x v="1"/>
    <n v="1"/>
    <m/>
    <m/>
  </r>
  <r>
    <n v="39"/>
    <x v="1"/>
    <s v="Travel_Rarely"/>
    <n v="116"/>
    <s v="Research &amp; Development"/>
    <n v="24"/>
    <n v="1"/>
    <s v="Life Sciences"/>
    <n v="1"/>
    <n v="2014"/>
    <n v="1"/>
    <x v="1"/>
    <n v="52"/>
    <n v="3"/>
    <x v="0"/>
    <x v="1"/>
    <x v="0"/>
    <s v="Single"/>
    <n v="4108"/>
    <n v="5340"/>
    <n v="7"/>
    <s v="Y"/>
    <s v="No"/>
    <n v="13"/>
    <n v="3"/>
    <n v="1"/>
    <n v="80"/>
    <n v="0"/>
    <n v="18"/>
    <n v="2"/>
    <n v="3"/>
    <x v="5"/>
    <n v="7"/>
    <n v="1"/>
    <n v="7"/>
    <x v="1"/>
    <n v="0"/>
    <n v="0"/>
    <x v="0"/>
    <n v="1"/>
    <m/>
    <m/>
  </r>
  <r>
    <n v="38"/>
    <x v="1"/>
    <s v="Travel_Rarely"/>
    <n v="201"/>
    <s v="Research &amp; Development"/>
    <n v="10"/>
    <n v="3"/>
    <s v="Medical"/>
    <n v="1"/>
    <n v="2015"/>
    <n v="2"/>
    <x v="0"/>
    <n v="99"/>
    <n v="1"/>
    <x v="2"/>
    <x v="7"/>
    <x v="2"/>
    <s v="Married"/>
    <n v="13206"/>
    <n v="3376"/>
    <n v="3"/>
    <s v="Y"/>
    <s v="No"/>
    <n v="12"/>
    <n v="3"/>
    <n v="1"/>
    <n v="80"/>
    <n v="1"/>
    <n v="20"/>
    <n v="3"/>
    <n v="3"/>
    <x v="29"/>
    <n v="16"/>
    <n v="1"/>
    <n v="11"/>
    <x v="1"/>
    <n v="0"/>
    <n v="0"/>
    <x v="3"/>
    <n v="1"/>
    <m/>
    <m/>
  </r>
  <r>
    <n v="32"/>
    <x v="1"/>
    <s v="Travel_Rarely"/>
    <n v="801"/>
    <s v="Sales"/>
    <n v="1"/>
    <n v="4"/>
    <s v="Marketing"/>
    <n v="1"/>
    <n v="2016"/>
    <n v="3"/>
    <x v="0"/>
    <n v="48"/>
    <n v="3"/>
    <x v="2"/>
    <x v="0"/>
    <x v="0"/>
    <s v="Married"/>
    <n v="10422"/>
    <n v="24032"/>
    <n v="1"/>
    <s v="Y"/>
    <s v="No"/>
    <n v="19"/>
    <n v="3"/>
    <n v="3"/>
    <n v="80"/>
    <n v="2"/>
    <n v="14"/>
    <n v="3"/>
    <n v="3"/>
    <x v="13"/>
    <n v="10"/>
    <n v="5"/>
    <n v="7"/>
    <x v="0"/>
    <n v="0"/>
    <n v="0"/>
    <x v="2"/>
    <n v="1"/>
    <m/>
    <m/>
  </r>
  <r>
    <n v="37"/>
    <x v="1"/>
    <s v="Travel_Rarely"/>
    <n v="161"/>
    <s v="Research &amp; Development"/>
    <n v="10"/>
    <n v="3"/>
    <s v="Life Sciences"/>
    <n v="1"/>
    <n v="2017"/>
    <n v="3"/>
    <x v="0"/>
    <n v="42"/>
    <n v="4"/>
    <x v="2"/>
    <x v="7"/>
    <x v="0"/>
    <s v="Married"/>
    <n v="13744"/>
    <n v="15471"/>
    <n v="1"/>
    <s v="Y"/>
    <s v="Yes"/>
    <n v="25"/>
    <n v="4"/>
    <n v="1"/>
    <n v="80"/>
    <n v="1"/>
    <n v="16"/>
    <n v="2"/>
    <n v="3"/>
    <x v="22"/>
    <n v="11"/>
    <n v="6"/>
    <n v="8"/>
    <x v="1"/>
    <n v="0"/>
    <n v="0"/>
    <x v="3"/>
    <n v="1"/>
    <m/>
    <m/>
  </r>
  <r>
    <n v="25"/>
    <x v="1"/>
    <s v="Travel_Rarely"/>
    <n v="1382"/>
    <s v="Sales"/>
    <n v="8"/>
    <n v="2"/>
    <s v="Other"/>
    <n v="1"/>
    <n v="2018"/>
    <n v="1"/>
    <x v="0"/>
    <n v="85"/>
    <n v="3"/>
    <x v="0"/>
    <x v="0"/>
    <x v="2"/>
    <s v="Divorced"/>
    <n v="4907"/>
    <n v="13684"/>
    <n v="0"/>
    <s v="Y"/>
    <s v="Yes"/>
    <n v="22"/>
    <n v="4"/>
    <n v="2"/>
    <n v="80"/>
    <n v="1"/>
    <n v="6"/>
    <n v="3"/>
    <n v="2"/>
    <x v="8"/>
    <n v="3"/>
    <n v="0"/>
    <n v="4"/>
    <x v="0"/>
    <n v="0"/>
    <n v="0"/>
    <x v="0"/>
    <n v="1"/>
    <m/>
    <m/>
  </r>
  <r>
    <n v="52"/>
    <x v="1"/>
    <s v="Non-Travel"/>
    <n v="585"/>
    <s v="Sales"/>
    <n v="29"/>
    <n v="4"/>
    <s v="Life Sciences"/>
    <n v="1"/>
    <n v="2019"/>
    <n v="1"/>
    <x v="1"/>
    <n v="40"/>
    <n v="3"/>
    <x v="1"/>
    <x v="6"/>
    <x v="0"/>
    <s v="Divorced"/>
    <n v="3482"/>
    <n v="19788"/>
    <n v="2"/>
    <s v="Y"/>
    <s v="No"/>
    <n v="15"/>
    <n v="3"/>
    <n v="2"/>
    <n v="80"/>
    <n v="2"/>
    <n v="16"/>
    <n v="3"/>
    <n v="2"/>
    <x v="7"/>
    <n v="8"/>
    <n v="0"/>
    <n v="0"/>
    <x v="0"/>
    <n v="0"/>
    <n v="0"/>
    <x v="0"/>
    <n v="1"/>
    <m/>
    <m/>
  </r>
  <r>
    <n v="44"/>
    <x v="1"/>
    <s v="Travel_Rarely"/>
    <n v="1037"/>
    <s v="Research &amp; Development"/>
    <n v="1"/>
    <n v="3"/>
    <s v="Medical"/>
    <n v="1"/>
    <n v="2020"/>
    <n v="2"/>
    <x v="1"/>
    <n v="42"/>
    <n v="3"/>
    <x v="1"/>
    <x v="1"/>
    <x v="0"/>
    <s v="Single"/>
    <n v="2436"/>
    <n v="13422"/>
    <n v="6"/>
    <s v="Y"/>
    <s v="Yes"/>
    <n v="12"/>
    <n v="3"/>
    <n v="3"/>
    <n v="80"/>
    <n v="0"/>
    <n v="6"/>
    <n v="2"/>
    <n v="3"/>
    <x v="9"/>
    <n v="3"/>
    <n v="1"/>
    <n v="2"/>
    <x v="1"/>
    <n v="0"/>
    <n v="0"/>
    <x v="1"/>
    <n v="1"/>
    <m/>
    <m/>
  </r>
  <r>
    <n v="21"/>
    <x v="1"/>
    <s v="Travel_Rarely"/>
    <n v="501"/>
    <s v="Sales"/>
    <n v="5"/>
    <n v="1"/>
    <s v="Medical"/>
    <n v="1"/>
    <n v="2021"/>
    <n v="3"/>
    <x v="1"/>
    <n v="58"/>
    <n v="3"/>
    <x v="1"/>
    <x v="6"/>
    <x v="3"/>
    <s v="Single"/>
    <n v="2380"/>
    <n v="25479"/>
    <n v="1"/>
    <s v="Y"/>
    <s v="Yes"/>
    <n v="11"/>
    <n v="3"/>
    <n v="4"/>
    <n v="80"/>
    <n v="0"/>
    <n v="2"/>
    <n v="6"/>
    <n v="3"/>
    <x v="4"/>
    <n v="2"/>
    <n v="1"/>
    <n v="2"/>
    <x v="0"/>
    <n v="0"/>
    <n v="0"/>
    <x v="1"/>
    <n v="1"/>
    <m/>
    <m/>
  </r>
  <r>
    <n v="39"/>
    <x v="1"/>
    <s v="Non-Travel"/>
    <n v="105"/>
    <s v="Research &amp; Development"/>
    <n v="9"/>
    <n v="3"/>
    <s v="Life Sciences"/>
    <n v="1"/>
    <n v="2022"/>
    <n v="4"/>
    <x v="1"/>
    <n v="87"/>
    <n v="3"/>
    <x v="4"/>
    <x v="5"/>
    <x v="0"/>
    <s v="Single"/>
    <n v="19431"/>
    <n v="15302"/>
    <n v="2"/>
    <s v="Y"/>
    <s v="No"/>
    <n v="13"/>
    <n v="3"/>
    <n v="3"/>
    <n v="80"/>
    <n v="0"/>
    <n v="21"/>
    <n v="3"/>
    <n v="2"/>
    <x v="0"/>
    <n v="0"/>
    <n v="1"/>
    <n v="3"/>
    <x v="4"/>
    <n v="0"/>
    <n v="0"/>
    <x v="3"/>
    <n v="1"/>
    <m/>
    <m/>
  </r>
  <r>
    <n v="23"/>
    <x v="0"/>
    <s v="Travel_Frequently"/>
    <n v="638"/>
    <s v="Sales"/>
    <n v="9"/>
    <n v="3"/>
    <s v="Marketing"/>
    <n v="1"/>
    <n v="2023"/>
    <n v="4"/>
    <x v="1"/>
    <n v="33"/>
    <n v="3"/>
    <x v="1"/>
    <x v="6"/>
    <x v="3"/>
    <s v="Married"/>
    <n v="1790"/>
    <n v="26956"/>
    <n v="1"/>
    <s v="Y"/>
    <s v="No"/>
    <n v="19"/>
    <n v="3"/>
    <n v="1"/>
    <n v="80"/>
    <n v="1"/>
    <n v="1"/>
    <n v="3"/>
    <n v="2"/>
    <x v="6"/>
    <n v="0"/>
    <n v="1"/>
    <n v="0"/>
    <x v="0"/>
    <n v="1"/>
    <n v="32220"/>
    <x v="1"/>
    <n v="1"/>
    <m/>
    <m/>
  </r>
  <r>
    <n v="36"/>
    <x v="1"/>
    <s v="Travel_Rarely"/>
    <n v="557"/>
    <s v="Sales"/>
    <n v="3"/>
    <n v="3"/>
    <s v="Medical"/>
    <n v="1"/>
    <n v="2024"/>
    <n v="1"/>
    <x v="0"/>
    <n v="94"/>
    <n v="2"/>
    <x v="2"/>
    <x v="0"/>
    <x v="0"/>
    <s v="Married"/>
    <n v="7644"/>
    <n v="12695"/>
    <n v="0"/>
    <s v="Y"/>
    <s v="No"/>
    <n v="19"/>
    <n v="3"/>
    <n v="3"/>
    <n v="80"/>
    <n v="2"/>
    <n v="10"/>
    <n v="2"/>
    <n v="3"/>
    <x v="7"/>
    <n v="7"/>
    <n v="3"/>
    <n v="4"/>
    <x v="0"/>
    <n v="0"/>
    <n v="0"/>
    <x v="4"/>
    <n v="1"/>
    <m/>
    <m/>
  </r>
  <r>
    <n v="36"/>
    <x v="1"/>
    <s v="Travel_Frequently"/>
    <n v="688"/>
    <s v="Research &amp; Development"/>
    <n v="4"/>
    <n v="2"/>
    <s v="Life Sciences"/>
    <n v="1"/>
    <n v="2025"/>
    <n v="4"/>
    <x v="0"/>
    <n v="97"/>
    <n v="3"/>
    <x v="0"/>
    <x v="3"/>
    <x v="1"/>
    <s v="Divorced"/>
    <n v="5131"/>
    <n v="9192"/>
    <n v="7"/>
    <s v="Y"/>
    <s v="No"/>
    <n v="13"/>
    <n v="3"/>
    <n v="2"/>
    <n v="80"/>
    <n v="3"/>
    <n v="18"/>
    <n v="3"/>
    <n v="3"/>
    <x v="9"/>
    <n v="2"/>
    <n v="0"/>
    <n v="2"/>
    <x v="2"/>
    <n v="0"/>
    <n v="0"/>
    <x v="0"/>
    <n v="1"/>
    <m/>
    <m/>
  </r>
  <r>
    <n v="56"/>
    <x v="1"/>
    <s v="Non-Travel"/>
    <n v="667"/>
    <s v="Research &amp; Development"/>
    <n v="1"/>
    <n v="4"/>
    <s v="Life Sciences"/>
    <n v="1"/>
    <n v="2026"/>
    <n v="3"/>
    <x v="1"/>
    <n v="57"/>
    <n v="3"/>
    <x v="0"/>
    <x v="4"/>
    <x v="2"/>
    <s v="Divorced"/>
    <n v="6306"/>
    <n v="26236"/>
    <n v="1"/>
    <s v="Y"/>
    <s v="No"/>
    <n v="21"/>
    <n v="4"/>
    <n v="1"/>
    <n v="80"/>
    <n v="1"/>
    <n v="13"/>
    <n v="2"/>
    <n v="2"/>
    <x v="20"/>
    <n v="12"/>
    <n v="1"/>
    <n v="9"/>
    <x v="3"/>
    <n v="0"/>
    <n v="0"/>
    <x v="4"/>
    <n v="1"/>
    <m/>
    <m/>
  </r>
  <r>
    <n v="29"/>
    <x v="0"/>
    <s v="Travel_Rarely"/>
    <n v="1092"/>
    <s v="Research &amp; Development"/>
    <n v="1"/>
    <n v="4"/>
    <s v="Medical"/>
    <n v="1"/>
    <n v="2027"/>
    <n v="1"/>
    <x v="1"/>
    <n v="36"/>
    <n v="3"/>
    <x v="1"/>
    <x v="1"/>
    <x v="0"/>
    <s v="Married"/>
    <n v="4787"/>
    <n v="26124"/>
    <n v="9"/>
    <s v="Y"/>
    <s v="Yes"/>
    <n v="14"/>
    <n v="3"/>
    <n v="2"/>
    <n v="80"/>
    <n v="3"/>
    <n v="4"/>
    <n v="3"/>
    <n v="4"/>
    <x v="4"/>
    <n v="2"/>
    <n v="2"/>
    <n v="2"/>
    <x v="1"/>
    <n v="1"/>
    <n v="86166"/>
    <x v="0"/>
    <n v="1"/>
    <m/>
    <m/>
  </r>
  <r>
    <n v="42"/>
    <x v="1"/>
    <s v="Travel_Rarely"/>
    <n v="300"/>
    <s v="Research &amp; Development"/>
    <n v="2"/>
    <n v="3"/>
    <s v="Life Sciences"/>
    <n v="1"/>
    <n v="2031"/>
    <n v="1"/>
    <x v="1"/>
    <n v="56"/>
    <n v="3"/>
    <x v="4"/>
    <x v="5"/>
    <x v="2"/>
    <s v="Married"/>
    <n v="18880"/>
    <n v="17312"/>
    <n v="5"/>
    <s v="Y"/>
    <s v="No"/>
    <n v="11"/>
    <n v="3"/>
    <n v="1"/>
    <n v="80"/>
    <n v="0"/>
    <n v="24"/>
    <n v="2"/>
    <n v="2"/>
    <x v="14"/>
    <n v="6"/>
    <n v="4"/>
    <n v="14"/>
    <x v="4"/>
    <n v="0"/>
    <n v="0"/>
    <x v="3"/>
    <n v="1"/>
    <m/>
    <m/>
  </r>
  <r>
    <n v="56"/>
    <x v="0"/>
    <s v="Travel_Rarely"/>
    <n v="310"/>
    <s v="Research &amp; Development"/>
    <n v="7"/>
    <n v="2"/>
    <s v="Technical Degree"/>
    <n v="1"/>
    <n v="2032"/>
    <n v="4"/>
    <x v="1"/>
    <n v="72"/>
    <n v="3"/>
    <x v="1"/>
    <x v="2"/>
    <x v="2"/>
    <s v="Married"/>
    <n v="2339"/>
    <n v="3666"/>
    <n v="8"/>
    <s v="Y"/>
    <s v="No"/>
    <n v="11"/>
    <n v="3"/>
    <n v="4"/>
    <n v="80"/>
    <n v="1"/>
    <n v="14"/>
    <n v="4"/>
    <n v="1"/>
    <x v="1"/>
    <n v="9"/>
    <n v="9"/>
    <n v="8"/>
    <x v="1"/>
    <n v="1"/>
    <n v="42102"/>
    <x v="1"/>
    <n v="1"/>
    <m/>
    <m/>
  </r>
  <r>
    <n v="41"/>
    <x v="1"/>
    <s v="Travel_Rarely"/>
    <n v="582"/>
    <s v="Research &amp; Development"/>
    <n v="28"/>
    <n v="4"/>
    <s v="Life Sciences"/>
    <n v="1"/>
    <n v="2034"/>
    <n v="1"/>
    <x v="0"/>
    <n v="60"/>
    <n v="2"/>
    <x v="3"/>
    <x v="3"/>
    <x v="1"/>
    <s v="Married"/>
    <n v="13570"/>
    <n v="5640"/>
    <n v="0"/>
    <s v="Y"/>
    <s v="No"/>
    <n v="23"/>
    <n v="4"/>
    <n v="3"/>
    <n v="80"/>
    <n v="1"/>
    <n v="21"/>
    <n v="3"/>
    <n v="3"/>
    <x v="23"/>
    <n v="7"/>
    <n v="0"/>
    <n v="10"/>
    <x v="2"/>
    <n v="0"/>
    <n v="0"/>
    <x v="3"/>
    <n v="1"/>
    <m/>
    <m/>
  </r>
  <r>
    <n v="34"/>
    <x v="1"/>
    <s v="Travel_Rarely"/>
    <n v="704"/>
    <s v="Sales"/>
    <n v="28"/>
    <n v="3"/>
    <s v="Marketing"/>
    <n v="1"/>
    <n v="2035"/>
    <n v="4"/>
    <x v="0"/>
    <n v="95"/>
    <n v="2"/>
    <x v="0"/>
    <x v="0"/>
    <x v="2"/>
    <s v="Married"/>
    <n v="6712"/>
    <n v="8978"/>
    <n v="1"/>
    <s v="Y"/>
    <s v="No"/>
    <n v="21"/>
    <n v="4"/>
    <n v="4"/>
    <n v="80"/>
    <n v="2"/>
    <n v="8"/>
    <n v="2"/>
    <n v="3"/>
    <x v="3"/>
    <n v="7"/>
    <n v="1"/>
    <n v="7"/>
    <x v="0"/>
    <n v="0"/>
    <n v="0"/>
    <x v="4"/>
    <n v="1"/>
    <m/>
    <m/>
  </r>
  <r>
    <n v="36"/>
    <x v="1"/>
    <s v="Non-Travel"/>
    <n v="301"/>
    <s v="Sales"/>
    <n v="15"/>
    <n v="4"/>
    <s v="Marketing"/>
    <n v="1"/>
    <n v="2036"/>
    <n v="4"/>
    <x v="1"/>
    <n v="88"/>
    <n v="1"/>
    <x v="0"/>
    <x v="0"/>
    <x v="0"/>
    <s v="Divorced"/>
    <n v="5406"/>
    <n v="10436"/>
    <n v="1"/>
    <s v="Y"/>
    <s v="No"/>
    <n v="24"/>
    <n v="4"/>
    <n v="1"/>
    <n v="80"/>
    <n v="1"/>
    <n v="15"/>
    <n v="4"/>
    <n v="2"/>
    <x v="15"/>
    <n v="12"/>
    <n v="11"/>
    <n v="11"/>
    <x v="0"/>
    <n v="0"/>
    <n v="0"/>
    <x v="0"/>
    <n v="1"/>
    <m/>
    <m/>
  </r>
  <r>
    <n v="41"/>
    <x v="1"/>
    <s v="Travel_Rarely"/>
    <n v="930"/>
    <s v="Sales"/>
    <n v="3"/>
    <n v="3"/>
    <s v="Life Sciences"/>
    <n v="1"/>
    <n v="2037"/>
    <n v="3"/>
    <x v="1"/>
    <n v="57"/>
    <n v="2"/>
    <x v="0"/>
    <x v="0"/>
    <x v="1"/>
    <s v="Divorced"/>
    <n v="8938"/>
    <n v="12227"/>
    <n v="2"/>
    <s v="Y"/>
    <s v="No"/>
    <n v="11"/>
    <n v="3"/>
    <n v="3"/>
    <n v="80"/>
    <n v="1"/>
    <n v="14"/>
    <n v="5"/>
    <n v="3"/>
    <x v="8"/>
    <n v="4"/>
    <n v="0"/>
    <n v="4"/>
    <x v="0"/>
    <n v="0"/>
    <n v="0"/>
    <x v="4"/>
    <n v="1"/>
    <m/>
    <m/>
  </r>
  <r>
    <n v="32"/>
    <x v="1"/>
    <s v="Travel_Rarely"/>
    <n v="529"/>
    <s v="Research &amp; Development"/>
    <n v="2"/>
    <n v="3"/>
    <s v="Technical Degree"/>
    <n v="1"/>
    <n v="2038"/>
    <n v="4"/>
    <x v="1"/>
    <n v="78"/>
    <n v="3"/>
    <x v="1"/>
    <x v="1"/>
    <x v="3"/>
    <s v="Single"/>
    <n v="2439"/>
    <n v="11288"/>
    <n v="1"/>
    <s v="Y"/>
    <s v="No"/>
    <n v="14"/>
    <n v="3"/>
    <n v="4"/>
    <n v="80"/>
    <n v="0"/>
    <n v="4"/>
    <n v="4"/>
    <n v="3"/>
    <x v="9"/>
    <n v="2"/>
    <n v="1"/>
    <n v="2"/>
    <x v="1"/>
    <n v="0"/>
    <n v="0"/>
    <x v="1"/>
    <n v="1"/>
    <m/>
    <m/>
  </r>
  <r>
    <n v="35"/>
    <x v="1"/>
    <s v="Travel_Rarely"/>
    <n v="1146"/>
    <s v="Human Resources"/>
    <n v="26"/>
    <n v="4"/>
    <s v="Life Sciences"/>
    <n v="1"/>
    <n v="2040"/>
    <n v="3"/>
    <x v="0"/>
    <n v="31"/>
    <n v="3"/>
    <x v="2"/>
    <x v="8"/>
    <x v="0"/>
    <s v="Single"/>
    <n v="8837"/>
    <n v="16642"/>
    <n v="1"/>
    <s v="Y"/>
    <s v="Yes"/>
    <n v="16"/>
    <n v="3"/>
    <n v="3"/>
    <n v="80"/>
    <n v="0"/>
    <n v="9"/>
    <n v="2"/>
    <n v="3"/>
    <x v="7"/>
    <n v="0"/>
    <n v="1"/>
    <n v="7"/>
    <x v="5"/>
    <n v="0"/>
    <n v="0"/>
    <x v="4"/>
    <n v="1"/>
    <m/>
    <m/>
  </r>
  <r>
    <n v="38"/>
    <x v="1"/>
    <s v="Travel_Rarely"/>
    <n v="345"/>
    <s v="Sales"/>
    <n v="10"/>
    <n v="2"/>
    <s v="Life Sciences"/>
    <n v="1"/>
    <n v="2041"/>
    <n v="1"/>
    <x v="0"/>
    <n v="100"/>
    <n v="3"/>
    <x v="0"/>
    <x v="0"/>
    <x v="0"/>
    <s v="Married"/>
    <n v="5343"/>
    <n v="5982"/>
    <n v="1"/>
    <s v="Y"/>
    <s v="No"/>
    <n v="11"/>
    <n v="3"/>
    <n v="3"/>
    <n v="80"/>
    <n v="1"/>
    <n v="10"/>
    <n v="1"/>
    <n v="3"/>
    <x v="1"/>
    <n v="7"/>
    <n v="1"/>
    <n v="9"/>
    <x v="0"/>
    <n v="0"/>
    <n v="0"/>
    <x v="0"/>
    <n v="1"/>
    <m/>
    <m/>
  </r>
  <r>
    <n v="50"/>
    <x v="0"/>
    <s v="Travel_Frequently"/>
    <n v="878"/>
    <s v="Sales"/>
    <n v="1"/>
    <n v="4"/>
    <s v="Life Sciences"/>
    <n v="1"/>
    <n v="2044"/>
    <n v="2"/>
    <x v="1"/>
    <n v="94"/>
    <n v="3"/>
    <x v="0"/>
    <x v="0"/>
    <x v="2"/>
    <s v="Divorced"/>
    <n v="6728"/>
    <n v="14255"/>
    <n v="7"/>
    <s v="Y"/>
    <s v="No"/>
    <n v="12"/>
    <n v="3"/>
    <n v="4"/>
    <n v="80"/>
    <n v="2"/>
    <n v="12"/>
    <n v="3"/>
    <n v="3"/>
    <x v="0"/>
    <n v="3"/>
    <n v="0"/>
    <n v="1"/>
    <x v="0"/>
    <n v="1"/>
    <n v="121104"/>
    <x v="4"/>
    <n v="1"/>
    <m/>
    <m/>
  </r>
  <r>
    <n v="36"/>
    <x v="1"/>
    <s v="Travel_Rarely"/>
    <n v="1120"/>
    <s v="Sales"/>
    <n v="11"/>
    <n v="4"/>
    <s v="Marketing"/>
    <n v="1"/>
    <n v="2045"/>
    <n v="2"/>
    <x v="0"/>
    <n v="100"/>
    <n v="2"/>
    <x v="0"/>
    <x v="0"/>
    <x v="0"/>
    <s v="Married"/>
    <n v="6652"/>
    <n v="14369"/>
    <n v="4"/>
    <s v="Y"/>
    <s v="No"/>
    <n v="13"/>
    <n v="3"/>
    <n v="1"/>
    <n v="80"/>
    <n v="1"/>
    <n v="8"/>
    <n v="2"/>
    <n v="2"/>
    <x v="0"/>
    <n v="3"/>
    <n v="0"/>
    <n v="0"/>
    <x v="0"/>
    <n v="0"/>
    <n v="0"/>
    <x v="4"/>
    <n v="1"/>
    <m/>
    <m/>
  </r>
  <r>
    <n v="45"/>
    <x v="1"/>
    <s v="Travel_Rarely"/>
    <n v="374"/>
    <s v="Sales"/>
    <n v="20"/>
    <n v="3"/>
    <s v="Life Sciences"/>
    <n v="1"/>
    <n v="2046"/>
    <n v="4"/>
    <x v="0"/>
    <n v="50"/>
    <n v="3"/>
    <x v="0"/>
    <x v="0"/>
    <x v="2"/>
    <s v="Single"/>
    <n v="4850"/>
    <n v="23333"/>
    <n v="8"/>
    <s v="Y"/>
    <s v="No"/>
    <n v="15"/>
    <n v="3"/>
    <n v="3"/>
    <n v="80"/>
    <n v="0"/>
    <n v="8"/>
    <n v="3"/>
    <n v="3"/>
    <x v="8"/>
    <n v="3"/>
    <n v="0"/>
    <n v="1"/>
    <x v="0"/>
    <n v="0"/>
    <n v="0"/>
    <x v="0"/>
    <n v="1"/>
    <m/>
    <m/>
  </r>
  <r>
    <n v="40"/>
    <x v="1"/>
    <s v="Travel_Rarely"/>
    <n v="1322"/>
    <s v="Research &amp; Development"/>
    <n v="2"/>
    <n v="4"/>
    <s v="Life Sciences"/>
    <n v="1"/>
    <n v="2048"/>
    <n v="3"/>
    <x v="1"/>
    <n v="52"/>
    <n v="2"/>
    <x v="1"/>
    <x v="1"/>
    <x v="2"/>
    <s v="Single"/>
    <n v="2809"/>
    <n v="2725"/>
    <n v="2"/>
    <s v="Y"/>
    <s v="No"/>
    <n v="14"/>
    <n v="3"/>
    <n v="4"/>
    <n v="80"/>
    <n v="0"/>
    <n v="8"/>
    <n v="2"/>
    <n v="3"/>
    <x v="4"/>
    <n v="2"/>
    <n v="2"/>
    <n v="2"/>
    <x v="1"/>
    <n v="0"/>
    <n v="0"/>
    <x v="1"/>
    <n v="1"/>
    <m/>
    <m/>
  </r>
  <r>
    <n v="35"/>
    <x v="1"/>
    <s v="Travel_Frequently"/>
    <n v="1199"/>
    <s v="Research &amp; Development"/>
    <n v="18"/>
    <n v="4"/>
    <s v="Life Sciences"/>
    <n v="1"/>
    <n v="2049"/>
    <n v="3"/>
    <x v="1"/>
    <n v="80"/>
    <n v="3"/>
    <x v="0"/>
    <x v="4"/>
    <x v="2"/>
    <s v="Married"/>
    <n v="5689"/>
    <n v="24594"/>
    <n v="1"/>
    <s v="Y"/>
    <s v="Yes"/>
    <n v="14"/>
    <n v="3"/>
    <n v="4"/>
    <n v="80"/>
    <n v="2"/>
    <n v="10"/>
    <n v="2"/>
    <n v="4"/>
    <x v="1"/>
    <n v="2"/>
    <n v="0"/>
    <n v="2"/>
    <x v="3"/>
    <n v="0"/>
    <n v="0"/>
    <x v="0"/>
    <n v="1"/>
    <m/>
    <m/>
  </r>
  <r>
    <n v="40"/>
    <x v="1"/>
    <s v="Travel_Rarely"/>
    <n v="1194"/>
    <s v="Research &amp; Development"/>
    <n v="2"/>
    <n v="4"/>
    <s v="Medical"/>
    <n v="1"/>
    <n v="2051"/>
    <n v="3"/>
    <x v="0"/>
    <n v="98"/>
    <n v="3"/>
    <x v="1"/>
    <x v="1"/>
    <x v="2"/>
    <s v="Married"/>
    <n v="2001"/>
    <n v="12549"/>
    <n v="2"/>
    <s v="Y"/>
    <s v="No"/>
    <n v="14"/>
    <n v="3"/>
    <n v="2"/>
    <n v="80"/>
    <n v="3"/>
    <n v="20"/>
    <n v="2"/>
    <n v="3"/>
    <x v="8"/>
    <n v="3"/>
    <n v="0"/>
    <n v="2"/>
    <x v="1"/>
    <n v="0"/>
    <n v="0"/>
    <x v="1"/>
    <n v="1"/>
    <m/>
    <m/>
  </r>
  <r>
    <n v="35"/>
    <x v="1"/>
    <s v="Travel_Rarely"/>
    <n v="287"/>
    <s v="Research &amp; Development"/>
    <n v="1"/>
    <n v="4"/>
    <s v="Life Sciences"/>
    <n v="1"/>
    <n v="2052"/>
    <n v="3"/>
    <x v="0"/>
    <n v="62"/>
    <n v="1"/>
    <x v="1"/>
    <x v="1"/>
    <x v="0"/>
    <s v="Married"/>
    <n v="2977"/>
    <n v="8952"/>
    <n v="1"/>
    <s v="Y"/>
    <s v="No"/>
    <n v="12"/>
    <n v="3"/>
    <n v="4"/>
    <n v="80"/>
    <n v="1"/>
    <n v="4"/>
    <n v="5"/>
    <n v="3"/>
    <x v="9"/>
    <n v="3"/>
    <n v="1"/>
    <n v="1"/>
    <x v="1"/>
    <n v="0"/>
    <n v="0"/>
    <x v="1"/>
    <n v="1"/>
    <m/>
    <m/>
  </r>
  <r>
    <n v="29"/>
    <x v="1"/>
    <s v="Travel_Rarely"/>
    <n v="1378"/>
    <s v="Research &amp; Development"/>
    <n v="13"/>
    <n v="2"/>
    <s v="Other"/>
    <n v="1"/>
    <n v="2053"/>
    <n v="4"/>
    <x v="1"/>
    <n v="46"/>
    <n v="2"/>
    <x v="0"/>
    <x v="2"/>
    <x v="1"/>
    <s v="Married"/>
    <n v="4025"/>
    <n v="23679"/>
    <n v="4"/>
    <s v="Y"/>
    <s v="Yes"/>
    <n v="13"/>
    <n v="3"/>
    <n v="1"/>
    <n v="80"/>
    <n v="1"/>
    <n v="10"/>
    <n v="2"/>
    <n v="3"/>
    <x v="9"/>
    <n v="3"/>
    <n v="0"/>
    <n v="3"/>
    <x v="1"/>
    <n v="0"/>
    <n v="0"/>
    <x v="0"/>
    <n v="1"/>
    <m/>
    <m/>
  </r>
  <r>
    <n v="29"/>
    <x v="1"/>
    <s v="Travel_Rarely"/>
    <n v="468"/>
    <s v="Research &amp; Development"/>
    <n v="28"/>
    <n v="4"/>
    <s v="Medical"/>
    <n v="1"/>
    <n v="2054"/>
    <n v="4"/>
    <x v="0"/>
    <n v="73"/>
    <n v="2"/>
    <x v="1"/>
    <x v="1"/>
    <x v="3"/>
    <s v="Single"/>
    <n v="3785"/>
    <n v="8489"/>
    <n v="1"/>
    <s v="Y"/>
    <s v="No"/>
    <n v="14"/>
    <n v="3"/>
    <n v="2"/>
    <n v="80"/>
    <n v="0"/>
    <n v="5"/>
    <n v="3"/>
    <n v="1"/>
    <x v="8"/>
    <n v="4"/>
    <n v="0"/>
    <n v="4"/>
    <x v="1"/>
    <n v="0"/>
    <n v="0"/>
    <x v="0"/>
    <n v="1"/>
    <m/>
    <m/>
  </r>
  <r>
    <n v="50"/>
    <x v="0"/>
    <s v="Travel_Rarely"/>
    <n v="410"/>
    <s v="Sales"/>
    <n v="28"/>
    <n v="3"/>
    <s v="Marketing"/>
    <n v="1"/>
    <n v="2055"/>
    <n v="4"/>
    <x v="1"/>
    <n v="39"/>
    <n v="2"/>
    <x v="2"/>
    <x v="0"/>
    <x v="3"/>
    <s v="Divorced"/>
    <n v="10854"/>
    <n v="16586"/>
    <n v="4"/>
    <s v="Y"/>
    <s v="Yes"/>
    <n v="13"/>
    <n v="3"/>
    <n v="2"/>
    <n v="80"/>
    <n v="1"/>
    <n v="20"/>
    <n v="3"/>
    <n v="3"/>
    <x v="11"/>
    <n v="2"/>
    <n v="2"/>
    <n v="0"/>
    <x v="0"/>
    <n v="1"/>
    <n v="195372"/>
    <x v="2"/>
    <n v="1"/>
    <m/>
    <m/>
  </r>
  <r>
    <n v="39"/>
    <x v="1"/>
    <s v="Travel_Rarely"/>
    <n v="722"/>
    <s v="Sales"/>
    <n v="24"/>
    <n v="1"/>
    <s v="Marketing"/>
    <n v="1"/>
    <n v="2056"/>
    <n v="2"/>
    <x v="0"/>
    <n v="60"/>
    <n v="2"/>
    <x v="3"/>
    <x v="0"/>
    <x v="0"/>
    <s v="Married"/>
    <n v="12031"/>
    <n v="8828"/>
    <n v="0"/>
    <s v="Y"/>
    <s v="No"/>
    <n v="11"/>
    <n v="3"/>
    <n v="1"/>
    <n v="80"/>
    <n v="1"/>
    <n v="21"/>
    <n v="2"/>
    <n v="2"/>
    <x v="23"/>
    <n v="9"/>
    <n v="9"/>
    <n v="6"/>
    <x v="0"/>
    <n v="0"/>
    <n v="0"/>
    <x v="3"/>
    <n v="1"/>
    <m/>
    <m/>
  </r>
  <r>
    <n v="31"/>
    <x v="1"/>
    <s v="Non-Travel"/>
    <n v="325"/>
    <s v="Research &amp; Development"/>
    <n v="5"/>
    <n v="3"/>
    <s v="Medical"/>
    <n v="1"/>
    <n v="2057"/>
    <n v="2"/>
    <x v="1"/>
    <n v="74"/>
    <n v="3"/>
    <x v="0"/>
    <x v="3"/>
    <x v="3"/>
    <s v="Single"/>
    <n v="9936"/>
    <n v="3787"/>
    <n v="0"/>
    <s v="Y"/>
    <s v="No"/>
    <n v="19"/>
    <n v="3"/>
    <n v="2"/>
    <n v="80"/>
    <n v="0"/>
    <n v="10"/>
    <n v="2"/>
    <n v="3"/>
    <x v="7"/>
    <n v="4"/>
    <n v="1"/>
    <n v="7"/>
    <x v="2"/>
    <n v="0"/>
    <n v="0"/>
    <x v="2"/>
    <n v="1"/>
    <m/>
    <m/>
  </r>
  <r>
    <n v="26"/>
    <x v="1"/>
    <s v="Travel_Rarely"/>
    <n v="1167"/>
    <s v="Sales"/>
    <n v="5"/>
    <n v="3"/>
    <s v="Other"/>
    <n v="1"/>
    <n v="2060"/>
    <n v="4"/>
    <x v="0"/>
    <n v="30"/>
    <n v="2"/>
    <x v="1"/>
    <x v="6"/>
    <x v="2"/>
    <s v="Single"/>
    <n v="2966"/>
    <n v="21378"/>
    <n v="0"/>
    <s v="Y"/>
    <s v="No"/>
    <n v="18"/>
    <n v="3"/>
    <n v="4"/>
    <n v="80"/>
    <n v="0"/>
    <n v="5"/>
    <n v="2"/>
    <n v="3"/>
    <x v="9"/>
    <n v="2"/>
    <n v="0"/>
    <n v="0"/>
    <x v="0"/>
    <n v="0"/>
    <n v="0"/>
    <x v="1"/>
    <n v="1"/>
    <m/>
    <m/>
  </r>
  <r>
    <n v="36"/>
    <x v="1"/>
    <s v="Travel_Frequently"/>
    <n v="884"/>
    <s v="Research &amp; Development"/>
    <n v="23"/>
    <n v="2"/>
    <s v="Medical"/>
    <n v="1"/>
    <n v="2061"/>
    <n v="3"/>
    <x v="1"/>
    <n v="41"/>
    <n v="4"/>
    <x v="0"/>
    <x v="2"/>
    <x v="0"/>
    <s v="Married"/>
    <n v="2571"/>
    <n v="12290"/>
    <n v="4"/>
    <s v="Y"/>
    <s v="No"/>
    <n v="17"/>
    <n v="3"/>
    <n v="3"/>
    <n v="80"/>
    <n v="1"/>
    <n v="17"/>
    <n v="3"/>
    <n v="3"/>
    <x v="8"/>
    <n v="2"/>
    <n v="0"/>
    <n v="3"/>
    <x v="1"/>
    <n v="0"/>
    <n v="0"/>
    <x v="1"/>
    <n v="1"/>
    <m/>
    <m/>
  </r>
  <r>
    <n v="39"/>
    <x v="1"/>
    <s v="Travel_Rarely"/>
    <n v="613"/>
    <s v="Research &amp; Development"/>
    <n v="6"/>
    <n v="1"/>
    <s v="Medical"/>
    <n v="1"/>
    <n v="2062"/>
    <n v="4"/>
    <x v="1"/>
    <n v="42"/>
    <n v="2"/>
    <x v="2"/>
    <x v="4"/>
    <x v="3"/>
    <s v="Married"/>
    <n v="9991"/>
    <n v="21457"/>
    <n v="4"/>
    <s v="Y"/>
    <s v="No"/>
    <n v="15"/>
    <n v="3"/>
    <n v="1"/>
    <n v="80"/>
    <n v="1"/>
    <n v="9"/>
    <n v="5"/>
    <n v="3"/>
    <x v="5"/>
    <n v="7"/>
    <n v="1"/>
    <n v="7"/>
    <x v="3"/>
    <n v="0"/>
    <n v="0"/>
    <x v="2"/>
    <n v="1"/>
    <m/>
    <m/>
  </r>
  <r>
    <n v="27"/>
    <x v="1"/>
    <s v="Travel_Rarely"/>
    <n v="155"/>
    <s v="Research &amp; Development"/>
    <n v="4"/>
    <n v="3"/>
    <s v="Life Sciences"/>
    <n v="1"/>
    <n v="2064"/>
    <n v="2"/>
    <x v="1"/>
    <n v="87"/>
    <n v="4"/>
    <x v="0"/>
    <x v="3"/>
    <x v="1"/>
    <s v="Married"/>
    <n v="6142"/>
    <n v="5174"/>
    <n v="1"/>
    <s v="Y"/>
    <s v="Yes"/>
    <n v="20"/>
    <n v="4"/>
    <n v="2"/>
    <n v="80"/>
    <n v="1"/>
    <n v="6"/>
    <n v="0"/>
    <n v="3"/>
    <x v="0"/>
    <n v="2"/>
    <n v="0"/>
    <n v="3"/>
    <x v="2"/>
    <n v="0"/>
    <n v="0"/>
    <x v="4"/>
    <n v="1"/>
    <m/>
    <m/>
  </r>
  <r>
    <n v="49"/>
    <x v="1"/>
    <s v="Travel_Frequently"/>
    <n v="1023"/>
    <s v="Sales"/>
    <n v="2"/>
    <n v="3"/>
    <s v="Medical"/>
    <n v="1"/>
    <n v="2065"/>
    <n v="4"/>
    <x v="1"/>
    <n v="63"/>
    <n v="2"/>
    <x v="0"/>
    <x v="0"/>
    <x v="1"/>
    <s v="Married"/>
    <n v="5390"/>
    <n v="13243"/>
    <n v="2"/>
    <s v="Y"/>
    <s v="No"/>
    <n v="14"/>
    <n v="3"/>
    <n v="4"/>
    <n v="80"/>
    <n v="0"/>
    <n v="17"/>
    <n v="3"/>
    <n v="2"/>
    <x v="7"/>
    <n v="6"/>
    <n v="0"/>
    <n v="8"/>
    <x v="0"/>
    <n v="0"/>
    <n v="0"/>
    <x v="0"/>
    <n v="1"/>
    <m/>
    <m/>
  </r>
  <r>
    <n v="34"/>
    <x v="1"/>
    <s v="Travel_Rarely"/>
    <n v="628"/>
    <s v="Research &amp; Development"/>
    <n v="8"/>
    <n v="3"/>
    <s v="Medical"/>
    <n v="1"/>
    <n v="2068"/>
    <n v="2"/>
    <x v="1"/>
    <n v="82"/>
    <n v="4"/>
    <x v="0"/>
    <x v="2"/>
    <x v="2"/>
    <s v="Married"/>
    <n v="4404"/>
    <n v="10228"/>
    <n v="2"/>
    <s v="Y"/>
    <s v="No"/>
    <n v="12"/>
    <n v="3"/>
    <n v="1"/>
    <n v="80"/>
    <n v="0"/>
    <n v="6"/>
    <n v="3"/>
    <n v="4"/>
    <x v="9"/>
    <n v="3"/>
    <n v="1"/>
    <n v="2"/>
    <x v="1"/>
    <n v="0"/>
    <n v="0"/>
    <x v="0"/>
    <n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B4A179-7BA9-4F14-ADBD-8712D893AB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Job Group">
  <location ref="A3:E10" firstHeaderRow="0" firstDataRow="1" firstDataCol="1"/>
  <pivotFields count="42">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3"/>
        <item x="5"/>
        <item x="4"/>
        <item x="2"/>
        <item x="1"/>
        <item x="0"/>
        <item t="default"/>
      </items>
      <autoSortScope>
        <pivotArea dataOnly="0" outline="0" fieldPosition="0">
          <references count="1">
            <reference field="4294967294" count="1" selected="0">
              <x v="2"/>
            </reference>
          </references>
        </pivotArea>
      </autoSortScope>
    </pivotField>
    <pivotField dataField="1" showAll="0"/>
    <pivotField dataField="1" showAll="0"/>
    <pivotField showAll="0"/>
    <pivotField showAll="0"/>
    <pivotField showAll="0"/>
    <pivotField dataField="1" dragToRow="0" dragToCol="0" dragToPage="0" showAll="0" defaultSubtotal="0"/>
  </pivotFields>
  <rowFields count="1">
    <field x="35"/>
  </rowFields>
  <rowItems count="7">
    <i>
      <x v="1"/>
    </i>
    <i>
      <x v="5"/>
    </i>
    <i>
      <x v="4"/>
    </i>
    <i>
      <x v="3"/>
    </i>
    <i>
      <x/>
    </i>
    <i>
      <x v="2"/>
    </i>
    <i t="grand">
      <x/>
    </i>
  </rowItems>
  <colFields count="1">
    <field x="-2"/>
  </colFields>
  <colItems count="4">
    <i>
      <x/>
    </i>
    <i i="1">
      <x v="1"/>
    </i>
    <i i="2">
      <x v="2"/>
    </i>
    <i i="3">
      <x v="3"/>
    </i>
  </colItems>
  <dataFields count="4">
    <dataField name="Estimated Cost of Attrition" fld="37" baseField="35" baseItem="1" numFmtId="4"/>
    <dataField name="No. of Employees" fld="9" subtotal="count" baseField="35" baseItem="0"/>
    <dataField name="Rate of Attrition(%)" fld="41" baseField="35" baseItem="0" numFmtId="10"/>
    <dataField name="Employee's Left" fld="36" baseField="3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66A400-3537-41E5-BAEF-6B88E4CE61B9}"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Job Family">
  <location ref="A3:B10" firstHeaderRow="1" firstDataRow="1" firstDataCol="1"/>
  <pivotFields count="4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3"/>
        <item x="5"/>
        <item x="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dragToRow="0" dragToCol="0" dragToPage="0" showAll="0" defaultSubtotal="0"/>
  </pivotFields>
  <rowFields count="1">
    <field x="35"/>
  </rowFields>
  <rowItems count="7">
    <i>
      <x v="1"/>
    </i>
    <i>
      <x v="5"/>
    </i>
    <i>
      <x v="4"/>
    </i>
    <i>
      <x v="3"/>
    </i>
    <i>
      <x/>
    </i>
    <i>
      <x v="2"/>
    </i>
    <i t="grand">
      <x/>
    </i>
  </rowItems>
  <colItems count="1">
    <i/>
  </colItems>
  <dataFields count="1">
    <dataField name="Attrition Rate(%)" fld="42" baseField="35" baseItem="0" numFmtId="10"/>
  </dataFields>
  <chartFormats count="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38026E-ED8A-4CF8-86C3-053B1C944069}"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Job Family">
  <location ref="A3:B10" firstHeaderRow="1" firstDataRow="1" firstDataCol="1"/>
  <pivotFields count="4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3"/>
        <item x="5"/>
        <item x="4"/>
        <item x="2"/>
        <item x="1"/>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dragToRow="0" dragToCol="0" dragToPage="0" showAll="0" defaultSubtotal="0"/>
  </pivotFields>
  <rowFields count="1">
    <field x="35"/>
  </rowFields>
  <rowItems count="7">
    <i>
      <x v="5"/>
    </i>
    <i>
      <x v="4"/>
    </i>
    <i>
      <x v="2"/>
    </i>
    <i>
      <x/>
    </i>
    <i>
      <x v="3"/>
    </i>
    <i>
      <x v="1"/>
    </i>
    <i t="grand">
      <x/>
    </i>
  </rowItems>
  <colItems count="1">
    <i/>
  </colItems>
  <dataFields count="1">
    <dataField name="Estimated Cost" fld="37" baseField="35" baseItem="5" numFmtId="4"/>
  </dataFields>
  <chartFormats count="7">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5" count="1" selected="0">
            <x v="4"/>
          </reference>
        </references>
      </pivotArea>
    </chartFormat>
    <chartFormat chart="4" format="2">
      <pivotArea type="data" outline="0" fieldPosition="0">
        <references count="2">
          <reference field="4294967294" count="1" selected="0">
            <x v="0"/>
          </reference>
          <reference field="35" count="1" selected="0">
            <x v="5"/>
          </reference>
        </references>
      </pivotArea>
    </chartFormat>
    <chartFormat chart="4" format="3">
      <pivotArea type="data" outline="0" fieldPosition="0">
        <references count="2">
          <reference field="4294967294" count="1" selected="0">
            <x v="0"/>
          </reference>
          <reference field="35" count="1" selected="0">
            <x v="2"/>
          </reference>
        </references>
      </pivotArea>
    </chartFormat>
    <chartFormat chart="4" format="4">
      <pivotArea type="data" outline="0" fieldPosition="0">
        <references count="2">
          <reference field="4294967294" count="1" selected="0">
            <x v="0"/>
          </reference>
          <reference field="35" count="1" selected="0">
            <x v="0"/>
          </reference>
        </references>
      </pivotArea>
    </chartFormat>
    <chartFormat chart="4" format="5">
      <pivotArea type="data" outline="0" fieldPosition="0">
        <references count="2">
          <reference field="4294967294" count="1" selected="0">
            <x v="0"/>
          </reference>
          <reference field="35" count="1" selected="0">
            <x v="3"/>
          </reference>
        </references>
      </pivotArea>
    </chartFormat>
    <chartFormat chart="4" format="6">
      <pivotArea type="data" outline="0" fieldPosition="0">
        <references count="2">
          <reference field="4294967294" count="1" selected="0">
            <x v="0"/>
          </reference>
          <reference field="3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683BA3-CA61-4CBF-B347-A2BB98D7F14F}"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Role">
  <location ref="A3:D19" firstHeaderRow="0" firstDataRow="1" firstDataCol="1"/>
  <pivotFields count="43">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3"/>
        <item x="5"/>
        <item x="4"/>
        <item x="2"/>
        <item x="1"/>
        <item x="0"/>
        <item t="default"/>
      </items>
    </pivotField>
    <pivotField dataField="1" showAll="0"/>
    <pivotField showAll="0"/>
    <pivotField showAll="0"/>
    <pivotField dataField="1" showAll="0"/>
    <pivotField showAll="0"/>
    <pivotField showAll="0"/>
    <pivotField dataField="1" dragToRow="0" dragToCol="0" dragToPage="0" showAll="0" defaultSubtotal="0"/>
  </pivotFields>
  <rowFields count="2">
    <field x="35"/>
    <field x="15"/>
  </rowFields>
  <rowItems count="16">
    <i>
      <x/>
    </i>
    <i r="1">
      <x/>
    </i>
    <i>
      <x v="1"/>
    </i>
    <i r="1">
      <x v="1"/>
    </i>
    <i>
      <x v="2"/>
    </i>
    <i r="1">
      <x v="3"/>
    </i>
    <i>
      <x v="3"/>
    </i>
    <i r="1">
      <x v="4"/>
    </i>
    <i>
      <x v="4"/>
    </i>
    <i r="1">
      <x v="2"/>
    </i>
    <i r="1">
      <x v="6"/>
    </i>
    <i r="1">
      <x v="5"/>
    </i>
    <i>
      <x v="5"/>
    </i>
    <i r="1">
      <x v="7"/>
    </i>
    <i r="1">
      <x v="8"/>
    </i>
    <i t="grand">
      <x/>
    </i>
  </rowItems>
  <colFields count="1">
    <field x="-2"/>
  </colFields>
  <colItems count="3">
    <i>
      <x/>
    </i>
    <i i="1">
      <x v="1"/>
    </i>
    <i i="2">
      <x v="2"/>
    </i>
  </colItems>
  <dataFields count="3">
    <dataField name="Employee's Left" fld="36" baseField="15" baseItem="0"/>
    <dataField name="Attrition Rate %" fld="42" baseField="15" baseItem="0" numFmtId="10"/>
    <dataField name="Employee's in Department" fld="39" baseField="15"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67A0A8-DB3E-4CF3-ABE7-379509FB3D39}"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Job Role">
  <location ref="A3:E8" firstHeaderRow="0" firstDataRow="1" firstDataCol="1"/>
  <pivotFields count="4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h="1" x="4"/>
        <item h="1" x="8"/>
        <item h="1" x="2"/>
        <item h="1" x="5"/>
        <item h="1" x="3"/>
        <item h="1" x="7"/>
        <item h="1" x="1"/>
        <item h="1"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h="1" x="3"/>
        <item h="1" x="5"/>
        <item h="1" x="4"/>
        <item h="1" x="2"/>
        <item h="1" x="1"/>
        <item x="0"/>
        <item t="default"/>
      </items>
    </pivotField>
    <pivotField dataField="1" showAll="0"/>
    <pivotField showAll="0"/>
    <pivotField axis="axisRow" showAll="0">
      <items count="6">
        <item x="3"/>
        <item x="0"/>
        <item x="4"/>
        <item x="2"/>
        <item x="1"/>
        <item t="default"/>
      </items>
    </pivotField>
    <pivotField dataField="1" showAll="0"/>
    <pivotField showAll="0"/>
    <pivotField showAll="0"/>
    <pivotField dataField="1" dragToRow="0" dragToCol="0" dragToPage="0" showAll="0" defaultSubtotal="0"/>
  </pivotFields>
  <rowFields count="2">
    <field x="35"/>
    <field x="38"/>
  </rowFields>
  <rowItems count="5">
    <i>
      <x v="5"/>
    </i>
    <i r="1">
      <x v="1"/>
    </i>
    <i r="1">
      <x v="2"/>
    </i>
    <i r="1">
      <x v="4"/>
    </i>
    <i t="grand">
      <x/>
    </i>
  </rowItems>
  <colFields count="1">
    <field x="-2"/>
  </colFields>
  <colItems count="4">
    <i>
      <x/>
    </i>
    <i i="1">
      <x v="1"/>
    </i>
    <i i="2">
      <x v="2"/>
    </i>
    <i i="3">
      <x v="3"/>
    </i>
  </colItems>
  <dataFields count="4">
    <dataField name="Attrition Rate %" fld="42" baseField="35" baseItem="0" numFmtId="10"/>
    <dataField name="Average Monthly Income" fld="18" subtotal="average" baseField="35" baseItem="0" numFmtId="4"/>
    <dataField name="Total Employees" fld="39" baseField="35" baseItem="0"/>
    <dataField name="No. of Employee's Left" fld="36" baseField="35"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Family" xr10:uid="{9E88DE5B-3B22-4A82-96BB-249D2AB50630}" sourceName="JobFamily">
  <pivotTables>
    <pivotTable tabId="14" name="PivotTable2"/>
  </pivotTables>
  <data>
    <tabular pivotCacheId="1594817468">
      <items count="6">
        <i x="0" s="1"/>
        <i x="3" nd="1"/>
        <i x="5" nd="1"/>
        <i x="4" nd="1"/>
        <i x="2" nd="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3862F92-901F-4D95-A630-C147F5A0172B}" sourceName="Gender">
  <pivotTables>
    <pivotTable tabId="11" name="PivotTable1"/>
  </pivotTables>
  <data>
    <tabular pivotCacheId="159481746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14A2ACC8-19BA-460E-8F86-B6C3153E5943}" sourceName="JobLevel">
  <pivotTables>
    <pivotTable tabId="11" name="PivotTable1"/>
  </pivotTables>
  <data>
    <tabular pivotCacheId="1594817468">
      <items count="5">
        <i x="1" s="1"/>
        <i x="0"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Satisfaction" xr10:uid="{6C86D202-BD16-44D0-8F70-16EA2996B3D7}" sourceName="JobSatisfaction">
  <pivotTables>
    <pivotTable tabId="11" name="PivotTable1"/>
  </pivotTables>
  <data>
    <tabular pivotCacheId="1594817468">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AB2B8A2D-8169-4DF5-8922-0D2378AA1238}" sourceName="JobRole">
  <pivotTables>
    <pivotTable tabId="11" name="PivotTable1"/>
  </pivotTables>
  <data>
    <tabular pivotCacheId="1594817468">
      <items count="9">
        <i x="4" s="1"/>
        <i x="8" s="1"/>
        <i x="2" s="1"/>
        <i x="5" s="1"/>
        <i x="3" s="1"/>
        <i x="7" s="1"/>
        <i x="1" s="1"/>
        <i x="0"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1" xr10:uid="{D602E2E7-8CCD-40AB-B7C5-8CDE5AEC2B03}" sourceName="JobRole">
  <pivotTables>
    <pivotTable tabId="14" name="PivotTable2"/>
  </pivotTables>
  <data>
    <tabular pivotCacheId="1594817468">
      <items count="9">
        <i x="0"/>
        <i x="6" s="1"/>
        <i x="4" nd="1"/>
        <i x="8" nd="1"/>
        <i x="2" nd="1"/>
        <i x="5" nd="1"/>
        <i x="3" nd="1"/>
        <i x="7"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5052D8E-343B-4C74-AC8F-37EAF6F15682}" cache="Slicer_Gender" caption="Gender" rowHeight="241300"/>
  <slicer name="JobLevel" xr10:uid="{BDB9A130-27F8-4BFC-BDE1-773365C0577A}" cache="Slicer_JobLevel" caption="JobLevel" rowHeight="241300"/>
  <slicer name="JobSatisfaction" xr10:uid="{03D2BD06-C1EC-4DFD-A83A-F11756A645D4}" cache="Slicer_JobSatisfaction" caption="JobSatisfaction" rowHeight="241300"/>
  <slicer name="JobRole" xr10:uid="{0DA66519-4E4F-437B-AE02-92F23936D43B}" cache="Slicer_JobRole" caption="JobRole" startItem="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Family" xr10:uid="{5FC83383-689E-4A41-9F68-E7BDA98F0401}" cache="Slicer_JobFamily" caption="JobFamily" rowHeight="241300"/>
  <slicer name="JobRole 1" xr10:uid="{3A569CFE-E065-4F5A-A160-622177643F14}" cache="Slicer_JobRole1" caption="JobRo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0CE949-96AD-41C9-A00B-C3B450DF4FF6}" name="Table1" displayName="Table1" ref="A1:AQ1471" totalsRowShown="0">
  <autoFilter ref="A1:AQ1471" xr:uid="{D60CE949-96AD-41C9-A00B-C3B450DF4FF6}"/>
  <tableColumns count="43">
    <tableColumn id="1" xr3:uid="{B5947FF0-2868-420F-B457-99C2F6147458}" name="Age"/>
    <tableColumn id="2" xr3:uid="{2FEB5C49-498E-47D5-A441-DAA1455075EE}" name="Attrition"/>
    <tableColumn id="3" xr3:uid="{5BF8A666-074B-4CD2-9764-1117CF135D0A}" name="BusinessTravel"/>
    <tableColumn id="4" xr3:uid="{5A04732C-A412-42A2-B413-0C15F88BAB97}" name="DailyRate"/>
    <tableColumn id="5" xr3:uid="{7CF4F6E5-379E-4CCA-9BCA-6050489334D2}" name="Department"/>
    <tableColumn id="6" xr3:uid="{C27C8E5A-BF34-48F7-A240-E0D2635FD621}" name="DistanceFromHome"/>
    <tableColumn id="7" xr3:uid="{C784568E-591E-44D6-92FC-EA53033E969E}" name="Education"/>
    <tableColumn id="8" xr3:uid="{276C1C96-BF39-426C-8B7F-9B96F66E1A71}" name="EducationField"/>
    <tableColumn id="9" xr3:uid="{F01BD6CD-255D-4001-B17F-B9BFF7C59F95}" name="EmployeeCount"/>
    <tableColumn id="10" xr3:uid="{B01C9203-320D-48BD-AE7E-190ACA916ED7}" name="EmployeeNumber"/>
    <tableColumn id="11" xr3:uid="{CECC2A50-AFAF-413D-81DE-903F0983B19B}" name="EnvironmentSatisfaction"/>
    <tableColumn id="12" xr3:uid="{B3B80432-A2D0-4B6F-A42F-8676AA0B9879}" name="Gender"/>
    <tableColumn id="13" xr3:uid="{C407015B-79B8-460D-A7FB-F9E21A2AF8FB}" name="HourlyRate"/>
    <tableColumn id="14" xr3:uid="{1A522097-F615-4133-8EDF-152CBA3C0EB4}" name="JobInvolvement"/>
    <tableColumn id="15" xr3:uid="{1D7CD60E-C6C1-4595-A4FB-47CC57D05FD7}" name="JobLevel"/>
    <tableColumn id="16" xr3:uid="{ADBCB437-BEFD-4DC5-96FA-627BE7EE5A17}" name="JobRole"/>
    <tableColumn id="17" xr3:uid="{70980770-F3E2-4DB8-83E2-FE9931D4D6B4}" name="JobSatisfaction"/>
    <tableColumn id="18" xr3:uid="{008E7626-9659-454B-A3BE-60539635A76F}" name="MaritalStatus"/>
    <tableColumn id="19" xr3:uid="{D60231A6-03B7-433F-958E-F466A9992BF3}" name="MonthlyIncome"/>
    <tableColumn id="20" xr3:uid="{A7A45AEF-F914-43D2-82B5-86A0E72853F7}" name="MonthlyRate"/>
    <tableColumn id="21" xr3:uid="{6377E1D5-052B-4AC7-AFB1-77B133FFE8C5}" name="NumCompaniesWorked"/>
    <tableColumn id="22" xr3:uid="{64CC5477-991C-407F-B1E9-FE3ACE6CA949}" name="Over18"/>
    <tableColumn id="23" xr3:uid="{EC11D7B4-913F-42DA-AFEB-92749FA7D7AA}" name="OverTime"/>
    <tableColumn id="24" xr3:uid="{5C0E37B1-431F-4A63-9CE6-3F4DEFFA3F40}" name="PercentSalaryHike"/>
    <tableColumn id="25" xr3:uid="{8E0E2C7F-407E-478C-9DB5-BA459207769B}" name="PerformanceRating"/>
    <tableColumn id="26" xr3:uid="{B4893CD0-5E9F-4AA0-9E99-5C3F1F68DA23}" name="RelationshipSatisfaction"/>
    <tableColumn id="27" xr3:uid="{FDB909E2-BADC-4008-B066-1A9BEA338E74}" name="StandardHours"/>
    <tableColumn id="28" xr3:uid="{16E5D452-F73A-46E2-86EA-B3ADD6218C73}" name="StockOptionLevel"/>
    <tableColumn id="29" xr3:uid="{DFBB856F-C0A5-437D-B56F-3E6EB869BA8B}" name="TotalWorkingYears"/>
    <tableColumn id="30" xr3:uid="{69B58B2E-8BE7-42AE-9A6D-E61BC78862E9}" name="TrainingTimesLastYear"/>
    <tableColumn id="31" xr3:uid="{C8EA850B-F6C0-439A-BF84-C0E7979A97D2}" name="WorkLifeBalance"/>
    <tableColumn id="32" xr3:uid="{F0B704EC-6BDF-4907-A11B-3867A251FC8D}" name="YearsAtCompany"/>
    <tableColumn id="33" xr3:uid="{A9ACC38F-4D77-4860-8E90-D6B5F15F1FDC}" name="YearsInCurrentRole"/>
    <tableColumn id="34" xr3:uid="{6448AB2E-5ED9-476A-8200-95C26A7A1AA7}" name="YearsSinceLastPromotion"/>
    <tableColumn id="35" xr3:uid="{93BC8302-B16D-4FAC-BFF4-F340DF9667A6}" name="YearsWithCurrManager"/>
    <tableColumn id="36" xr3:uid="{F9A34505-C26F-4801-8D36-45DA0EBA538F}" name="JobFamily">
      <calculatedColumnFormula>_xlfn.XLOOKUP(P2, $AP$2:$AP$10,$AQ$2:$AQ$10)</calculatedColumnFormula>
    </tableColumn>
    <tableColumn id="37" xr3:uid="{A0377E62-DDA9-4526-8B3B-FB6ED245B5CA}" name="Is_Leaver">
      <calculatedColumnFormula>IF(B2 ="Yes",1,0)</calculatedColumnFormula>
    </tableColumn>
    <tableColumn id="40" xr3:uid="{6CD048DC-9AC8-4C89-A889-78EEB9B54336}" name="LeaverCost" dataDxfId="3">
      <calculatedColumnFormula>IF(Table1[[#This Row],[Attrition]]="Yes", Table1[[#This Row],[MonthlyIncome]]*12*1.5, 0)</calculatedColumnFormula>
    </tableColumn>
    <tableColumn id="42" xr3:uid="{83A165C9-2D79-409E-9D44-0C71DFF8038E}" name="InCome Band" dataDxfId="2">
      <calculatedColumnFormula array="1">_xlfn.IFS(
Table1[[#This Row],[MonthlyIncome]]&lt;3000,"Under 3K",
Table1[[#This Row],[MonthlyIncome]]&lt;6000,"3K-6K",
Table1[[#This Row],[MonthlyIncome]]&lt;9000,"6K-9K",
Table1[[#This Row],[MonthlyIncome]]&lt;12000,"9K-12K",
TRUE,"12K+")</calculatedColumnFormula>
    </tableColumn>
    <tableColumn id="41" xr3:uid="{1B4B965E-6FAF-4DB0-930D-3F02A2B881AD}" name="HeadCout" dataDxfId="1">
      <calculatedColumnFormula>1</calculatedColumnFormula>
    </tableColumn>
    <tableColumn id="43" xr3:uid="{A2525F23-DB79-4E9D-9277-2F0C0301193B}" name="Tenure Group" dataDxfId="0">
      <calculatedColumnFormula array="1">_xlfn.IFS(
Table1[[#This Row],[YearsAtCompany]]&lt;=2,"0-2 Years",
Table1[[#This Row],[YearsAtCompany]]&lt;=5,"3-5 Years",
Table1[[#This Row],[YearsAtCompany]]&lt;=10,"6-10 Years",
TRUE,"10+ Years")</calculatedColumnFormula>
    </tableColumn>
    <tableColumn id="38" xr3:uid="{A0513DE8-6521-473D-B554-4F875E9FC778}" name="Column1"/>
    <tableColumn id="39" xr3:uid="{3096639F-CB62-438B-9A84-41F326313C90}"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8CD6A-588A-417A-B4E2-6C082E6BFA99}">
  <dimension ref="A3:E10"/>
  <sheetViews>
    <sheetView workbookViewId="0">
      <selection activeCell="C4" sqref="C4"/>
    </sheetView>
  </sheetViews>
  <sheetFormatPr defaultRowHeight="14.5" x14ac:dyDescent="0.35"/>
  <cols>
    <col min="1" max="1" width="15.90625" bestFit="1" customWidth="1"/>
    <col min="2" max="2" width="23.54296875" bestFit="1" customWidth="1"/>
    <col min="3" max="3" width="15.453125" bestFit="1" customWidth="1"/>
    <col min="4" max="4" width="17.36328125" bestFit="1" customWidth="1"/>
    <col min="5" max="5" width="14" bestFit="1" customWidth="1"/>
    <col min="6" max="6" width="8.36328125" bestFit="1" customWidth="1"/>
    <col min="7" max="7" width="5" bestFit="1" customWidth="1"/>
    <col min="8" max="8" width="10.7265625" bestFit="1" customWidth="1"/>
  </cols>
  <sheetData>
    <row r="3" spans="1:5" x14ac:dyDescent="0.35">
      <c r="A3" s="1" t="s">
        <v>76</v>
      </c>
      <c r="B3" t="s">
        <v>74</v>
      </c>
      <c r="C3" t="s">
        <v>73</v>
      </c>
      <c r="D3" t="s">
        <v>75</v>
      </c>
      <c r="E3" t="s">
        <v>77</v>
      </c>
    </row>
    <row r="4" spans="1:5" x14ac:dyDescent="0.35">
      <c r="A4" s="2" t="s">
        <v>61</v>
      </c>
      <c r="B4" s="4">
        <v>802602</v>
      </c>
      <c r="C4">
        <v>52</v>
      </c>
      <c r="D4" s="3">
        <v>0.23076923076923078</v>
      </c>
      <c r="E4">
        <v>12</v>
      </c>
    </row>
    <row r="5" spans="1:5" x14ac:dyDescent="0.35">
      <c r="A5" s="2" t="s">
        <v>37</v>
      </c>
      <c r="B5" s="4">
        <v>9088362</v>
      </c>
      <c r="C5">
        <v>409</v>
      </c>
      <c r="D5" s="3">
        <v>0.22004889975550121</v>
      </c>
      <c r="E5">
        <v>90</v>
      </c>
    </row>
    <row r="6" spans="1:5" x14ac:dyDescent="0.35">
      <c r="A6" s="2" t="s">
        <v>64</v>
      </c>
      <c r="B6" s="4">
        <v>6308406</v>
      </c>
      <c r="C6">
        <v>631</v>
      </c>
      <c r="D6" s="3">
        <v>0.17591125198098256</v>
      </c>
      <c r="E6">
        <v>111</v>
      </c>
    </row>
    <row r="7" spans="1:5" x14ac:dyDescent="0.35">
      <c r="A7" s="2" t="s">
        <v>63</v>
      </c>
      <c r="B7" s="4">
        <v>1325790</v>
      </c>
      <c r="C7">
        <v>145</v>
      </c>
      <c r="D7" s="3">
        <v>6.8965517241379309E-2</v>
      </c>
      <c r="E7">
        <v>10</v>
      </c>
    </row>
    <row r="8" spans="1:5" x14ac:dyDescent="0.35">
      <c r="A8" s="2" t="s">
        <v>62</v>
      </c>
      <c r="B8" s="4">
        <v>1384812</v>
      </c>
      <c r="C8">
        <v>131</v>
      </c>
      <c r="D8" s="3">
        <v>6.8702290076335881E-2</v>
      </c>
      <c r="E8">
        <v>9</v>
      </c>
    </row>
    <row r="9" spans="1:5" x14ac:dyDescent="0.35">
      <c r="A9" s="2" t="s">
        <v>65</v>
      </c>
      <c r="B9" s="4">
        <v>1511766</v>
      </c>
      <c r="C9">
        <v>102</v>
      </c>
      <c r="D9" s="3">
        <v>4.9019607843137254E-2</v>
      </c>
      <c r="E9">
        <v>5</v>
      </c>
    </row>
    <row r="10" spans="1:5" x14ac:dyDescent="0.35">
      <c r="A10" s="2" t="s">
        <v>71</v>
      </c>
      <c r="B10" s="4">
        <v>20421738</v>
      </c>
      <c r="C10">
        <v>1470</v>
      </c>
      <c r="D10" s="3">
        <v>0.16122448979591836</v>
      </c>
      <c r="E10">
        <v>237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09B-8D17-42B6-8B53-790050887FE9}">
  <dimension ref="A3:B10"/>
  <sheetViews>
    <sheetView workbookViewId="0">
      <selection activeCell="B3" sqref="B3"/>
    </sheetView>
  </sheetViews>
  <sheetFormatPr defaultRowHeight="14.5" x14ac:dyDescent="0.35"/>
  <cols>
    <col min="1" max="1" width="15.90625" bestFit="1" customWidth="1"/>
    <col min="2" max="2" width="15.08984375" bestFit="1" customWidth="1"/>
    <col min="3" max="3" width="15.90625" bestFit="1" customWidth="1"/>
    <col min="4" max="4" width="12" bestFit="1" customWidth="1"/>
    <col min="5" max="6" width="11.81640625" bestFit="1" customWidth="1"/>
    <col min="7" max="7" width="9.81640625" bestFit="1" customWidth="1"/>
    <col min="8" max="8" width="10.81640625" bestFit="1" customWidth="1"/>
  </cols>
  <sheetData>
    <row r="3" spans="1:2" x14ac:dyDescent="0.35">
      <c r="A3" s="1" t="s">
        <v>79</v>
      </c>
      <c r="B3" t="s">
        <v>78</v>
      </c>
    </row>
    <row r="4" spans="1:2" x14ac:dyDescent="0.35">
      <c r="A4" s="2" t="s">
        <v>61</v>
      </c>
      <c r="B4" s="3">
        <v>0.23076923076923078</v>
      </c>
    </row>
    <row r="5" spans="1:2" x14ac:dyDescent="0.35">
      <c r="A5" s="2" t="s">
        <v>37</v>
      </c>
      <c r="B5" s="3">
        <v>0.22004889975550121</v>
      </c>
    </row>
    <row r="6" spans="1:2" x14ac:dyDescent="0.35">
      <c r="A6" s="2" t="s">
        <v>64</v>
      </c>
      <c r="B6" s="3">
        <v>0.17591125198098256</v>
      </c>
    </row>
    <row r="7" spans="1:2" x14ac:dyDescent="0.35">
      <c r="A7" s="2" t="s">
        <v>63</v>
      </c>
      <c r="B7" s="3">
        <v>6.8965517241379309E-2</v>
      </c>
    </row>
    <row r="8" spans="1:2" x14ac:dyDescent="0.35">
      <c r="A8" s="2" t="s">
        <v>62</v>
      </c>
      <c r="B8" s="3">
        <v>6.8702290076335881E-2</v>
      </c>
    </row>
    <row r="9" spans="1:2" x14ac:dyDescent="0.35">
      <c r="A9" s="2" t="s">
        <v>65</v>
      </c>
      <c r="B9" s="3">
        <v>4.9019607843137254E-2</v>
      </c>
    </row>
    <row r="10" spans="1:2" x14ac:dyDescent="0.35">
      <c r="A10" s="2" t="s">
        <v>71</v>
      </c>
      <c r="B10" s="3">
        <v>0.16122448979591836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393FA-F69E-4D7D-9044-626E8BAEEFF5}">
  <dimension ref="A3:B10"/>
  <sheetViews>
    <sheetView workbookViewId="0">
      <selection activeCell="I16" sqref="I16"/>
    </sheetView>
  </sheetViews>
  <sheetFormatPr defaultRowHeight="14.5" x14ac:dyDescent="0.35"/>
  <cols>
    <col min="1" max="1" width="15.90625" bestFit="1" customWidth="1"/>
    <col min="2" max="2" width="13.54296875" bestFit="1" customWidth="1"/>
    <col min="3" max="3" width="16.36328125" bestFit="1" customWidth="1"/>
  </cols>
  <sheetData>
    <row r="3" spans="1:2" x14ac:dyDescent="0.35">
      <c r="A3" s="1" t="s">
        <v>79</v>
      </c>
      <c r="B3" t="s">
        <v>80</v>
      </c>
    </row>
    <row r="4" spans="1:2" x14ac:dyDescent="0.35">
      <c r="A4" s="2" t="s">
        <v>37</v>
      </c>
      <c r="B4" s="4">
        <v>9088362</v>
      </c>
    </row>
    <row r="5" spans="1:2" x14ac:dyDescent="0.35">
      <c r="A5" s="2" t="s">
        <v>64</v>
      </c>
      <c r="B5" s="4">
        <v>6308406</v>
      </c>
    </row>
    <row r="6" spans="1:2" x14ac:dyDescent="0.35">
      <c r="A6" s="2" t="s">
        <v>65</v>
      </c>
      <c r="B6" s="4">
        <v>1511766</v>
      </c>
    </row>
    <row r="7" spans="1:2" x14ac:dyDescent="0.35">
      <c r="A7" s="2" t="s">
        <v>62</v>
      </c>
      <c r="B7" s="4">
        <v>1384812</v>
      </c>
    </row>
    <row r="8" spans="1:2" x14ac:dyDescent="0.35">
      <c r="A8" s="2" t="s">
        <v>63</v>
      </c>
      <c r="B8" s="4">
        <v>1325790</v>
      </c>
    </row>
    <row r="9" spans="1:2" x14ac:dyDescent="0.35">
      <c r="A9" s="2" t="s">
        <v>61</v>
      </c>
      <c r="B9" s="4">
        <v>802602</v>
      </c>
    </row>
    <row r="10" spans="1:2" x14ac:dyDescent="0.35">
      <c r="A10" s="2" t="s">
        <v>71</v>
      </c>
      <c r="B10" s="4">
        <v>20421738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E661A-DDBA-4556-AE53-0FF50A371738}">
  <dimension ref="A3:D19"/>
  <sheetViews>
    <sheetView workbookViewId="0">
      <selection activeCell="I14" sqref="I14"/>
    </sheetView>
  </sheetViews>
  <sheetFormatPr defaultRowHeight="14.5" x14ac:dyDescent="0.35"/>
  <cols>
    <col min="1" max="1" width="26.81640625" bestFit="1" customWidth="1"/>
    <col min="2" max="2" width="14" bestFit="1" customWidth="1"/>
    <col min="3" max="3" width="14.26953125" bestFit="1" customWidth="1"/>
    <col min="4" max="4" width="23.26953125" bestFit="1" customWidth="1"/>
    <col min="5" max="5" width="15.90625" bestFit="1" customWidth="1"/>
    <col min="6" max="6" width="18.7265625" bestFit="1" customWidth="1"/>
    <col min="7" max="7" width="15.54296875" bestFit="1" customWidth="1"/>
    <col min="8" max="8" width="19.453125" bestFit="1" customWidth="1"/>
    <col min="9" max="9" width="18.7265625" bestFit="1" customWidth="1"/>
    <col min="10" max="10" width="15.54296875" bestFit="1" customWidth="1"/>
    <col min="11" max="11" width="15" bestFit="1" customWidth="1"/>
    <col min="12" max="12" width="18.7265625" bestFit="1" customWidth="1"/>
    <col min="13" max="13" width="15.54296875" bestFit="1" customWidth="1"/>
    <col min="14" max="14" width="20.6328125" bestFit="1" customWidth="1"/>
    <col min="15" max="15" width="18.7265625" bestFit="1" customWidth="1"/>
    <col min="16" max="16" width="15.54296875" bestFit="1" customWidth="1"/>
    <col min="17" max="17" width="15.7265625" bestFit="1" customWidth="1"/>
    <col min="18" max="18" width="18.7265625" bestFit="1" customWidth="1"/>
    <col min="19" max="19" width="15.54296875" bestFit="1" customWidth="1"/>
    <col min="20" max="20" width="15.90625" bestFit="1" customWidth="1"/>
    <col min="21" max="21" width="18.7265625" bestFit="1" customWidth="1"/>
    <col min="22" max="22" width="15.54296875" bestFit="1" customWidth="1"/>
    <col min="23" max="23" width="15" bestFit="1" customWidth="1"/>
    <col min="24" max="24" width="18.7265625" bestFit="1" customWidth="1"/>
    <col min="25" max="25" width="15.54296875" bestFit="1" customWidth="1"/>
    <col min="26" max="26" width="18.26953125" bestFit="1" customWidth="1"/>
    <col min="27" max="27" width="18.7265625" bestFit="1" customWidth="1"/>
    <col min="28" max="28" width="15.54296875" bestFit="1" customWidth="1"/>
    <col min="29" max="29" width="19.81640625" bestFit="1" customWidth="1"/>
    <col min="30" max="30" width="23.54296875" bestFit="1" customWidth="1"/>
    <col min="31" max="31" width="20.36328125" bestFit="1" customWidth="1"/>
  </cols>
  <sheetData>
    <row r="3" spans="1:4" x14ac:dyDescent="0.35">
      <c r="A3" s="1" t="s">
        <v>81</v>
      </c>
      <c r="B3" t="s">
        <v>77</v>
      </c>
      <c r="C3" t="s">
        <v>82</v>
      </c>
      <c r="D3" t="s">
        <v>83</v>
      </c>
    </row>
    <row r="4" spans="1:4" x14ac:dyDescent="0.35">
      <c r="A4" s="2" t="s">
        <v>62</v>
      </c>
      <c r="B4" s="6">
        <v>9</v>
      </c>
      <c r="C4" s="3">
        <v>6.8702290076335881E-2</v>
      </c>
      <c r="D4" s="6">
        <v>131</v>
      </c>
    </row>
    <row r="5" spans="1:4" x14ac:dyDescent="0.35">
      <c r="A5" s="5" t="s">
        <v>54</v>
      </c>
      <c r="B5" s="6">
        <v>9</v>
      </c>
      <c r="C5" s="3">
        <v>6.8702290076335881E-2</v>
      </c>
      <c r="D5" s="6">
        <v>131</v>
      </c>
    </row>
    <row r="6" spans="1:4" x14ac:dyDescent="0.35">
      <c r="A6" s="2" t="s">
        <v>61</v>
      </c>
      <c r="B6" s="6">
        <v>12</v>
      </c>
      <c r="C6" s="3">
        <v>0.23076923076923078</v>
      </c>
      <c r="D6" s="6">
        <v>52</v>
      </c>
    </row>
    <row r="7" spans="1:4" x14ac:dyDescent="0.35">
      <c r="A7" s="5" t="s">
        <v>61</v>
      </c>
      <c r="B7" s="6">
        <v>12</v>
      </c>
      <c r="C7" s="3">
        <v>0.23076923076923078</v>
      </c>
      <c r="D7" s="6">
        <v>52</v>
      </c>
    </row>
    <row r="8" spans="1:4" x14ac:dyDescent="0.35">
      <c r="A8" s="2" t="s">
        <v>65</v>
      </c>
      <c r="B8" s="6">
        <v>5</v>
      </c>
      <c r="C8" s="3">
        <v>4.9019607843137254E-2</v>
      </c>
      <c r="D8" s="6">
        <v>102</v>
      </c>
    </row>
    <row r="9" spans="1:4" x14ac:dyDescent="0.35">
      <c r="A9" s="5" t="s">
        <v>56</v>
      </c>
      <c r="B9" s="6">
        <v>5</v>
      </c>
      <c r="C9" s="3">
        <v>4.9019607843137254E-2</v>
      </c>
      <c r="D9" s="6">
        <v>102</v>
      </c>
    </row>
    <row r="10" spans="1:4" x14ac:dyDescent="0.35">
      <c r="A10" s="2" t="s">
        <v>63</v>
      </c>
      <c r="B10" s="6">
        <v>10</v>
      </c>
      <c r="C10" s="3">
        <v>6.8965517241379309E-2</v>
      </c>
      <c r="D10" s="6">
        <v>145</v>
      </c>
    </row>
    <row r="11" spans="1:4" x14ac:dyDescent="0.35">
      <c r="A11" s="5" t="s">
        <v>53</v>
      </c>
      <c r="B11" s="6">
        <v>10</v>
      </c>
      <c r="C11" s="3">
        <v>6.8965517241379309E-2</v>
      </c>
      <c r="D11" s="6">
        <v>145</v>
      </c>
    </row>
    <row r="12" spans="1:4" x14ac:dyDescent="0.35">
      <c r="A12" s="2" t="s">
        <v>64</v>
      </c>
      <c r="B12" s="6">
        <v>111</v>
      </c>
      <c r="C12" s="3">
        <v>0.17591125198098256</v>
      </c>
      <c r="D12" s="6">
        <v>631</v>
      </c>
    </row>
    <row r="13" spans="1:4" x14ac:dyDescent="0.35">
      <c r="A13" s="5" t="s">
        <v>50</v>
      </c>
      <c r="B13" s="6">
        <v>62</v>
      </c>
      <c r="C13" s="3">
        <v>0.23938223938223938</v>
      </c>
      <c r="D13" s="6">
        <v>259</v>
      </c>
    </row>
    <row r="14" spans="1:4" x14ac:dyDescent="0.35">
      <c r="A14" s="5" t="s">
        <v>47</v>
      </c>
      <c r="B14" s="6">
        <v>47</v>
      </c>
      <c r="C14" s="3">
        <v>0.16095890410958905</v>
      </c>
      <c r="D14" s="6">
        <v>292</v>
      </c>
    </row>
    <row r="15" spans="1:4" x14ac:dyDescent="0.35">
      <c r="A15" s="5" t="s">
        <v>58</v>
      </c>
      <c r="B15" s="6">
        <v>2</v>
      </c>
      <c r="C15" s="3">
        <v>2.5000000000000001E-2</v>
      </c>
      <c r="D15" s="6">
        <v>80</v>
      </c>
    </row>
    <row r="16" spans="1:4" x14ac:dyDescent="0.35">
      <c r="A16" s="2" t="s">
        <v>37</v>
      </c>
      <c r="B16" s="6">
        <v>90</v>
      </c>
      <c r="C16" s="3">
        <v>0.22004889975550121</v>
      </c>
      <c r="D16" s="6">
        <v>409</v>
      </c>
    </row>
    <row r="17" spans="1:4" x14ac:dyDescent="0.35">
      <c r="A17" s="5" t="s">
        <v>40</v>
      </c>
      <c r="B17" s="6">
        <v>57</v>
      </c>
      <c r="C17" s="3">
        <v>0.17484662576687116</v>
      </c>
      <c r="D17" s="6">
        <v>326</v>
      </c>
    </row>
    <row r="18" spans="1:4" x14ac:dyDescent="0.35">
      <c r="A18" s="5" t="s">
        <v>57</v>
      </c>
      <c r="B18" s="6">
        <v>33</v>
      </c>
      <c r="C18" s="3">
        <v>0.39759036144578314</v>
      </c>
      <c r="D18" s="6">
        <v>83</v>
      </c>
    </row>
    <row r="19" spans="1:4" x14ac:dyDescent="0.35">
      <c r="A19" s="2" t="s">
        <v>71</v>
      </c>
      <c r="B19" s="6">
        <v>237</v>
      </c>
      <c r="C19" s="3">
        <v>0.16122448979591836</v>
      </c>
      <c r="D19" s="6">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FB538-0D96-40B8-B5D6-1CBCAEF9C5A5}">
  <dimension ref="A3:E8"/>
  <sheetViews>
    <sheetView tabSelected="1" workbookViewId="0">
      <selection activeCell="G16" sqref="G16"/>
    </sheetView>
  </sheetViews>
  <sheetFormatPr defaultRowHeight="14.5" x14ac:dyDescent="0.35"/>
  <cols>
    <col min="1" max="1" width="12.26953125" bestFit="1" customWidth="1"/>
    <col min="2" max="2" width="14.26953125" bestFit="1" customWidth="1"/>
    <col min="3" max="3" width="22" bestFit="1" customWidth="1"/>
    <col min="4" max="4" width="14.6328125" bestFit="1" customWidth="1"/>
    <col min="5" max="5" width="19.6328125" bestFit="1" customWidth="1"/>
  </cols>
  <sheetData>
    <row r="3" spans="1:5" x14ac:dyDescent="0.35">
      <c r="A3" s="1" t="s">
        <v>81</v>
      </c>
      <c r="B3" t="s">
        <v>82</v>
      </c>
      <c r="C3" t="s">
        <v>88</v>
      </c>
      <c r="D3" t="s">
        <v>89</v>
      </c>
      <c r="E3" t="s">
        <v>90</v>
      </c>
    </row>
    <row r="4" spans="1:5" x14ac:dyDescent="0.35">
      <c r="A4" s="2" t="s">
        <v>37</v>
      </c>
      <c r="B4" s="3">
        <v>0.39759036144578314</v>
      </c>
      <c r="C4" s="4">
        <v>2626</v>
      </c>
      <c r="D4" s="6">
        <v>83</v>
      </c>
      <c r="E4" s="6">
        <v>33</v>
      </c>
    </row>
    <row r="5" spans="1:5" x14ac:dyDescent="0.35">
      <c r="A5" s="5" t="s">
        <v>85</v>
      </c>
      <c r="B5" s="3">
        <v>0.35714285714285715</v>
      </c>
      <c r="C5" s="4">
        <v>3695.2142857142858</v>
      </c>
      <c r="D5" s="6">
        <v>14</v>
      </c>
      <c r="E5" s="6">
        <v>5</v>
      </c>
    </row>
    <row r="6" spans="1:5" x14ac:dyDescent="0.35">
      <c r="A6" s="5" t="s">
        <v>86</v>
      </c>
      <c r="B6" s="3">
        <v>0</v>
      </c>
      <c r="C6" s="4">
        <v>6632</v>
      </c>
      <c r="D6" s="6">
        <v>1</v>
      </c>
      <c r="E6" s="6">
        <v>0</v>
      </c>
    </row>
    <row r="7" spans="1:5" x14ac:dyDescent="0.35">
      <c r="A7" s="5" t="s">
        <v>87</v>
      </c>
      <c r="B7" s="3">
        <v>0.41176470588235292</v>
      </c>
      <c r="C7" s="4">
        <v>2346.955882352941</v>
      </c>
      <c r="D7" s="6">
        <v>68</v>
      </c>
      <c r="E7" s="6">
        <v>28</v>
      </c>
    </row>
    <row r="8" spans="1:5" x14ac:dyDescent="0.35">
      <c r="A8" s="2" t="s">
        <v>71</v>
      </c>
      <c r="B8" s="3">
        <v>0.39759036144578314</v>
      </c>
      <c r="C8" s="4">
        <v>2626</v>
      </c>
      <c r="D8" s="6">
        <v>83</v>
      </c>
      <c r="E8" s="6">
        <v>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6C586-923A-4A02-84A5-3F9A79DEC112}">
  <dimension ref="A1:AQ1471"/>
  <sheetViews>
    <sheetView topLeftCell="A2" workbookViewId="0">
      <selection activeCell="I5" sqref="I5"/>
    </sheetView>
  </sheetViews>
  <sheetFormatPr defaultRowHeight="14.5" x14ac:dyDescent="0.35"/>
  <cols>
    <col min="2" max="2" width="10" customWidth="1"/>
    <col min="3" max="3" width="15.08984375" customWidth="1"/>
    <col min="4" max="4" width="10.7265625" customWidth="1"/>
    <col min="5" max="5" width="20.453125" customWidth="1"/>
    <col min="6" max="6" width="10.453125" customWidth="1"/>
    <col min="7" max="7" width="9.54296875" customWidth="1"/>
    <col min="8" max="8" width="15.08984375" customWidth="1"/>
    <col min="9" max="9" width="16.08984375" customWidth="1"/>
    <col min="10" max="10" width="17.81640625" customWidth="1"/>
    <col min="11" max="11" width="23.36328125" customWidth="1"/>
    <col min="12" max="12" width="9" customWidth="1"/>
    <col min="13" max="13" width="12.1796875" customWidth="1"/>
    <col min="14" max="14" width="16.08984375" customWidth="1"/>
    <col min="15" max="15" width="9.81640625" customWidth="1"/>
    <col min="16" max="16" width="16.1796875" customWidth="1"/>
    <col min="17" max="17" width="15.36328125" customWidth="1"/>
    <col min="18" max="18" width="14.1796875" customWidth="1"/>
    <col min="19" max="19" width="16.08984375" customWidth="1"/>
    <col min="20" max="20" width="13.7265625" customWidth="1"/>
    <col min="21" max="21" width="22.81640625" customWidth="1"/>
    <col min="22" max="22" width="8.81640625" customWidth="1"/>
    <col min="23" max="23" width="10.90625" customWidth="1"/>
    <col min="24" max="24" width="18" customWidth="1"/>
    <col min="25" max="25" width="18.90625" customWidth="1"/>
    <col min="26" max="26" width="22.90625" customWidth="1"/>
    <col min="27" max="27" width="15.453125" customWidth="1"/>
    <col min="28" max="28" width="17.36328125" customWidth="1"/>
    <col min="29" max="29" width="18.7265625" customWidth="1"/>
    <col min="30" max="30" width="21.54296875" customWidth="1"/>
    <col min="31" max="31" width="16.81640625" customWidth="1"/>
    <col min="32" max="32" width="17.1796875" customWidth="1"/>
    <col min="33" max="33" width="19.08984375" customWidth="1"/>
    <col min="34" max="34" width="24" customWidth="1"/>
    <col min="35" max="35" width="22.54296875" customWidth="1"/>
    <col min="36" max="36" width="15.54296875" customWidth="1"/>
    <col min="37" max="37" width="13.90625" customWidth="1"/>
    <col min="38" max="38" width="11.6328125" customWidth="1"/>
    <col min="39" max="39" width="20.36328125" customWidth="1"/>
    <col min="40" max="40" width="17.54296875" customWidth="1"/>
    <col min="41" max="41" width="17.36328125" customWidth="1"/>
    <col min="42" max="42" width="17.453125" customWidth="1"/>
    <col min="43" max="43" width="18.08984375" customWidth="1"/>
  </cols>
  <sheetData>
    <row r="1" spans="1:4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66</v>
      </c>
      <c r="AK1" t="s">
        <v>67</v>
      </c>
      <c r="AL1" t="s">
        <v>70</v>
      </c>
      <c r="AM1" t="s">
        <v>84</v>
      </c>
      <c r="AN1" t="s">
        <v>72</v>
      </c>
      <c r="AO1" t="s">
        <v>91</v>
      </c>
      <c r="AP1" t="s">
        <v>68</v>
      </c>
      <c r="AQ1" t="s">
        <v>69</v>
      </c>
    </row>
    <row r="2" spans="1:43"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tr">
        <f>_xlfn.XLOOKUP(P2, $AP$2:$AP$10,$AQ$2:$AQ$10)</f>
        <v>Sales</v>
      </c>
      <c r="AK2">
        <f>IF(B2 ="Yes",1,0)</f>
        <v>1</v>
      </c>
      <c r="AL2">
        <f>IF(Table1[[#This Row],[Attrition]]="Yes", Table1[[#This Row],[MonthlyIncome]]*12*1.5, 0)</f>
        <v>107874</v>
      </c>
      <c r="AM2" t="str" cm="1">
        <f t="array" ref="AM2">_xlfn.IFS(
Table1[[#This Row],[MonthlyIncome]]&lt;3000,"Under 3K",
Table1[[#This Row],[MonthlyIncome]]&lt;6000,"3K-6K",
Table1[[#This Row],[MonthlyIncome]]&lt;9000,"6K-9K",
Table1[[#This Row],[MonthlyIncome]]&lt;12000,"9K-12K",
TRUE,"12K+")</f>
        <v>3K-6K</v>
      </c>
      <c r="AN2">
        <f>1</f>
        <v>1</v>
      </c>
      <c r="AO2" t="str" cm="1">
        <f t="array" ref="AO2">_xlfn.IFS(
Table1[[#This Row],[YearsAtCompany]]&lt;=2,"0-2 Years",
Table1[[#This Row],[YearsAtCompany]]&lt;=5,"3-5 Years",
Table1[[#This Row],[YearsAtCompany]]&lt;=10,"6-10 Years",
TRUE,"10+ Years")</f>
        <v>6-10 Years</v>
      </c>
      <c r="AP2" t="s">
        <v>54</v>
      </c>
      <c r="AQ2" t="s">
        <v>62</v>
      </c>
    </row>
    <row r="3" spans="1:43" x14ac:dyDescent="0.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tr">
        <f t="shared" ref="AJ3:AJ66" si="0">_xlfn.XLOOKUP(P3, $AP$2:$AP$10,$AQ$2:$AQ$10)</f>
        <v>Research</v>
      </c>
      <c r="AK3">
        <f t="shared" ref="AK3:AK66" si="1">IF(B3 ="Yes",1,0)</f>
        <v>0</v>
      </c>
      <c r="AL3">
        <f>IF(Table1[[#This Row],[Attrition]]="Yes", Table1[[#This Row],[MonthlyIncome]]*12*1.5, 0)</f>
        <v>0</v>
      </c>
      <c r="AM3" t="str" cm="1">
        <f t="array" ref="AM3">_xlfn.IFS(
Table1[[#This Row],[MonthlyIncome]]&lt;3000,"Under 3K",
Table1[[#This Row],[MonthlyIncome]]&lt;6000,"3K-6K",
Table1[[#This Row],[MonthlyIncome]]&lt;9000,"6K-9K",
Table1[[#This Row],[MonthlyIncome]]&lt;12000,"9K-12K",
TRUE,"12K+")</f>
        <v>3K-6K</v>
      </c>
      <c r="AN3">
        <f>1</f>
        <v>1</v>
      </c>
      <c r="AO3" t="str" cm="1">
        <f t="array" ref="AO3">_xlfn.IFS(
Table1[[#This Row],[YearsAtCompany]]&lt;=2,"0-2 Years",
Table1[[#This Row],[YearsAtCompany]]&lt;=5,"3-5 Years",
Table1[[#This Row],[YearsAtCompany]]&lt;=10,"6-10 Years",
TRUE,"10+ Years")</f>
        <v>6-10 Years</v>
      </c>
      <c r="AP3" t="s">
        <v>61</v>
      </c>
      <c r="AQ3" t="s">
        <v>61</v>
      </c>
    </row>
    <row r="4" spans="1:43"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tr">
        <f t="shared" si="0"/>
        <v>Research</v>
      </c>
      <c r="AK4">
        <f t="shared" si="1"/>
        <v>1</v>
      </c>
      <c r="AL4">
        <f>IF(Table1[[#This Row],[Attrition]]="Yes", Table1[[#This Row],[MonthlyIncome]]*12*1.5, 0)</f>
        <v>37620</v>
      </c>
      <c r="AM4" t="str" cm="1">
        <f t="array" ref="AM4">_xlfn.IFS(
Table1[[#This Row],[MonthlyIncome]]&lt;3000,"Under 3K",
Table1[[#This Row],[MonthlyIncome]]&lt;6000,"3K-6K",
Table1[[#This Row],[MonthlyIncome]]&lt;9000,"6K-9K",
Table1[[#This Row],[MonthlyIncome]]&lt;12000,"9K-12K",
TRUE,"12K+")</f>
        <v>Under 3K</v>
      </c>
      <c r="AN4">
        <f>1</f>
        <v>1</v>
      </c>
      <c r="AO4" t="str" cm="1">
        <f t="array" ref="AO4">_xlfn.IFS(
Table1[[#This Row],[YearsAtCompany]]&lt;=2,"0-2 Years",
Table1[[#This Row],[YearsAtCompany]]&lt;=5,"3-5 Years",
Table1[[#This Row],[YearsAtCompany]]&lt;=10,"6-10 Years",
TRUE,"10+ Years")</f>
        <v>0-2 Years</v>
      </c>
      <c r="AP4" t="s">
        <v>50</v>
      </c>
      <c r="AQ4" t="s">
        <v>64</v>
      </c>
    </row>
    <row r="5" spans="1:43" x14ac:dyDescent="0.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tr">
        <f t="shared" si="0"/>
        <v>Research</v>
      </c>
      <c r="AK5">
        <f t="shared" si="1"/>
        <v>0</v>
      </c>
      <c r="AL5">
        <f>IF(Table1[[#This Row],[Attrition]]="Yes", Table1[[#This Row],[MonthlyIncome]]*12*1.5, 0)</f>
        <v>0</v>
      </c>
      <c r="AM5" t="str" cm="1">
        <f t="array" ref="AM5">_xlfn.IFS(
Table1[[#This Row],[MonthlyIncome]]&lt;3000,"Under 3K",
Table1[[#This Row],[MonthlyIncome]]&lt;6000,"3K-6K",
Table1[[#This Row],[MonthlyIncome]]&lt;9000,"6K-9K",
Table1[[#This Row],[MonthlyIncome]]&lt;12000,"9K-12K",
TRUE,"12K+")</f>
        <v>Under 3K</v>
      </c>
      <c r="AN5">
        <f>1</f>
        <v>1</v>
      </c>
      <c r="AO5" t="str" cm="1">
        <f t="array" ref="AO5">_xlfn.IFS(
Table1[[#This Row],[YearsAtCompany]]&lt;=2,"0-2 Years",
Table1[[#This Row],[YearsAtCompany]]&lt;=5,"3-5 Years",
Table1[[#This Row],[YearsAtCompany]]&lt;=10,"6-10 Years",
TRUE,"10+ Years")</f>
        <v>6-10 Years</v>
      </c>
      <c r="AP5" t="s">
        <v>56</v>
      </c>
      <c r="AQ5" t="s">
        <v>65</v>
      </c>
    </row>
    <row r="6" spans="1:43" x14ac:dyDescent="0.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tr">
        <f t="shared" si="0"/>
        <v>Research</v>
      </c>
      <c r="AK6">
        <f t="shared" si="1"/>
        <v>0</v>
      </c>
      <c r="AL6">
        <f>IF(Table1[[#This Row],[Attrition]]="Yes", Table1[[#This Row],[MonthlyIncome]]*12*1.5, 0)</f>
        <v>0</v>
      </c>
      <c r="AM6" t="str" cm="1">
        <f t="array" ref="AM6">_xlfn.IFS(
Table1[[#This Row],[MonthlyIncome]]&lt;3000,"Under 3K",
Table1[[#This Row],[MonthlyIncome]]&lt;6000,"3K-6K",
Table1[[#This Row],[MonthlyIncome]]&lt;9000,"6K-9K",
Table1[[#This Row],[MonthlyIncome]]&lt;12000,"9K-12K",
TRUE,"12K+")</f>
        <v>3K-6K</v>
      </c>
      <c r="AN6">
        <f>1</f>
        <v>1</v>
      </c>
      <c r="AO6" t="str" cm="1">
        <f t="array" ref="AO6">_xlfn.IFS(
Table1[[#This Row],[YearsAtCompany]]&lt;=2,"0-2 Years",
Table1[[#This Row],[YearsAtCompany]]&lt;=5,"3-5 Years",
Table1[[#This Row],[YearsAtCompany]]&lt;=10,"6-10 Years",
TRUE,"10+ Years")</f>
        <v>0-2 Years</v>
      </c>
      <c r="AP6" t="s">
        <v>53</v>
      </c>
      <c r="AQ6" t="s">
        <v>63</v>
      </c>
    </row>
    <row r="7" spans="1:43" x14ac:dyDescent="0.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tr">
        <f t="shared" si="0"/>
        <v>Research</v>
      </c>
      <c r="AK7">
        <f t="shared" si="1"/>
        <v>0</v>
      </c>
      <c r="AL7">
        <f>IF(Table1[[#This Row],[Attrition]]="Yes", Table1[[#This Row],[MonthlyIncome]]*12*1.5, 0)</f>
        <v>0</v>
      </c>
      <c r="AM7" t="str" cm="1">
        <f t="array" ref="AM7">_xlfn.IFS(
Table1[[#This Row],[MonthlyIncome]]&lt;3000,"Under 3K",
Table1[[#This Row],[MonthlyIncome]]&lt;6000,"3K-6K",
Table1[[#This Row],[MonthlyIncome]]&lt;9000,"6K-9K",
Table1[[#This Row],[MonthlyIncome]]&lt;12000,"9K-12K",
TRUE,"12K+")</f>
        <v>3K-6K</v>
      </c>
      <c r="AN7">
        <f>1</f>
        <v>1</v>
      </c>
      <c r="AO7" t="str" cm="1">
        <f t="array" ref="AO7">_xlfn.IFS(
Table1[[#This Row],[YearsAtCompany]]&lt;=2,"0-2 Years",
Table1[[#This Row],[YearsAtCompany]]&lt;=5,"3-5 Years",
Table1[[#This Row],[YearsAtCompany]]&lt;=10,"6-10 Years",
TRUE,"10+ Years")</f>
        <v>6-10 Years</v>
      </c>
      <c r="AP7" t="s">
        <v>47</v>
      </c>
      <c r="AQ7" t="s">
        <v>64</v>
      </c>
    </row>
    <row r="8" spans="1:43" x14ac:dyDescent="0.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tr">
        <f t="shared" si="0"/>
        <v>Research</v>
      </c>
      <c r="AK8">
        <f t="shared" si="1"/>
        <v>0</v>
      </c>
      <c r="AL8">
        <f>IF(Table1[[#This Row],[Attrition]]="Yes", Table1[[#This Row],[MonthlyIncome]]*12*1.5, 0)</f>
        <v>0</v>
      </c>
      <c r="AM8" t="str" cm="1">
        <f t="array" ref="AM8">_xlfn.IFS(
Table1[[#This Row],[MonthlyIncome]]&lt;3000,"Under 3K",
Table1[[#This Row],[MonthlyIncome]]&lt;6000,"3K-6K",
Table1[[#This Row],[MonthlyIncome]]&lt;9000,"6K-9K",
Table1[[#This Row],[MonthlyIncome]]&lt;12000,"9K-12K",
TRUE,"12K+")</f>
        <v>Under 3K</v>
      </c>
      <c r="AN8">
        <f>1</f>
        <v>1</v>
      </c>
      <c r="AO8" t="str" cm="1">
        <f t="array" ref="AO8">_xlfn.IFS(
Table1[[#This Row],[YearsAtCompany]]&lt;=2,"0-2 Years",
Table1[[#This Row],[YearsAtCompany]]&lt;=5,"3-5 Years",
Table1[[#This Row],[YearsAtCompany]]&lt;=10,"6-10 Years",
TRUE,"10+ Years")</f>
        <v>0-2 Years</v>
      </c>
      <c r="AP8" t="s">
        <v>58</v>
      </c>
      <c r="AQ8" t="s">
        <v>64</v>
      </c>
    </row>
    <row r="9" spans="1:43" x14ac:dyDescent="0.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tr">
        <f t="shared" si="0"/>
        <v>Research</v>
      </c>
      <c r="AK9">
        <f t="shared" si="1"/>
        <v>0</v>
      </c>
      <c r="AL9">
        <f>IF(Table1[[#This Row],[Attrition]]="Yes", Table1[[#This Row],[MonthlyIncome]]*12*1.5, 0)</f>
        <v>0</v>
      </c>
      <c r="AM9" t="str" cm="1">
        <f t="array" ref="AM9">_xlfn.IFS(
Table1[[#This Row],[MonthlyIncome]]&lt;3000,"Under 3K",
Table1[[#This Row],[MonthlyIncome]]&lt;6000,"3K-6K",
Table1[[#This Row],[MonthlyIncome]]&lt;9000,"6K-9K",
Table1[[#This Row],[MonthlyIncome]]&lt;12000,"9K-12K",
TRUE,"12K+")</f>
        <v>Under 3K</v>
      </c>
      <c r="AN9">
        <f>1</f>
        <v>1</v>
      </c>
      <c r="AO9" t="str" cm="1">
        <f t="array" ref="AO9">_xlfn.IFS(
Table1[[#This Row],[YearsAtCompany]]&lt;=2,"0-2 Years",
Table1[[#This Row],[YearsAtCompany]]&lt;=5,"3-5 Years",
Table1[[#This Row],[YearsAtCompany]]&lt;=10,"6-10 Years",
TRUE,"10+ Years")</f>
        <v>0-2 Years</v>
      </c>
      <c r="AP9" t="s">
        <v>40</v>
      </c>
      <c r="AQ9" t="s">
        <v>37</v>
      </c>
    </row>
    <row r="10" spans="1:43"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tr">
        <f t="shared" si="0"/>
        <v>Operations</v>
      </c>
      <c r="AK10">
        <f t="shared" si="1"/>
        <v>0</v>
      </c>
      <c r="AL10">
        <f>IF(Table1[[#This Row],[Attrition]]="Yes", Table1[[#This Row],[MonthlyIncome]]*12*1.5, 0)</f>
        <v>0</v>
      </c>
      <c r="AM10" t="str" cm="1">
        <f t="array" ref="AM10">_xlfn.IFS(
Table1[[#This Row],[MonthlyIncome]]&lt;3000,"Under 3K",
Table1[[#This Row],[MonthlyIncome]]&lt;6000,"3K-6K",
Table1[[#This Row],[MonthlyIncome]]&lt;9000,"6K-9K",
Table1[[#This Row],[MonthlyIncome]]&lt;12000,"9K-12K",
TRUE,"12K+")</f>
        <v>9K-12K</v>
      </c>
      <c r="AN10">
        <f>1</f>
        <v>1</v>
      </c>
      <c r="AO10" t="str" cm="1">
        <f t="array" ref="AO10">_xlfn.IFS(
Table1[[#This Row],[YearsAtCompany]]&lt;=2,"0-2 Years",
Table1[[#This Row],[YearsAtCompany]]&lt;=5,"3-5 Years",
Table1[[#This Row],[YearsAtCompany]]&lt;=10,"6-10 Years",
TRUE,"10+ Years")</f>
        <v>6-10 Years</v>
      </c>
      <c r="AP10" t="s">
        <v>57</v>
      </c>
      <c r="AQ10" t="s">
        <v>37</v>
      </c>
    </row>
    <row r="11" spans="1:43"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tr">
        <f t="shared" si="0"/>
        <v>Healthcare</v>
      </c>
      <c r="AK11">
        <f t="shared" si="1"/>
        <v>0</v>
      </c>
      <c r="AL11">
        <f>IF(Table1[[#This Row],[Attrition]]="Yes", Table1[[#This Row],[MonthlyIncome]]*12*1.5, 0)</f>
        <v>0</v>
      </c>
      <c r="AM11" t="str" cm="1">
        <f t="array" ref="AM11">_xlfn.IFS(
Table1[[#This Row],[MonthlyIncome]]&lt;3000,"Under 3K",
Table1[[#This Row],[MonthlyIncome]]&lt;6000,"3K-6K",
Table1[[#This Row],[MonthlyIncome]]&lt;9000,"6K-9K",
Table1[[#This Row],[MonthlyIncome]]&lt;12000,"9K-12K",
TRUE,"12K+")</f>
        <v>3K-6K</v>
      </c>
      <c r="AN11">
        <f>1</f>
        <v>1</v>
      </c>
      <c r="AO11" t="str" cm="1">
        <f t="array" ref="AO11">_xlfn.IFS(
Table1[[#This Row],[YearsAtCompany]]&lt;=2,"0-2 Years",
Table1[[#This Row],[YearsAtCompany]]&lt;=5,"3-5 Years",
Table1[[#This Row],[YearsAtCompany]]&lt;=10,"6-10 Years",
TRUE,"10+ Years")</f>
        <v>6-10 Years</v>
      </c>
    </row>
    <row r="12" spans="1:43"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tr">
        <f t="shared" si="0"/>
        <v>Research</v>
      </c>
      <c r="AK12">
        <f t="shared" si="1"/>
        <v>0</v>
      </c>
      <c r="AL12">
        <f>IF(Table1[[#This Row],[Attrition]]="Yes", Table1[[#This Row],[MonthlyIncome]]*12*1.5, 0)</f>
        <v>0</v>
      </c>
      <c r="AM12" t="str" cm="1">
        <f t="array" ref="AM12">_xlfn.IFS(
Table1[[#This Row],[MonthlyIncome]]&lt;3000,"Under 3K",
Table1[[#This Row],[MonthlyIncome]]&lt;6000,"3K-6K",
Table1[[#This Row],[MonthlyIncome]]&lt;9000,"6K-9K",
Table1[[#This Row],[MonthlyIncome]]&lt;12000,"9K-12K",
TRUE,"12K+")</f>
        <v>Under 3K</v>
      </c>
      <c r="AN12">
        <f>1</f>
        <v>1</v>
      </c>
      <c r="AO12" t="str" cm="1">
        <f t="array" ref="AO12">_xlfn.IFS(
Table1[[#This Row],[YearsAtCompany]]&lt;=2,"0-2 Years",
Table1[[#This Row],[YearsAtCompany]]&lt;=5,"3-5 Years",
Table1[[#This Row],[YearsAtCompany]]&lt;=10,"6-10 Years",
TRUE,"10+ Years")</f>
        <v>3-5 Years</v>
      </c>
    </row>
    <row r="13" spans="1:43"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tr">
        <f t="shared" si="0"/>
        <v>Research</v>
      </c>
      <c r="AK13">
        <f t="shared" si="1"/>
        <v>0</v>
      </c>
      <c r="AL13">
        <f>IF(Table1[[#This Row],[Attrition]]="Yes", Table1[[#This Row],[MonthlyIncome]]*12*1.5, 0)</f>
        <v>0</v>
      </c>
      <c r="AM13" t="str" cm="1">
        <f t="array" ref="AM13">_xlfn.IFS(
Table1[[#This Row],[MonthlyIncome]]&lt;3000,"Under 3K",
Table1[[#This Row],[MonthlyIncome]]&lt;6000,"3K-6K",
Table1[[#This Row],[MonthlyIncome]]&lt;9000,"6K-9K",
Table1[[#This Row],[MonthlyIncome]]&lt;12000,"9K-12K",
TRUE,"12K+")</f>
        <v>3K-6K</v>
      </c>
      <c r="AN13">
        <f>1</f>
        <v>1</v>
      </c>
      <c r="AO13" t="str" cm="1">
        <f t="array" ref="AO13">_xlfn.IFS(
Table1[[#This Row],[YearsAtCompany]]&lt;=2,"0-2 Years",
Table1[[#This Row],[YearsAtCompany]]&lt;=5,"3-5 Years",
Table1[[#This Row],[YearsAtCompany]]&lt;=10,"6-10 Years",
TRUE,"10+ Years")</f>
        <v>6-10 Years</v>
      </c>
    </row>
    <row r="14" spans="1:43"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tr">
        <f t="shared" si="0"/>
        <v>Research</v>
      </c>
      <c r="AK14">
        <f t="shared" si="1"/>
        <v>0</v>
      </c>
      <c r="AL14">
        <f>IF(Table1[[#This Row],[Attrition]]="Yes", Table1[[#This Row],[MonthlyIncome]]*12*1.5, 0)</f>
        <v>0</v>
      </c>
      <c r="AM14" t="str" cm="1">
        <f t="array" ref="AM14">_xlfn.IFS(
Table1[[#This Row],[MonthlyIncome]]&lt;3000,"Under 3K",
Table1[[#This Row],[MonthlyIncome]]&lt;6000,"3K-6K",
Table1[[#This Row],[MonthlyIncome]]&lt;9000,"6K-9K",
Table1[[#This Row],[MonthlyIncome]]&lt;12000,"9K-12K",
TRUE,"12K+")</f>
        <v>Under 3K</v>
      </c>
      <c r="AN14">
        <f>1</f>
        <v>1</v>
      </c>
      <c r="AO14" t="str" cm="1">
        <f t="array" ref="AO14">_xlfn.IFS(
Table1[[#This Row],[YearsAtCompany]]&lt;=2,"0-2 Years",
Table1[[#This Row],[YearsAtCompany]]&lt;=5,"3-5 Years",
Table1[[#This Row],[YearsAtCompany]]&lt;=10,"6-10 Years",
TRUE,"10+ Years")</f>
        <v>3-5 Years</v>
      </c>
    </row>
    <row r="15" spans="1:43"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tr">
        <f t="shared" si="0"/>
        <v>Research</v>
      </c>
      <c r="AK15">
        <f t="shared" si="1"/>
        <v>0</v>
      </c>
      <c r="AL15">
        <f>IF(Table1[[#This Row],[Attrition]]="Yes", Table1[[#This Row],[MonthlyIncome]]*12*1.5, 0)</f>
        <v>0</v>
      </c>
      <c r="AM15" t="str" cm="1">
        <f t="array" ref="AM15">_xlfn.IFS(
Table1[[#This Row],[MonthlyIncome]]&lt;3000,"Under 3K",
Table1[[#This Row],[MonthlyIncome]]&lt;6000,"3K-6K",
Table1[[#This Row],[MonthlyIncome]]&lt;9000,"6K-9K",
Table1[[#This Row],[MonthlyIncome]]&lt;12000,"9K-12K",
TRUE,"12K+")</f>
        <v>Under 3K</v>
      </c>
      <c r="AN15">
        <f>1</f>
        <v>1</v>
      </c>
      <c r="AO15" t="str" cm="1">
        <f t="array" ref="AO15">_xlfn.IFS(
Table1[[#This Row],[YearsAtCompany]]&lt;=2,"0-2 Years",
Table1[[#This Row],[YearsAtCompany]]&lt;=5,"3-5 Years",
Table1[[#This Row],[YearsAtCompany]]&lt;=10,"6-10 Years",
TRUE,"10+ Years")</f>
        <v>0-2 Years</v>
      </c>
    </row>
    <row r="16" spans="1:43"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tr">
        <f t="shared" si="0"/>
        <v>Research</v>
      </c>
      <c r="AK16">
        <f t="shared" si="1"/>
        <v>1</v>
      </c>
      <c r="AL16">
        <f>IF(Table1[[#This Row],[Attrition]]="Yes", Table1[[#This Row],[MonthlyIncome]]*12*1.5, 0)</f>
        <v>36504</v>
      </c>
      <c r="AM16" t="str" cm="1">
        <f t="array" ref="AM16">_xlfn.IFS(
Table1[[#This Row],[MonthlyIncome]]&lt;3000,"Under 3K",
Table1[[#This Row],[MonthlyIncome]]&lt;6000,"3K-6K",
Table1[[#This Row],[MonthlyIncome]]&lt;9000,"6K-9K",
Table1[[#This Row],[MonthlyIncome]]&lt;12000,"9K-12K",
TRUE,"12K+")</f>
        <v>Under 3K</v>
      </c>
      <c r="AN16">
        <f>1</f>
        <v>1</v>
      </c>
      <c r="AO16" t="str" cm="1">
        <f t="array" ref="AO16">_xlfn.IFS(
Table1[[#This Row],[YearsAtCompany]]&lt;=2,"0-2 Years",
Table1[[#This Row],[YearsAtCompany]]&lt;=5,"3-5 Years",
Table1[[#This Row],[YearsAtCompany]]&lt;=10,"6-10 Years",
TRUE,"10+ Years")</f>
        <v>3-5 Years</v>
      </c>
    </row>
    <row r="17" spans="1:41"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tr">
        <f t="shared" si="0"/>
        <v>Operations</v>
      </c>
      <c r="AK17">
        <f t="shared" si="1"/>
        <v>0</v>
      </c>
      <c r="AL17">
        <f>IF(Table1[[#This Row],[Attrition]]="Yes", Table1[[#This Row],[MonthlyIncome]]*12*1.5, 0)</f>
        <v>0</v>
      </c>
      <c r="AM17" t="str" cm="1">
        <f t="array" ref="AM17">_xlfn.IFS(
Table1[[#This Row],[MonthlyIncome]]&lt;3000,"Under 3K",
Table1[[#This Row],[MonthlyIncome]]&lt;6000,"3K-6K",
Table1[[#This Row],[MonthlyIncome]]&lt;9000,"6K-9K",
Table1[[#This Row],[MonthlyIncome]]&lt;12000,"9K-12K",
TRUE,"12K+")</f>
        <v>9K-12K</v>
      </c>
      <c r="AN17">
        <f>1</f>
        <v>1</v>
      </c>
      <c r="AO17" t="str" cm="1">
        <f t="array" ref="AO17">_xlfn.IFS(
Table1[[#This Row],[YearsAtCompany]]&lt;=2,"0-2 Years",
Table1[[#This Row],[YearsAtCompany]]&lt;=5,"3-5 Years",
Table1[[#This Row],[YearsAtCompany]]&lt;=10,"6-10 Years",
TRUE,"10+ Years")</f>
        <v>6-10 Years</v>
      </c>
    </row>
    <row r="18" spans="1:41"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tr">
        <f t="shared" si="0"/>
        <v>Research</v>
      </c>
      <c r="AK18">
        <f t="shared" si="1"/>
        <v>0</v>
      </c>
      <c r="AL18">
        <f>IF(Table1[[#This Row],[Attrition]]="Yes", Table1[[#This Row],[MonthlyIncome]]*12*1.5, 0)</f>
        <v>0</v>
      </c>
      <c r="AM18" t="str" cm="1">
        <f t="array" ref="AM18">_xlfn.IFS(
Table1[[#This Row],[MonthlyIncome]]&lt;3000,"Under 3K",
Table1[[#This Row],[MonthlyIncome]]&lt;6000,"3K-6K",
Table1[[#This Row],[MonthlyIncome]]&lt;9000,"6K-9K",
Table1[[#This Row],[MonthlyIncome]]&lt;12000,"9K-12K",
TRUE,"12K+")</f>
        <v>3K-6K</v>
      </c>
      <c r="AN18">
        <f>1</f>
        <v>1</v>
      </c>
      <c r="AO18" t="str" cm="1">
        <f t="array" ref="AO18">_xlfn.IFS(
Table1[[#This Row],[YearsAtCompany]]&lt;=2,"0-2 Years",
Table1[[#This Row],[YearsAtCompany]]&lt;=5,"3-5 Years",
Table1[[#This Row],[YearsAtCompany]]&lt;=10,"6-10 Years",
TRUE,"10+ Years")</f>
        <v>6-10 Years</v>
      </c>
    </row>
    <row r="19" spans="1:41"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tr">
        <f t="shared" si="0"/>
        <v>Research</v>
      </c>
      <c r="AK19">
        <f t="shared" si="1"/>
        <v>0</v>
      </c>
      <c r="AL19">
        <f>IF(Table1[[#This Row],[Attrition]]="Yes", Table1[[#This Row],[MonthlyIncome]]*12*1.5, 0)</f>
        <v>0</v>
      </c>
      <c r="AM19" t="str" cm="1">
        <f t="array" ref="AM19">_xlfn.IFS(
Table1[[#This Row],[MonthlyIncome]]&lt;3000,"Under 3K",
Table1[[#This Row],[MonthlyIncome]]&lt;6000,"3K-6K",
Table1[[#This Row],[MonthlyIncome]]&lt;9000,"6K-9K",
Table1[[#This Row],[MonthlyIncome]]&lt;12000,"9K-12K",
TRUE,"12K+")</f>
        <v>Under 3K</v>
      </c>
      <c r="AN19">
        <f>1</f>
        <v>1</v>
      </c>
      <c r="AO19" t="str" cm="1">
        <f t="array" ref="AO19">_xlfn.IFS(
Table1[[#This Row],[YearsAtCompany]]&lt;=2,"0-2 Years",
Table1[[#This Row],[YearsAtCompany]]&lt;=5,"3-5 Years",
Table1[[#This Row],[YearsAtCompany]]&lt;=10,"6-10 Years",
TRUE,"10+ Years")</f>
        <v>0-2 Years</v>
      </c>
    </row>
    <row r="20" spans="1:41"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tr">
        <f t="shared" si="0"/>
        <v>Management</v>
      </c>
      <c r="AK20">
        <f t="shared" si="1"/>
        <v>0</v>
      </c>
      <c r="AL20">
        <f>IF(Table1[[#This Row],[Attrition]]="Yes", Table1[[#This Row],[MonthlyIncome]]*12*1.5, 0)</f>
        <v>0</v>
      </c>
      <c r="AM20" t="str" cm="1">
        <f t="array" ref="AM20">_xlfn.IFS(
Table1[[#This Row],[MonthlyIncome]]&lt;3000,"Under 3K",
Table1[[#This Row],[MonthlyIncome]]&lt;6000,"3K-6K",
Table1[[#This Row],[MonthlyIncome]]&lt;9000,"6K-9K",
Table1[[#This Row],[MonthlyIncome]]&lt;12000,"9K-12K",
TRUE,"12K+")</f>
        <v>12K+</v>
      </c>
      <c r="AN20">
        <f>1</f>
        <v>1</v>
      </c>
      <c r="AO20" t="str" cm="1">
        <f t="array" ref="AO20">_xlfn.IFS(
Table1[[#This Row],[YearsAtCompany]]&lt;=2,"0-2 Years",
Table1[[#This Row],[YearsAtCompany]]&lt;=5,"3-5 Years",
Table1[[#This Row],[YearsAtCompany]]&lt;=10,"6-10 Years",
TRUE,"10+ Years")</f>
        <v>10+ Years</v>
      </c>
    </row>
    <row r="21" spans="1:41"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tr">
        <f t="shared" si="0"/>
        <v>Research</v>
      </c>
      <c r="AK21">
        <f t="shared" si="1"/>
        <v>0</v>
      </c>
      <c r="AL21">
        <f>IF(Table1[[#This Row],[Attrition]]="Yes", Table1[[#This Row],[MonthlyIncome]]*12*1.5, 0)</f>
        <v>0</v>
      </c>
      <c r="AM21" t="str" cm="1">
        <f t="array" ref="AM21">_xlfn.IFS(
Table1[[#This Row],[MonthlyIncome]]&lt;3000,"Under 3K",
Table1[[#This Row],[MonthlyIncome]]&lt;6000,"3K-6K",
Table1[[#This Row],[MonthlyIncome]]&lt;9000,"6K-9K",
Table1[[#This Row],[MonthlyIncome]]&lt;12000,"9K-12K",
TRUE,"12K+")</f>
        <v>3K-6K</v>
      </c>
      <c r="AN21">
        <f>1</f>
        <v>1</v>
      </c>
      <c r="AO21" t="str" cm="1">
        <f t="array" ref="AO21">_xlfn.IFS(
Table1[[#This Row],[YearsAtCompany]]&lt;=2,"0-2 Years",
Table1[[#This Row],[YearsAtCompany]]&lt;=5,"3-5 Years",
Table1[[#This Row],[YearsAtCompany]]&lt;=10,"6-10 Years",
TRUE,"10+ Years")</f>
        <v>3-5 Years</v>
      </c>
    </row>
    <row r="22" spans="1:41"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tr">
        <f t="shared" si="0"/>
        <v>Operations</v>
      </c>
      <c r="AK22">
        <f t="shared" si="1"/>
        <v>0</v>
      </c>
      <c r="AL22">
        <f>IF(Table1[[#This Row],[Attrition]]="Yes", Table1[[#This Row],[MonthlyIncome]]*12*1.5, 0)</f>
        <v>0</v>
      </c>
      <c r="AM22" t="str" cm="1">
        <f t="array" ref="AM22">_xlfn.IFS(
Table1[[#This Row],[MonthlyIncome]]&lt;3000,"Under 3K",
Table1[[#This Row],[MonthlyIncome]]&lt;6000,"3K-6K",
Table1[[#This Row],[MonthlyIncome]]&lt;9000,"6K-9K",
Table1[[#This Row],[MonthlyIncome]]&lt;12000,"9K-12K",
TRUE,"12K+")</f>
        <v>3K-6K</v>
      </c>
      <c r="AN22">
        <f>1</f>
        <v>1</v>
      </c>
      <c r="AO22" t="str" cm="1">
        <f t="array" ref="AO22">_xlfn.IFS(
Table1[[#This Row],[YearsAtCompany]]&lt;=2,"0-2 Years",
Table1[[#This Row],[YearsAtCompany]]&lt;=5,"3-5 Years",
Table1[[#This Row],[YearsAtCompany]]&lt;=10,"6-10 Years",
TRUE,"10+ Years")</f>
        <v>3-5 Years</v>
      </c>
    </row>
    <row r="23" spans="1:41"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tr">
        <f t="shared" si="0"/>
        <v>Sales</v>
      </c>
      <c r="AK23">
        <f t="shared" si="1"/>
        <v>1</v>
      </c>
      <c r="AL23">
        <f>IF(Table1[[#This Row],[Attrition]]="Yes", Table1[[#This Row],[MonthlyIncome]]*12*1.5, 0)</f>
        <v>61326</v>
      </c>
      <c r="AM23" t="str" cm="1">
        <f t="array" ref="AM23">_xlfn.IFS(
Table1[[#This Row],[MonthlyIncome]]&lt;3000,"Under 3K",
Table1[[#This Row],[MonthlyIncome]]&lt;6000,"3K-6K",
Table1[[#This Row],[MonthlyIncome]]&lt;9000,"6K-9K",
Table1[[#This Row],[MonthlyIncome]]&lt;12000,"9K-12K",
TRUE,"12K+")</f>
        <v>3K-6K</v>
      </c>
      <c r="AN23">
        <f>1</f>
        <v>1</v>
      </c>
      <c r="AO23" t="str" cm="1">
        <f t="array" ref="AO23">_xlfn.IFS(
Table1[[#This Row],[YearsAtCompany]]&lt;=2,"0-2 Years",
Table1[[#This Row],[YearsAtCompany]]&lt;=5,"3-5 Years",
Table1[[#This Row],[YearsAtCompany]]&lt;=10,"6-10 Years",
TRUE,"10+ Years")</f>
        <v>3-5 Years</v>
      </c>
    </row>
    <row r="24" spans="1:41"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tr">
        <f t="shared" si="0"/>
        <v>Research</v>
      </c>
      <c r="AK24">
        <f t="shared" si="1"/>
        <v>0</v>
      </c>
      <c r="AL24">
        <f>IF(Table1[[#This Row],[Attrition]]="Yes", Table1[[#This Row],[MonthlyIncome]]*12*1.5, 0)</f>
        <v>0</v>
      </c>
      <c r="AM24" t="str" cm="1">
        <f t="array" ref="AM24">_xlfn.IFS(
Table1[[#This Row],[MonthlyIncome]]&lt;3000,"Under 3K",
Table1[[#This Row],[MonthlyIncome]]&lt;6000,"3K-6K",
Table1[[#This Row],[MonthlyIncome]]&lt;9000,"6K-9K",
Table1[[#This Row],[MonthlyIncome]]&lt;12000,"9K-12K",
TRUE,"12K+")</f>
        <v>9K-12K</v>
      </c>
      <c r="AN24">
        <f>1</f>
        <v>1</v>
      </c>
      <c r="AO24" t="str" cm="1">
        <f t="array" ref="AO24">_xlfn.IFS(
Table1[[#This Row],[YearsAtCompany]]&lt;=2,"0-2 Years",
Table1[[#This Row],[YearsAtCompany]]&lt;=5,"3-5 Years",
Table1[[#This Row],[YearsAtCompany]]&lt;=10,"6-10 Years",
TRUE,"10+ Years")</f>
        <v>10+ Years</v>
      </c>
    </row>
    <row r="25" spans="1:41"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tr">
        <f t="shared" si="0"/>
        <v>Research</v>
      </c>
      <c r="AK25">
        <f t="shared" si="1"/>
        <v>0</v>
      </c>
      <c r="AL25">
        <f>IF(Table1[[#This Row],[Attrition]]="Yes", Table1[[#This Row],[MonthlyIncome]]*12*1.5, 0)</f>
        <v>0</v>
      </c>
      <c r="AM25" t="str" cm="1">
        <f t="array" ref="AM25">_xlfn.IFS(
Table1[[#This Row],[MonthlyIncome]]&lt;3000,"Under 3K",
Table1[[#This Row],[MonthlyIncome]]&lt;6000,"3K-6K",
Table1[[#This Row],[MonthlyIncome]]&lt;9000,"6K-9K",
Table1[[#This Row],[MonthlyIncome]]&lt;12000,"9K-12K",
TRUE,"12K+")</f>
        <v>Under 3K</v>
      </c>
      <c r="AN25">
        <f>1</f>
        <v>1</v>
      </c>
      <c r="AO25" t="str" cm="1">
        <f t="array" ref="AO25">_xlfn.IFS(
Table1[[#This Row],[YearsAtCompany]]&lt;=2,"0-2 Years",
Table1[[#This Row],[YearsAtCompany]]&lt;=5,"3-5 Years",
Table1[[#This Row],[YearsAtCompany]]&lt;=10,"6-10 Years",
TRUE,"10+ Years")</f>
        <v>0-2 Years</v>
      </c>
    </row>
    <row r="26" spans="1:41"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tr">
        <f t="shared" si="0"/>
        <v>Research</v>
      </c>
      <c r="AK26">
        <f t="shared" si="1"/>
        <v>1</v>
      </c>
      <c r="AL26">
        <f>IF(Table1[[#This Row],[Attrition]]="Yes", Table1[[#This Row],[MonthlyIncome]]*12*1.5, 0)</f>
        <v>53280</v>
      </c>
      <c r="AM26" t="str" cm="1">
        <f t="array" ref="AM26">_xlfn.IFS(
Table1[[#This Row],[MonthlyIncome]]&lt;3000,"Under 3K",
Table1[[#This Row],[MonthlyIncome]]&lt;6000,"3K-6K",
Table1[[#This Row],[MonthlyIncome]]&lt;9000,"6K-9K",
Table1[[#This Row],[MonthlyIncome]]&lt;12000,"9K-12K",
TRUE,"12K+")</f>
        <v>Under 3K</v>
      </c>
      <c r="AN26">
        <f>1</f>
        <v>1</v>
      </c>
      <c r="AO26" t="str" cm="1">
        <f t="array" ref="AO26">_xlfn.IFS(
Table1[[#This Row],[YearsAtCompany]]&lt;=2,"0-2 Years",
Table1[[#This Row],[YearsAtCompany]]&lt;=5,"3-5 Years",
Table1[[#This Row],[YearsAtCompany]]&lt;=10,"6-10 Years",
TRUE,"10+ Years")</f>
        <v>3-5 Years</v>
      </c>
    </row>
    <row r="27" spans="1:41"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tr">
        <f t="shared" si="0"/>
        <v>Management</v>
      </c>
      <c r="AK27">
        <f t="shared" si="1"/>
        <v>0</v>
      </c>
      <c r="AL27">
        <f>IF(Table1[[#This Row],[Attrition]]="Yes", Table1[[#This Row],[MonthlyIncome]]*12*1.5, 0)</f>
        <v>0</v>
      </c>
      <c r="AM27" t="str" cm="1">
        <f t="array" ref="AM27">_xlfn.IFS(
Table1[[#This Row],[MonthlyIncome]]&lt;3000,"Under 3K",
Table1[[#This Row],[MonthlyIncome]]&lt;6000,"3K-6K",
Table1[[#This Row],[MonthlyIncome]]&lt;9000,"6K-9K",
Table1[[#This Row],[MonthlyIncome]]&lt;12000,"9K-12K",
TRUE,"12K+")</f>
        <v>12K+</v>
      </c>
      <c r="AN27">
        <f>1</f>
        <v>1</v>
      </c>
      <c r="AO27" t="str" cm="1">
        <f t="array" ref="AO27">_xlfn.IFS(
Table1[[#This Row],[YearsAtCompany]]&lt;=2,"0-2 Years",
Table1[[#This Row],[YearsAtCompany]]&lt;=5,"3-5 Years",
Table1[[#This Row],[YearsAtCompany]]&lt;=10,"6-10 Years",
TRUE,"10+ Years")</f>
        <v>10+ Years</v>
      </c>
    </row>
    <row r="28" spans="1:41"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tr">
        <f t="shared" si="0"/>
        <v>Research</v>
      </c>
      <c r="AK28">
        <f t="shared" si="1"/>
        <v>1</v>
      </c>
      <c r="AL28">
        <f>IF(Table1[[#This Row],[Attrition]]="Yes", Table1[[#This Row],[MonthlyIncome]]*12*1.5, 0)</f>
        <v>70542</v>
      </c>
      <c r="AM28" t="str" cm="1">
        <f t="array" ref="AM28">_xlfn.IFS(
Table1[[#This Row],[MonthlyIncome]]&lt;3000,"Under 3K",
Table1[[#This Row],[MonthlyIncome]]&lt;6000,"3K-6K",
Table1[[#This Row],[MonthlyIncome]]&lt;9000,"6K-9K",
Table1[[#This Row],[MonthlyIncome]]&lt;12000,"9K-12K",
TRUE,"12K+")</f>
        <v>3K-6K</v>
      </c>
      <c r="AN28">
        <f>1</f>
        <v>1</v>
      </c>
      <c r="AO28" t="str" cm="1">
        <f t="array" ref="AO28">_xlfn.IFS(
Table1[[#This Row],[YearsAtCompany]]&lt;=2,"0-2 Years",
Table1[[#This Row],[YearsAtCompany]]&lt;=5,"3-5 Years",
Table1[[#This Row],[YearsAtCompany]]&lt;=10,"6-10 Years",
TRUE,"10+ Years")</f>
        <v>6-10 Years</v>
      </c>
    </row>
    <row r="29" spans="1:41"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tr">
        <f t="shared" si="0"/>
        <v>Sales</v>
      </c>
      <c r="AK29">
        <f t="shared" si="1"/>
        <v>0</v>
      </c>
      <c r="AL29">
        <f>IF(Table1[[#This Row],[Attrition]]="Yes", Table1[[#This Row],[MonthlyIncome]]*12*1.5, 0)</f>
        <v>0</v>
      </c>
      <c r="AM29" t="str" cm="1">
        <f t="array" ref="AM29">_xlfn.IFS(
Table1[[#This Row],[MonthlyIncome]]&lt;3000,"Under 3K",
Table1[[#This Row],[MonthlyIncome]]&lt;6000,"3K-6K",
Table1[[#This Row],[MonthlyIncome]]&lt;9000,"6K-9K",
Table1[[#This Row],[MonthlyIncome]]&lt;12000,"9K-12K",
TRUE,"12K+")</f>
        <v>6K-9K</v>
      </c>
      <c r="AN29">
        <f>1</f>
        <v>1</v>
      </c>
      <c r="AO29" t="str" cm="1">
        <f t="array" ref="AO29">_xlfn.IFS(
Table1[[#This Row],[YearsAtCompany]]&lt;=2,"0-2 Years",
Table1[[#This Row],[YearsAtCompany]]&lt;=5,"3-5 Years",
Table1[[#This Row],[YearsAtCompany]]&lt;=10,"6-10 Years",
TRUE,"10+ Years")</f>
        <v>6-10 Years</v>
      </c>
    </row>
    <row r="30" spans="1:41"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tr">
        <f t="shared" si="0"/>
        <v>Healthcare</v>
      </c>
      <c r="AK30">
        <f t="shared" si="1"/>
        <v>0</v>
      </c>
      <c r="AL30">
        <f>IF(Table1[[#This Row],[Attrition]]="Yes", Table1[[#This Row],[MonthlyIncome]]*12*1.5, 0)</f>
        <v>0</v>
      </c>
      <c r="AM30" t="str" cm="1">
        <f t="array" ref="AM30">_xlfn.IFS(
Table1[[#This Row],[MonthlyIncome]]&lt;3000,"Under 3K",
Table1[[#This Row],[MonthlyIncome]]&lt;6000,"3K-6K",
Table1[[#This Row],[MonthlyIncome]]&lt;9000,"6K-9K",
Table1[[#This Row],[MonthlyIncome]]&lt;12000,"9K-12K",
TRUE,"12K+")</f>
        <v>9K-12K</v>
      </c>
      <c r="AN30">
        <f>1</f>
        <v>1</v>
      </c>
      <c r="AO30" t="str" cm="1">
        <f t="array" ref="AO30">_xlfn.IFS(
Table1[[#This Row],[YearsAtCompany]]&lt;=2,"0-2 Years",
Table1[[#This Row],[YearsAtCompany]]&lt;=5,"3-5 Years",
Table1[[#This Row],[YearsAtCompany]]&lt;=10,"6-10 Years",
TRUE,"10+ Years")</f>
        <v>10+ Years</v>
      </c>
    </row>
    <row r="31" spans="1:41"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tr">
        <f t="shared" si="0"/>
        <v>Management</v>
      </c>
      <c r="AK31">
        <f t="shared" si="1"/>
        <v>0</v>
      </c>
      <c r="AL31">
        <f>IF(Table1[[#This Row],[Attrition]]="Yes", Table1[[#This Row],[MonthlyIncome]]*12*1.5, 0)</f>
        <v>0</v>
      </c>
      <c r="AM31" t="str" cm="1">
        <f t="array" ref="AM31">_xlfn.IFS(
Table1[[#This Row],[MonthlyIncome]]&lt;3000,"Under 3K",
Table1[[#This Row],[MonthlyIncome]]&lt;6000,"3K-6K",
Table1[[#This Row],[MonthlyIncome]]&lt;9000,"6K-9K",
Table1[[#This Row],[MonthlyIncome]]&lt;12000,"9K-12K",
TRUE,"12K+")</f>
        <v>12K+</v>
      </c>
      <c r="AN31">
        <f>1</f>
        <v>1</v>
      </c>
      <c r="AO31" t="str" cm="1">
        <f t="array" ref="AO31">_xlfn.IFS(
Table1[[#This Row],[YearsAtCompany]]&lt;=2,"0-2 Years",
Table1[[#This Row],[YearsAtCompany]]&lt;=5,"3-5 Years",
Table1[[#This Row],[YearsAtCompany]]&lt;=10,"6-10 Years",
TRUE,"10+ Years")</f>
        <v>0-2 Years</v>
      </c>
    </row>
    <row r="32" spans="1:41"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tr">
        <f t="shared" si="0"/>
        <v>Research</v>
      </c>
      <c r="AK32">
        <f t="shared" si="1"/>
        <v>0</v>
      </c>
      <c r="AL32">
        <f>IF(Table1[[#This Row],[Attrition]]="Yes", Table1[[#This Row],[MonthlyIncome]]*12*1.5, 0)</f>
        <v>0</v>
      </c>
      <c r="AM32" t="str" cm="1">
        <f t="array" ref="AM32">_xlfn.IFS(
Table1[[#This Row],[MonthlyIncome]]&lt;3000,"Under 3K",
Table1[[#This Row],[MonthlyIncome]]&lt;6000,"3K-6K",
Table1[[#This Row],[MonthlyIncome]]&lt;9000,"6K-9K",
Table1[[#This Row],[MonthlyIncome]]&lt;12000,"9K-12K",
TRUE,"12K+")</f>
        <v>Under 3K</v>
      </c>
      <c r="AN32">
        <f>1</f>
        <v>1</v>
      </c>
      <c r="AO32" t="str" cm="1">
        <f t="array" ref="AO32">_xlfn.IFS(
Table1[[#This Row],[YearsAtCompany]]&lt;=2,"0-2 Years",
Table1[[#This Row],[YearsAtCompany]]&lt;=5,"3-5 Years",
Table1[[#This Row],[YearsAtCompany]]&lt;=10,"6-10 Years",
TRUE,"10+ Years")</f>
        <v>0-2 Years</v>
      </c>
    </row>
    <row r="33" spans="1:41"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tr">
        <f t="shared" si="0"/>
        <v>Healthcare</v>
      </c>
      <c r="AK33">
        <f t="shared" si="1"/>
        <v>0</v>
      </c>
      <c r="AL33">
        <f>IF(Table1[[#This Row],[Attrition]]="Yes", Table1[[#This Row],[MonthlyIncome]]*12*1.5, 0)</f>
        <v>0</v>
      </c>
      <c r="AM33" t="str" cm="1">
        <f t="array" ref="AM33">_xlfn.IFS(
Table1[[#This Row],[MonthlyIncome]]&lt;3000,"Under 3K",
Table1[[#This Row],[MonthlyIncome]]&lt;6000,"3K-6K",
Table1[[#This Row],[MonthlyIncome]]&lt;9000,"6K-9K",
Table1[[#This Row],[MonthlyIncome]]&lt;12000,"9K-12K",
TRUE,"12K+")</f>
        <v>6K-9K</v>
      </c>
      <c r="AN33">
        <f>1</f>
        <v>1</v>
      </c>
      <c r="AO33" t="str" cm="1">
        <f t="array" ref="AO33">_xlfn.IFS(
Table1[[#This Row],[YearsAtCompany]]&lt;=2,"0-2 Years",
Table1[[#This Row],[YearsAtCompany]]&lt;=5,"3-5 Years",
Table1[[#This Row],[YearsAtCompany]]&lt;=10,"6-10 Years",
TRUE,"10+ Years")</f>
        <v>3-5 Years</v>
      </c>
    </row>
    <row r="34" spans="1:41"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tr">
        <f t="shared" si="0"/>
        <v>Research</v>
      </c>
      <c r="AK34">
        <f t="shared" si="1"/>
        <v>0</v>
      </c>
      <c r="AL34">
        <f>IF(Table1[[#This Row],[Attrition]]="Yes", Table1[[#This Row],[MonthlyIncome]]*12*1.5, 0)</f>
        <v>0</v>
      </c>
      <c r="AM34" t="str" cm="1">
        <f t="array" ref="AM34">_xlfn.IFS(
Table1[[#This Row],[MonthlyIncome]]&lt;3000,"Under 3K",
Table1[[#This Row],[MonthlyIncome]]&lt;6000,"3K-6K",
Table1[[#This Row],[MonthlyIncome]]&lt;9000,"6K-9K",
Table1[[#This Row],[MonthlyIncome]]&lt;12000,"9K-12K",
TRUE,"12K+")</f>
        <v>Under 3K</v>
      </c>
      <c r="AN34">
        <f>1</f>
        <v>1</v>
      </c>
      <c r="AO34" t="str" cm="1">
        <f t="array" ref="AO34">_xlfn.IFS(
Table1[[#This Row],[YearsAtCompany]]&lt;=2,"0-2 Years",
Table1[[#This Row],[YearsAtCompany]]&lt;=5,"3-5 Years",
Table1[[#This Row],[YearsAtCompany]]&lt;=10,"6-10 Years",
TRUE,"10+ Years")</f>
        <v>6-10 Years</v>
      </c>
    </row>
    <row r="35" spans="1:41"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tr">
        <f t="shared" si="0"/>
        <v>Sales</v>
      </c>
      <c r="AK35">
        <f t="shared" si="1"/>
        <v>1</v>
      </c>
      <c r="AL35">
        <f>IF(Table1[[#This Row],[Attrition]]="Yes", Table1[[#This Row],[MonthlyIncome]]*12*1.5, 0)</f>
        <v>37548</v>
      </c>
      <c r="AM35" t="str" cm="1">
        <f t="array" ref="AM35">_xlfn.IFS(
Table1[[#This Row],[MonthlyIncome]]&lt;3000,"Under 3K",
Table1[[#This Row],[MonthlyIncome]]&lt;6000,"3K-6K",
Table1[[#This Row],[MonthlyIncome]]&lt;9000,"6K-9K",
Table1[[#This Row],[MonthlyIncome]]&lt;12000,"9K-12K",
TRUE,"12K+")</f>
        <v>Under 3K</v>
      </c>
      <c r="AN35">
        <f>1</f>
        <v>1</v>
      </c>
      <c r="AO35" t="str" cm="1">
        <f t="array" ref="AO35">_xlfn.IFS(
Table1[[#This Row],[YearsAtCompany]]&lt;=2,"0-2 Years",
Table1[[#This Row],[YearsAtCompany]]&lt;=5,"3-5 Years",
Table1[[#This Row],[YearsAtCompany]]&lt;=10,"6-10 Years",
TRUE,"10+ Years")</f>
        <v>0-2 Years</v>
      </c>
    </row>
    <row r="36" spans="1:41"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tr">
        <f t="shared" si="0"/>
        <v>Research</v>
      </c>
      <c r="AK36">
        <f t="shared" si="1"/>
        <v>1</v>
      </c>
      <c r="AL36">
        <f>IF(Table1[[#This Row],[Attrition]]="Yes", Table1[[#This Row],[MonthlyIncome]]*12*1.5, 0)</f>
        <v>41274</v>
      </c>
      <c r="AM36" t="str" cm="1">
        <f t="array" ref="AM36">_xlfn.IFS(
Table1[[#This Row],[MonthlyIncome]]&lt;3000,"Under 3K",
Table1[[#This Row],[MonthlyIncome]]&lt;6000,"3K-6K",
Table1[[#This Row],[MonthlyIncome]]&lt;9000,"6K-9K",
Table1[[#This Row],[MonthlyIncome]]&lt;12000,"9K-12K",
TRUE,"12K+")</f>
        <v>Under 3K</v>
      </c>
      <c r="AN36">
        <f>1</f>
        <v>1</v>
      </c>
      <c r="AO36" t="str" cm="1">
        <f t="array" ref="AO36">_xlfn.IFS(
Table1[[#This Row],[YearsAtCompany]]&lt;=2,"0-2 Years",
Table1[[#This Row],[YearsAtCompany]]&lt;=5,"3-5 Years",
Table1[[#This Row],[YearsAtCompany]]&lt;=10,"6-10 Years",
TRUE,"10+ Years")</f>
        <v>0-2 Years</v>
      </c>
    </row>
    <row r="37" spans="1:41"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tr">
        <f t="shared" si="0"/>
        <v>Research</v>
      </c>
      <c r="AK37">
        <f t="shared" si="1"/>
        <v>0</v>
      </c>
      <c r="AL37">
        <f>IF(Table1[[#This Row],[Attrition]]="Yes", Table1[[#This Row],[MonthlyIncome]]*12*1.5, 0)</f>
        <v>0</v>
      </c>
      <c r="AM37" t="str" cm="1">
        <f t="array" ref="AM37">_xlfn.IFS(
Table1[[#This Row],[MonthlyIncome]]&lt;3000,"Under 3K",
Table1[[#This Row],[MonthlyIncome]]&lt;6000,"3K-6K",
Table1[[#This Row],[MonthlyIncome]]&lt;9000,"6K-9K",
Table1[[#This Row],[MonthlyIncome]]&lt;12000,"9K-12K",
TRUE,"12K+")</f>
        <v>Under 3K</v>
      </c>
      <c r="AN37">
        <f>1</f>
        <v>1</v>
      </c>
      <c r="AO37" t="str" cm="1">
        <f t="array" ref="AO37">_xlfn.IFS(
Table1[[#This Row],[YearsAtCompany]]&lt;=2,"0-2 Years",
Table1[[#This Row],[YearsAtCompany]]&lt;=5,"3-5 Years",
Table1[[#This Row],[YearsAtCompany]]&lt;=10,"6-10 Years",
TRUE,"10+ Years")</f>
        <v>3-5 Years</v>
      </c>
    </row>
    <row r="38" spans="1:41"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tr">
        <f t="shared" si="0"/>
        <v>Sales</v>
      </c>
      <c r="AK38">
        <f t="shared" si="1"/>
        <v>1</v>
      </c>
      <c r="AL38">
        <f>IF(Table1[[#This Row],[Attrition]]="Yes", Table1[[#This Row],[MonthlyIncome]]*12*1.5, 0)</f>
        <v>48294</v>
      </c>
      <c r="AM38" t="str" cm="1">
        <f t="array" ref="AM38">_xlfn.IFS(
Table1[[#This Row],[MonthlyIncome]]&lt;3000,"Under 3K",
Table1[[#This Row],[MonthlyIncome]]&lt;6000,"3K-6K",
Table1[[#This Row],[MonthlyIncome]]&lt;9000,"6K-9K",
Table1[[#This Row],[MonthlyIncome]]&lt;12000,"9K-12K",
TRUE,"12K+")</f>
        <v>Under 3K</v>
      </c>
      <c r="AN38">
        <f>1</f>
        <v>1</v>
      </c>
      <c r="AO38" t="str" cm="1">
        <f t="array" ref="AO38">_xlfn.IFS(
Table1[[#This Row],[YearsAtCompany]]&lt;=2,"0-2 Years",
Table1[[#This Row],[YearsAtCompany]]&lt;=5,"3-5 Years",
Table1[[#This Row],[YearsAtCompany]]&lt;=10,"6-10 Years",
TRUE,"10+ Years")</f>
        <v>3-5 Years</v>
      </c>
    </row>
    <row r="39" spans="1:41"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tr">
        <f t="shared" si="0"/>
        <v>Sales</v>
      </c>
      <c r="AK39">
        <f t="shared" si="1"/>
        <v>0</v>
      </c>
      <c r="AL39">
        <f>IF(Table1[[#This Row],[Attrition]]="Yes", Table1[[#This Row],[MonthlyIncome]]*12*1.5, 0)</f>
        <v>0</v>
      </c>
      <c r="AM39" t="str" cm="1">
        <f t="array" ref="AM39">_xlfn.IFS(
Table1[[#This Row],[MonthlyIncome]]&lt;3000,"Under 3K",
Table1[[#This Row],[MonthlyIncome]]&lt;6000,"3K-6K",
Table1[[#This Row],[MonthlyIncome]]&lt;9000,"6K-9K",
Table1[[#This Row],[MonthlyIncome]]&lt;12000,"9K-12K",
TRUE,"12K+")</f>
        <v>Under 3K</v>
      </c>
      <c r="AN39">
        <f>1</f>
        <v>1</v>
      </c>
      <c r="AO39" t="str" cm="1">
        <f t="array" ref="AO39">_xlfn.IFS(
Table1[[#This Row],[YearsAtCompany]]&lt;=2,"0-2 Years",
Table1[[#This Row],[YearsAtCompany]]&lt;=5,"3-5 Years",
Table1[[#This Row],[YearsAtCompany]]&lt;=10,"6-10 Years",
TRUE,"10+ Years")</f>
        <v>0-2 Years</v>
      </c>
    </row>
    <row r="40" spans="1:41"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tr">
        <f t="shared" si="0"/>
        <v>Research</v>
      </c>
      <c r="AK40">
        <f t="shared" si="1"/>
        <v>0</v>
      </c>
      <c r="AL40">
        <f>IF(Table1[[#This Row],[Attrition]]="Yes", Table1[[#This Row],[MonthlyIncome]]*12*1.5, 0)</f>
        <v>0</v>
      </c>
      <c r="AM40" t="str" cm="1">
        <f t="array" ref="AM40">_xlfn.IFS(
Table1[[#This Row],[MonthlyIncome]]&lt;3000,"Under 3K",
Table1[[#This Row],[MonthlyIncome]]&lt;6000,"3K-6K",
Table1[[#This Row],[MonthlyIncome]]&lt;9000,"6K-9K",
Table1[[#This Row],[MonthlyIncome]]&lt;12000,"9K-12K",
TRUE,"12K+")</f>
        <v>3K-6K</v>
      </c>
      <c r="AN40">
        <f>1</f>
        <v>1</v>
      </c>
      <c r="AO40" t="str" cm="1">
        <f t="array" ref="AO40">_xlfn.IFS(
Table1[[#This Row],[YearsAtCompany]]&lt;=2,"0-2 Years",
Table1[[#This Row],[YearsAtCompany]]&lt;=5,"3-5 Years",
Table1[[#This Row],[YearsAtCompany]]&lt;=10,"6-10 Years",
TRUE,"10+ Years")</f>
        <v>0-2 Years</v>
      </c>
    </row>
    <row r="41" spans="1:41"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tr">
        <f t="shared" si="0"/>
        <v>Sales</v>
      </c>
      <c r="AK41">
        <f t="shared" si="1"/>
        <v>0</v>
      </c>
      <c r="AL41">
        <f>IF(Table1[[#This Row],[Attrition]]="Yes", Table1[[#This Row],[MonthlyIncome]]*12*1.5, 0)</f>
        <v>0</v>
      </c>
      <c r="AM41" t="str" cm="1">
        <f t="array" ref="AM41">_xlfn.IFS(
Table1[[#This Row],[MonthlyIncome]]&lt;3000,"Under 3K",
Table1[[#This Row],[MonthlyIncome]]&lt;6000,"3K-6K",
Table1[[#This Row],[MonthlyIncome]]&lt;9000,"6K-9K",
Table1[[#This Row],[MonthlyIncome]]&lt;12000,"9K-12K",
TRUE,"12K+")</f>
        <v>3K-6K</v>
      </c>
      <c r="AN41">
        <f>1</f>
        <v>1</v>
      </c>
      <c r="AO41" t="str" cm="1">
        <f t="array" ref="AO41">_xlfn.IFS(
Table1[[#This Row],[YearsAtCompany]]&lt;=2,"0-2 Years",
Table1[[#This Row],[YearsAtCompany]]&lt;=5,"3-5 Years",
Table1[[#This Row],[YearsAtCompany]]&lt;=10,"6-10 Years",
TRUE,"10+ Years")</f>
        <v>3-5 Years</v>
      </c>
    </row>
    <row r="42" spans="1:41"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tr">
        <f t="shared" si="0"/>
        <v>Research</v>
      </c>
      <c r="AK42">
        <f t="shared" si="1"/>
        <v>0</v>
      </c>
      <c r="AL42">
        <f>IF(Table1[[#This Row],[Attrition]]="Yes", Table1[[#This Row],[MonthlyIncome]]*12*1.5, 0)</f>
        <v>0</v>
      </c>
      <c r="AM42" t="str" cm="1">
        <f t="array" ref="AM42">_xlfn.IFS(
Table1[[#This Row],[MonthlyIncome]]&lt;3000,"Under 3K",
Table1[[#This Row],[MonthlyIncome]]&lt;6000,"3K-6K",
Table1[[#This Row],[MonthlyIncome]]&lt;9000,"6K-9K",
Table1[[#This Row],[MonthlyIncome]]&lt;12000,"9K-12K",
TRUE,"12K+")</f>
        <v>Under 3K</v>
      </c>
      <c r="AN42">
        <f>1</f>
        <v>1</v>
      </c>
      <c r="AO42" t="str" cm="1">
        <f t="array" ref="AO42">_xlfn.IFS(
Table1[[#This Row],[YearsAtCompany]]&lt;=2,"0-2 Years",
Table1[[#This Row],[YearsAtCompany]]&lt;=5,"3-5 Years",
Table1[[#This Row],[YearsAtCompany]]&lt;=10,"6-10 Years",
TRUE,"10+ Years")</f>
        <v>0-2 Years</v>
      </c>
    </row>
    <row r="43" spans="1:41"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tr">
        <f t="shared" si="0"/>
        <v>Research</v>
      </c>
      <c r="AK43">
        <f t="shared" si="1"/>
        <v>0</v>
      </c>
      <c r="AL43">
        <f>IF(Table1[[#This Row],[Attrition]]="Yes", Table1[[#This Row],[MonthlyIncome]]*12*1.5, 0)</f>
        <v>0</v>
      </c>
      <c r="AM43" t="str" cm="1">
        <f t="array" ref="AM43">_xlfn.IFS(
Table1[[#This Row],[MonthlyIncome]]&lt;3000,"Under 3K",
Table1[[#This Row],[MonthlyIncome]]&lt;6000,"3K-6K",
Table1[[#This Row],[MonthlyIncome]]&lt;9000,"6K-9K",
Table1[[#This Row],[MonthlyIncome]]&lt;12000,"9K-12K",
TRUE,"12K+")</f>
        <v>Under 3K</v>
      </c>
      <c r="AN43">
        <f>1</f>
        <v>1</v>
      </c>
      <c r="AO43" t="str" cm="1">
        <f t="array" ref="AO43">_xlfn.IFS(
Table1[[#This Row],[YearsAtCompany]]&lt;=2,"0-2 Years",
Table1[[#This Row],[YearsAtCompany]]&lt;=5,"3-5 Years",
Table1[[#This Row],[YearsAtCompany]]&lt;=10,"6-10 Years",
TRUE,"10+ Years")</f>
        <v>0-2 Years</v>
      </c>
    </row>
    <row r="44" spans="1:41"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tr">
        <f t="shared" si="0"/>
        <v>Research</v>
      </c>
      <c r="AK44">
        <f t="shared" si="1"/>
        <v>1</v>
      </c>
      <c r="AL44">
        <f>IF(Table1[[#This Row],[Attrition]]="Yes", Table1[[#This Row],[MonthlyIncome]]*12*1.5, 0)</f>
        <v>41274</v>
      </c>
      <c r="AM44" t="str" cm="1">
        <f t="array" ref="AM44">_xlfn.IFS(
Table1[[#This Row],[MonthlyIncome]]&lt;3000,"Under 3K",
Table1[[#This Row],[MonthlyIncome]]&lt;6000,"3K-6K",
Table1[[#This Row],[MonthlyIncome]]&lt;9000,"6K-9K",
Table1[[#This Row],[MonthlyIncome]]&lt;12000,"9K-12K",
TRUE,"12K+")</f>
        <v>Under 3K</v>
      </c>
      <c r="AN44">
        <f>1</f>
        <v>1</v>
      </c>
      <c r="AO44" t="str" cm="1">
        <f t="array" ref="AO44">_xlfn.IFS(
Table1[[#This Row],[YearsAtCompany]]&lt;=2,"0-2 Years",
Table1[[#This Row],[YearsAtCompany]]&lt;=5,"3-5 Years",
Table1[[#This Row],[YearsAtCompany]]&lt;=10,"6-10 Years",
TRUE,"10+ Years")</f>
        <v>0-2 Years</v>
      </c>
    </row>
    <row r="45" spans="1:41"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tr">
        <f t="shared" si="0"/>
        <v>Sales</v>
      </c>
      <c r="AK45">
        <f t="shared" si="1"/>
        <v>0</v>
      </c>
      <c r="AL45">
        <f>IF(Table1[[#This Row],[Attrition]]="Yes", Table1[[#This Row],[MonthlyIncome]]*12*1.5, 0)</f>
        <v>0</v>
      </c>
      <c r="AM45" t="str" cm="1">
        <f t="array" ref="AM45">_xlfn.IFS(
Table1[[#This Row],[MonthlyIncome]]&lt;3000,"Under 3K",
Table1[[#This Row],[MonthlyIncome]]&lt;6000,"3K-6K",
Table1[[#This Row],[MonthlyIncome]]&lt;9000,"6K-9K",
Table1[[#This Row],[MonthlyIncome]]&lt;12000,"9K-12K",
TRUE,"12K+")</f>
        <v>6K-9K</v>
      </c>
      <c r="AN45">
        <f>1</f>
        <v>1</v>
      </c>
      <c r="AO45" t="str" cm="1">
        <f t="array" ref="AO45">_xlfn.IFS(
Table1[[#This Row],[YearsAtCompany]]&lt;=2,"0-2 Years",
Table1[[#This Row],[YearsAtCompany]]&lt;=5,"3-5 Years",
Table1[[#This Row],[YearsAtCompany]]&lt;=10,"6-10 Years",
TRUE,"10+ Years")</f>
        <v>6-10 Years</v>
      </c>
    </row>
    <row r="46" spans="1:41"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tr">
        <f t="shared" si="0"/>
        <v>Research</v>
      </c>
      <c r="AK46">
        <f t="shared" si="1"/>
        <v>0</v>
      </c>
      <c r="AL46">
        <f>IF(Table1[[#This Row],[Attrition]]="Yes", Table1[[#This Row],[MonthlyIncome]]*12*1.5, 0)</f>
        <v>0</v>
      </c>
      <c r="AM46" t="str" cm="1">
        <f t="array" ref="AM46">_xlfn.IFS(
Table1[[#This Row],[MonthlyIncome]]&lt;3000,"Under 3K",
Table1[[#This Row],[MonthlyIncome]]&lt;6000,"3K-6K",
Table1[[#This Row],[MonthlyIncome]]&lt;9000,"6K-9K",
Table1[[#This Row],[MonthlyIncome]]&lt;12000,"9K-12K",
TRUE,"12K+")</f>
        <v>3K-6K</v>
      </c>
      <c r="AN46">
        <f>1</f>
        <v>1</v>
      </c>
      <c r="AO46" t="str" cm="1">
        <f t="array" ref="AO46">_xlfn.IFS(
Table1[[#This Row],[YearsAtCompany]]&lt;=2,"0-2 Years",
Table1[[#This Row],[YearsAtCompany]]&lt;=5,"3-5 Years",
Table1[[#This Row],[YearsAtCompany]]&lt;=10,"6-10 Years",
TRUE,"10+ Years")</f>
        <v>10+ Years</v>
      </c>
    </row>
    <row r="47" spans="1:41"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tr">
        <f t="shared" si="0"/>
        <v>Research</v>
      </c>
      <c r="AK47">
        <f t="shared" si="1"/>
        <v>1</v>
      </c>
      <c r="AL47">
        <f>IF(Table1[[#This Row],[Attrition]]="Yes", Table1[[#This Row],[MonthlyIncome]]*12*1.5, 0)</f>
        <v>351810</v>
      </c>
      <c r="AM47" t="str" cm="1">
        <f t="array" ref="AM47">_xlfn.IFS(
Table1[[#This Row],[MonthlyIncome]]&lt;3000,"Under 3K",
Table1[[#This Row],[MonthlyIncome]]&lt;6000,"3K-6K",
Table1[[#This Row],[MonthlyIncome]]&lt;9000,"6K-9K",
Table1[[#This Row],[MonthlyIncome]]&lt;12000,"9K-12K",
TRUE,"12K+")</f>
        <v>12K+</v>
      </c>
      <c r="AN47">
        <f>1</f>
        <v>1</v>
      </c>
      <c r="AO47" t="str" cm="1">
        <f t="array" ref="AO47">_xlfn.IFS(
Table1[[#This Row],[YearsAtCompany]]&lt;=2,"0-2 Years",
Table1[[#This Row],[YearsAtCompany]]&lt;=5,"3-5 Years",
Table1[[#This Row],[YearsAtCompany]]&lt;=10,"6-10 Years",
TRUE,"10+ Years")</f>
        <v>10+ Years</v>
      </c>
    </row>
    <row r="48" spans="1:41"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tr">
        <f t="shared" si="0"/>
        <v>Sales</v>
      </c>
      <c r="AK48">
        <f t="shared" si="1"/>
        <v>0</v>
      </c>
      <c r="AL48">
        <f>IF(Table1[[#This Row],[Attrition]]="Yes", Table1[[#This Row],[MonthlyIncome]]*12*1.5, 0)</f>
        <v>0</v>
      </c>
      <c r="AM48" t="str" cm="1">
        <f t="array" ref="AM48">_xlfn.IFS(
Table1[[#This Row],[MonthlyIncome]]&lt;3000,"Under 3K",
Table1[[#This Row],[MonthlyIncome]]&lt;6000,"3K-6K",
Table1[[#This Row],[MonthlyIncome]]&lt;9000,"6K-9K",
Table1[[#This Row],[MonthlyIncome]]&lt;12000,"9K-12K",
TRUE,"12K+")</f>
        <v>3K-6K</v>
      </c>
      <c r="AN48">
        <f>1</f>
        <v>1</v>
      </c>
      <c r="AO48" t="str" cm="1">
        <f t="array" ref="AO48">_xlfn.IFS(
Table1[[#This Row],[YearsAtCompany]]&lt;=2,"0-2 Years",
Table1[[#This Row],[YearsAtCompany]]&lt;=5,"3-5 Years",
Table1[[#This Row],[YearsAtCompany]]&lt;=10,"6-10 Years",
TRUE,"10+ Years")</f>
        <v>6-10 Years</v>
      </c>
    </row>
    <row r="49" spans="1:41"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tr">
        <f t="shared" si="0"/>
        <v>Research</v>
      </c>
      <c r="AK49">
        <f t="shared" si="1"/>
        <v>0</v>
      </c>
      <c r="AL49">
        <f>IF(Table1[[#This Row],[Attrition]]="Yes", Table1[[#This Row],[MonthlyIncome]]*12*1.5, 0)</f>
        <v>0</v>
      </c>
      <c r="AM49" t="str" cm="1">
        <f t="array" ref="AM49">_xlfn.IFS(
Table1[[#This Row],[MonthlyIncome]]&lt;3000,"Under 3K",
Table1[[#This Row],[MonthlyIncome]]&lt;6000,"3K-6K",
Table1[[#This Row],[MonthlyIncome]]&lt;9000,"6K-9K",
Table1[[#This Row],[MonthlyIncome]]&lt;12000,"9K-12K",
TRUE,"12K+")</f>
        <v>3K-6K</v>
      </c>
      <c r="AN49">
        <f>1</f>
        <v>1</v>
      </c>
      <c r="AO49" t="str" cm="1">
        <f t="array" ref="AO49">_xlfn.IFS(
Table1[[#This Row],[YearsAtCompany]]&lt;=2,"0-2 Years",
Table1[[#This Row],[YearsAtCompany]]&lt;=5,"3-5 Years",
Table1[[#This Row],[YearsAtCompany]]&lt;=10,"6-10 Years",
TRUE,"10+ Years")</f>
        <v>0-2 Years</v>
      </c>
    </row>
    <row r="50" spans="1:41"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tr">
        <f t="shared" si="0"/>
        <v>Sales</v>
      </c>
      <c r="AK50">
        <f t="shared" si="1"/>
        <v>0</v>
      </c>
      <c r="AL50">
        <f>IF(Table1[[#This Row],[Attrition]]="Yes", Table1[[#This Row],[MonthlyIncome]]*12*1.5, 0)</f>
        <v>0</v>
      </c>
      <c r="AM50" t="str" cm="1">
        <f t="array" ref="AM50">_xlfn.IFS(
Table1[[#This Row],[MonthlyIncome]]&lt;3000,"Under 3K",
Table1[[#This Row],[MonthlyIncome]]&lt;6000,"3K-6K",
Table1[[#This Row],[MonthlyIncome]]&lt;9000,"6K-9K",
Table1[[#This Row],[MonthlyIncome]]&lt;12000,"9K-12K",
TRUE,"12K+")</f>
        <v>3K-6K</v>
      </c>
      <c r="AN50">
        <f>1</f>
        <v>1</v>
      </c>
      <c r="AO50" t="str" cm="1">
        <f t="array" ref="AO50">_xlfn.IFS(
Table1[[#This Row],[YearsAtCompany]]&lt;=2,"0-2 Years",
Table1[[#This Row],[YearsAtCompany]]&lt;=5,"3-5 Years",
Table1[[#This Row],[YearsAtCompany]]&lt;=10,"6-10 Years",
TRUE,"10+ Years")</f>
        <v>6-10 Years</v>
      </c>
    </row>
    <row r="51" spans="1:41"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tr">
        <f t="shared" si="0"/>
        <v>Research</v>
      </c>
      <c r="AK51">
        <f t="shared" si="1"/>
        <v>0</v>
      </c>
      <c r="AL51">
        <f>IF(Table1[[#This Row],[Attrition]]="Yes", Table1[[#This Row],[MonthlyIncome]]*12*1.5, 0)</f>
        <v>0</v>
      </c>
      <c r="AM51" t="str" cm="1">
        <f t="array" ref="AM51">_xlfn.IFS(
Table1[[#This Row],[MonthlyIncome]]&lt;3000,"Under 3K",
Table1[[#This Row],[MonthlyIncome]]&lt;6000,"3K-6K",
Table1[[#This Row],[MonthlyIncome]]&lt;9000,"6K-9K",
Table1[[#This Row],[MonthlyIncome]]&lt;12000,"9K-12K",
TRUE,"12K+")</f>
        <v>Under 3K</v>
      </c>
      <c r="AN51">
        <f>1</f>
        <v>1</v>
      </c>
      <c r="AO51" t="str" cm="1">
        <f t="array" ref="AO51">_xlfn.IFS(
Table1[[#This Row],[YearsAtCompany]]&lt;=2,"0-2 Years",
Table1[[#This Row],[YearsAtCompany]]&lt;=5,"3-5 Years",
Table1[[#This Row],[YearsAtCompany]]&lt;=10,"6-10 Years",
TRUE,"10+ Years")</f>
        <v>0-2 Years</v>
      </c>
    </row>
    <row r="52" spans="1:41"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tr">
        <f t="shared" si="0"/>
        <v>Research</v>
      </c>
      <c r="AK52">
        <f t="shared" si="1"/>
        <v>1</v>
      </c>
      <c r="AL52">
        <f>IF(Table1[[#This Row],[Attrition]]="Yes", Table1[[#This Row],[MonthlyIncome]]*12*1.5, 0)</f>
        <v>96858</v>
      </c>
      <c r="AM52" t="str" cm="1">
        <f t="array" ref="AM52">_xlfn.IFS(
Table1[[#This Row],[MonthlyIncome]]&lt;3000,"Under 3K",
Table1[[#This Row],[MonthlyIncome]]&lt;6000,"3K-6K",
Table1[[#This Row],[MonthlyIncome]]&lt;9000,"6K-9K",
Table1[[#This Row],[MonthlyIncome]]&lt;12000,"9K-12K",
TRUE,"12K+")</f>
        <v>3K-6K</v>
      </c>
      <c r="AN52">
        <f>1</f>
        <v>1</v>
      </c>
      <c r="AO52" t="str" cm="1">
        <f t="array" ref="AO52">_xlfn.IFS(
Table1[[#This Row],[YearsAtCompany]]&lt;=2,"0-2 Years",
Table1[[#This Row],[YearsAtCompany]]&lt;=5,"3-5 Years",
Table1[[#This Row],[YearsAtCompany]]&lt;=10,"6-10 Years",
TRUE,"10+ Years")</f>
        <v>0-2 Years</v>
      </c>
    </row>
    <row r="53" spans="1:41"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tr">
        <f t="shared" si="0"/>
        <v>Research</v>
      </c>
      <c r="AK53">
        <f t="shared" si="1"/>
        <v>1</v>
      </c>
      <c r="AL53">
        <f>IF(Table1[[#This Row],[Attrition]]="Yes", Table1[[#This Row],[MonthlyIncome]]*12*1.5, 0)</f>
        <v>61938</v>
      </c>
      <c r="AM53" t="str" cm="1">
        <f t="array" ref="AM53">_xlfn.IFS(
Table1[[#This Row],[MonthlyIncome]]&lt;3000,"Under 3K",
Table1[[#This Row],[MonthlyIncome]]&lt;6000,"3K-6K",
Table1[[#This Row],[MonthlyIncome]]&lt;9000,"6K-9K",
Table1[[#This Row],[MonthlyIncome]]&lt;12000,"9K-12K",
TRUE,"12K+")</f>
        <v>3K-6K</v>
      </c>
      <c r="AN53">
        <f>1</f>
        <v>1</v>
      </c>
      <c r="AO53" t="str" cm="1">
        <f t="array" ref="AO53">_xlfn.IFS(
Table1[[#This Row],[YearsAtCompany]]&lt;=2,"0-2 Years",
Table1[[#This Row],[YearsAtCompany]]&lt;=5,"3-5 Years",
Table1[[#This Row],[YearsAtCompany]]&lt;=10,"6-10 Years",
TRUE,"10+ Years")</f>
        <v>0-2 Years</v>
      </c>
    </row>
    <row r="54" spans="1:41"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tr">
        <f t="shared" si="0"/>
        <v>Sales</v>
      </c>
      <c r="AK54">
        <f t="shared" si="1"/>
        <v>0</v>
      </c>
      <c r="AL54">
        <f>IF(Table1[[#This Row],[Attrition]]="Yes", Table1[[#This Row],[MonthlyIncome]]*12*1.5, 0)</f>
        <v>0</v>
      </c>
      <c r="AM54" t="str" cm="1">
        <f t="array" ref="AM54">_xlfn.IFS(
Table1[[#This Row],[MonthlyIncome]]&lt;3000,"Under 3K",
Table1[[#This Row],[MonthlyIncome]]&lt;6000,"3K-6K",
Table1[[#This Row],[MonthlyIncome]]&lt;9000,"6K-9K",
Table1[[#This Row],[MonthlyIncome]]&lt;12000,"9K-12K",
TRUE,"12K+")</f>
        <v>3K-6K</v>
      </c>
      <c r="AN54">
        <f>1</f>
        <v>1</v>
      </c>
      <c r="AO54" t="str" cm="1">
        <f t="array" ref="AO54">_xlfn.IFS(
Table1[[#This Row],[YearsAtCompany]]&lt;=2,"0-2 Years",
Table1[[#This Row],[YearsAtCompany]]&lt;=5,"3-5 Years",
Table1[[#This Row],[YearsAtCompany]]&lt;=10,"6-10 Years",
TRUE,"10+ Years")</f>
        <v>3-5 Years</v>
      </c>
    </row>
    <row r="55" spans="1:41"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tr">
        <f t="shared" si="0"/>
        <v>Healthcare</v>
      </c>
      <c r="AK55">
        <f t="shared" si="1"/>
        <v>0</v>
      </c>
      <c r="AL55">
        <f>IF(Table1[[#This Row],[Attrition]]="Yes", Table1[[#This Row],[MonthlyIncome]]*12*1.5, 0)</f>
        <v>0</v>
      </c>
      <c r="AM55" t="str" cm="1">
        <f t="array" ref="AM55">_xlfn.IFS(
Table1[[#This Row],[MonthlyIncome]]&lt;3000,"Under 3K",
Table1[[#This Row],[MonthlyIncome]]&lt;6000,"3K-6K",
Table1[[#This Row],[MonthlyIncome]]&lt;9000,"6K-9K",
Table1[[#This Row],[MonthlyIncome]]&lt;12000,"9K-12K",
TRUE,"12K+")</f>
        <v>9K-12K</v>
      </c>
      <c r="AN55">
        <f>1</f>
        <v>1</v>
      </c>
      <c r="AO55" t="str" cm="1">
        <f t="array" ref="AO55">_xlfn.IFS(
Table1[[#This Row],[YearsAtCompany]]&lt;=2,"0-2 Years",
Table1[[#This Row],[YearsAtCompany]]&lt;=5,"3-5 Years",
Table1[[#This Row],[YearsAtCompany]]&lt;=10,"6-10 Years",
TRUE,"10+ Years")</f>
        <v>3-5 Years</v>
      </c>
    </row>
    <row r="56" spans="1:41"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tr">
        <f t="shared" si="0"/>
        <v>Sales</v>
      </c>
      <c r="AK56">
        <f t="shared" si="1"/>
        <v>0</v>
      </c>
      <c r="AL56">
        <f>IF(Table1[[#This Row],[Attrition]]="Yes", Table1[[#This Row],[MonthlyIncome]]*12*1.5, 0)</f>
        <v>0</v>
      </c>
      <c r="AM56" t="str" cm="1">
        <f t="array" ref="AM56">_xlfn.IFS(
Table1[[#This Row],[MonthlyIncome]]&lt;3000,"Under 3K",
Table1[[#This Row],[MonthlyIncome]]&lt;6000,"3K-6K",
Table1[[#This Row],[MonthlyIncome]]&lt;9000,"6K-9K",
Table1[[#This Row],[MonthlyIncome]]&lt;12000,"9K-12K",
TRUE,"12K+")</f>
        <v>3K-6K</v>
      </c>
      <c r="AN56">
        <f>1</f>
        <v>1</v>
      </c>
      <c r="AO56" t="str" cm="1">
        <f t="array" ref="AO56">_xlfn.IFS(
Table1[[#This Row],[YearsAtCompany]]&lt;=2,"0-2 Years",
Table1[[#This Row],[YearsAtCompany]]&lt;=5,"3-5 Years",
Table1[[#This Row],[YearsAtCompany]]&lt;=10,"6-10 Years",
TRUE,"10+ Years")</f>
        <v>0-2 Years</v>
      </c>
    </row>
    <row r="57" spans="1:41"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tr">
        <f t="shared" si="0"/>
        <v>Research</v>
      </c>
      <c r="AK57">
        <f t="shared" si="1"/>
        <v>0</v>
      </c>
      <c r="AL57">
        <f>IF(Table1[[#This Row],[Attrition]]="Yes", Table1[[#This Row],[MonthlyIncome]]*12*1.5, 0)</f>
        <v>0</v>
      </c>
      <c r="AM57" t="str" cm="1">
        <f t="array" ref="AM57">_xlfn.IFS(
Table1[[#This Row],[MonthlyIncome]]&lt;3000,"Under 3K",
Table1[[#This Row],[MonthlyIncome]]&lt;6000,"3K-6K",
Table1[[#This Row],[MonthlyIncome]]&lt;9000,"6K-9K",
Table1[[#This Row],[MonthlyIncome]]&lt;12000,"9K-12K",
TRUE,"12K+")</f>
        <v>12K+</v>
      </c>
      <c r="AN57">
        <f>1</f>
        <v>1</v>
      </c>
      <c r="AO57" t="str" cm="1">
        <f t="array" ref="AO57">_xlfn.IFS(
Table1[[#This Row],[YearsAtCompany]]&lt;=2,"0-2 Years",
Table1[[#This Row],[YearsAtCompany]]&lt;=5,"3-5 Years",
Table1[[#This Row],[YearsAtCompany]]&lt;=10,"6-10 Years",
TRUE,"10+ Years")</f>
        <v>10+ Years</v>
      </c>
    </row>
    <row r="58" spans="1:41"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tr">
        <f t="shared" si="0"/>
        <v>Sales</v>
      </c>
      <c r="AK58">
        <f t="shared" si="1"/>
        <v>0</v>
      </c>
      <c r="AL58">
        <f>IF(Table1[[#This Row],[Attrition]]="Yes", Table1[[#This Row],[MonthlyIncome]]*12*1.5, 0)</f>
        <v>0</v>
      </c>
      <c r="AM58" t="str" cm="1">
        <f t="array" ref="AM58">_xlfn.IFS(
Table1[[#This Row],[MonthlyIncome]]&lt;3000,"Under 3K",
Table1[[#This Row],[MonthlyIncome]]&lt;6000,"3K-6K",
Table1[[#This Row],[MonthlyIncome]]&lt;9000,"6K-9K",
Table1[[#This Row],[MonthlyIncome]]&lt;12000,"9K-12K",
TRUE,"12K+")</f>
        <v>9K-12K</v>
      </c>
      <c r="AN58">
        <f>1</f>
        <v>1</v>
      </c>
      <c r="AO58" t="str" cm="1">
        <f t="array" ref="AO58">_xlfn.IFS(
Table1[[#This Row],[YearsAtCompany]]&lt;=2,"0-2 Years",
Table1[[#This Row],[YearsAtCompany]]&lt;=5,"3-5 Years",
Table1[[#This Row],[YearsAtCompany]]&lt;=10,"6-10 Years",
TRUE,"10+ Years")</f>
        <v>6-10 Years</v>
      </c>
    </row>
    <row r="59" spans="1:41"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tr">
        <f t="shared" si="0"/>
        <v>Research</v>
      </c>
      <c r="AK59">
        <f t="shared" si="1"/>
        <v>0</v>
      </c>
      <c r="AL59">
        <f>IF(Table1[[#This Row],[Attrition]]="Yes", Table1[[#This Row],[MonthlyIncome]]*12*1.5, 0)</f>
        <v>0</v>
      </c>
      <c r="AM59" t="str" cm="1">
        <f t="array" ref="AM59">_xlfn.IFS(
Table1[[#This Row],[MonthlyIncome]]&lt;3000,"Under 3K",
Table1[[#This Row],[MonthlyIncome]]&lt;6000,"3K-6K",
Table1[[#This Row],[MonthlyIncome]]&lt;9000,"6K-9K",
Table1[[#This Row],[MonthlyIncome]]&lt;12000,"9K-12K",
TRUE,"12K+")</f>
        <v>3K-6K</v>
      </c>
      <c r="AN59">
        <f>1</f>
        <v>1</v>
      </c>
      <c r="AO59" t="str" cm="1">
        <f t="array" ref="AO59">_xlfn.IFS(
Table1[[#This Row],[YearsAtCompany]]&lt;=2,"0-2 Years",
Table1[[#This Row],[YearsAtCompany]]&lt;=5,"3-5 Years",
Table1[[#This Row],[YearsAtCompany]]&lt;=10,"6-10 Years",
TRUE,"10+ Years")</f>
        <v>0-2 Years</v>
      </c>
    </row>
    <row r="60" spans="1:41"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tr">
        <f t="shared" si="0"/>
        <v>Research</v>
      </c>
      <c r="AK60">
        <f t="shared" si="1"/>
        <v>0</v>
      </c>
      <c r="AL60">
        <f>IF(Table1[[#This Row],[Attrition]]="Yes", Table1[[#This Row],[MonthlyIncome]]*12*1.5, 0)</f>
        <v>0</v>
      </c>
      <c r="AM60" t="str" cm="1">
        <f t="array" ref="AM60">_xlfn.IFS(
Table1[[#This Row],[MonthlyIncome]]&lt;3000,"Under 3K",
Table1[[#This Row],[MonthlyIncome]]&lt;6000,"3K-6K",
Table1[[#This Row],[MonthlyIncome]]&lt;9000,"6K-9K",
Table1[[#This Row],[MonthlyIncome]]&lt;12000,"9K-12K",
TRUE,"12K+")</f>
        <v>3K-6K</v>
      </c>
      <c r="AN60">
        <f>1</f>
        <v>1</v>
      </c>
      <c r="AO60" t="str" cm="1">
        <f t="array" ref="AO60">_xlfn.IFS(
Table1[[#This Row],[YearsAtCompany]]&lt;=2,"0-2 Years",
Table1[[#This Row],[YearsAtCompany]]&lt;=5,"3-5 Years",
Table1[[#This Row],[YearsAtCompany]]&lt;=10,"6-10 Years",
TRUE,"10+ Years")</f>
        <v>6-10 Years</v>
      </c>
    </row>
    <row r="61" spans="1:41"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tr">
        <f t="shared" si="0"/>
        <v>Operations</v>
      </c>
      <c r="AK61">
        <f t="shared" si="1"/>
        <v>0</v>
      </c>
      <c r="AL61">
        <f>IF(Table1[[#This Row],[Attrition]]="Yes", Table1[[#This Row],[MonthlyIncome]]*12*1.5, 0)</f>
        <v>0</v>
      </c>
      <c r="AM61" t="str" cm="1">
        <f t="array" ref="AM61">_xlfn.IFS(
Table1[[#This Row],[MonthlyIncome]]&lt;3000,"Under 3K",
Table1[[#This Row],[MonthlyIncome]]&lt;6000,"3K-6K",
Table1[[#This Row],[MonthlyIncome]]&lt;9000,"6K-9K",
Table1[[#This Row],[MonthlyIncome]]&lt;12000,"9K-12K",
TRUE,"12K+")</f>
        <v>3K-6K</v>
      </c>
      <c r="AN61">
        <f>1</f>
        <v>1</v>
      </c>
      <c r="AO61" t="str" cm="1">
        <f t="array" ref="AO61">_xlfn.IFS(
Table1[[#This Row],[YearsAtCompany]]&lt;=2,"0-2 Years",
Table1[[#This Row],[YearsAtCompany]]&lt;=5,"3-5 Years",
Table1[[#This Row],[YearsAtCompany]]&lt;=10,"6-10 Years",
TRUE,"10+ Years")</f>
        <v>6-10 Years</v>
      </c>
    </row>
    <row r="62" spans="1:41"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tr">
        <f t="shared" si="0"/>
        <v>Operations</v>
      </c>
      <c r="AK62">
        <f t="shared" si="1"/>
        <v>0</v>
      </c>
      <c r="AL62">
        <f>IF(Table1[[#This Row],[Attrition]]="Yes", Table1[[#This Row],[MonthlyIncome]]*12*1.5, 0)</f>
        <v>0</v>
      </c>
      <c r="AM62" t="str" cm="1">
        <f t="array" ref="AM62">_xlfn.IFS(
Table1[[#This Row],[MonthlyIncome]]&lt;3000,"Under 3K",
Table1[[#This Row],[MonthlyIncome]]&lt;6000,"3K-6K",
Table1[[#This Row],[MonthlyIncome]]&lt;9000,"6K-9K",
Table1[[#This Row],[MonthlyIncome]]&lt;12000,"9K-12K",
TRUE,"12K+")</f>
        <v>6K-9K</v>
      </c>
      <c r="AN62">
        <f>1</f>
        <v>1</v>
      </c>
      <c r="AO62" t="str" cm="1">
        <f t="array" ref="AO62">_xlfn.IFS(
Table1[[#This Row],[YearsAtCompany]]&lt;=2,"0-2 Years",
Table1[[#This Row],[YearsAtCompany]]&lt;=5,"3-5 Years",
Table1[[#This Row],[YearsAtCompany]]&lt;=10,"6-10 Years",
TRUE,"10+ Years")</f>
        <v>6-10 Years</v>
      </c>
    </row>
    <row r="63" spans="1:41"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tr">
        <f t="shared" si="0"/>
        <v>Research</v>
      </c>
      <c r="AK63">
        <f t="shared" si="1"/>
        <v>0</v>
      </c>
      <c r="AL63">
        <f>IF(Table1[[#This Row],[Attrition]]="Yes", Table1[[#This Row],[MonthlyIncome]]*12*1.5, 0)</f>
        <v>0</v>
      </c>
      <c r="AM63" t="str" cm="1">
        <f t="array" ref="AM63">_xlfn.IFS(
Table1[[#This Row],[MonthlyIncome]]&lt;3000,"Under 3K",
Table1[[#This Row],[MonthlyIncome]]&lt;6000,"3K-6K",
Table1[[#This Row],[MonthlyIncome]]&lt;9000,"6K-9K",
Table1[[#This Row],[MonthlyIncome]]&lt;12000,"9K-12K",
TRUE,"12K+")</f>
        <v>Under 3K</v>
      </c>
      <c r="AN63">
        <f>1</f>
        <v>1</v>
      </c>
      <c r="AO63" t="str" cm="1">
        <f t="array" ref="AO63">_xlfn.IFS(
Table1[[#This Row],[YearsAtCompany]]&lt;=2,"0-2 Years",
Table1[[#This Row],[YearsAtCompany]]&lt;=5,"3-5 Years",
Table1[[#This Row],[YearsAtCompany]]&lt;=10,"6-10 Years",
TRUE,"10+ Years")</f>
        <v>6-10 Years</v>
      </c>
    </row>
    <row r="64" spans="1:41"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tr">
        <f t="shared" si="0"/>
        <v>Research</v>
      </c>
      <c r="AK64">
        <f t="shared" si="1"/>
        <v>0</v>
      </c>
      <c r="AL64">
        <f>IF(Table1[[#This Row],[Attrition]]="Yes", Table1[[#This Row],[MonthlyIncome]]*12*1.5, 0)</f>
        <v>0</v>
      </c>
      <c r="AM64" t="str" cm="1">
        <f t="array" ref="AM64">_xlfn.IFS(
Table1[[#This Row],[MonthlyIncome]]&lt;3000,"Under 3K",
Table1[[#This Row],[MonthlyIncome]]&lt;6000,"3K-6K",
Table1[[#This Row],[MonthlyIncome]]&lt;9000,"6K-9K",
Table1[[#This Row],[MonthlyIncome]]&lt;12000,"9K-12K",
TRUE,"12K+")</f>
        <v>12K+</v>
      </c>
      <c r="AN64">
        <f>1</f>
        <v>1</v>
      </c>
      <c r="AO64" t="str" cm="1">
        <f t="array" ref="AO64">_xlfn.IFS(
Table1[[#This Row],[YearsAtCompany]]&lt;=2,"0-2 Years",
Table1[[#This Row],[YearsAtCompany]]&lt;=5,"3-5 Years",
Table1[[#This Row],[YearsAtCompany]]&lt;=10,"6-10 Years",
TRUE,"10+ Years")</f>
        <v>10+ Years</v>
      </c>
    </row>
    <row r="65" spans="1:41"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tr">
        <f t="shared" si="0"/>
        <v>Sales</v>
      </c>
      <c r="AK65">
        <f t="shared" si="1"/>
        <v>0</v>
      </c>
      <c r="AL65">
        <f>IF(Table1[[#This Row],[Attrition]]="Yes", Table1[[#This Row],[MonthlyIncome]]*12*1.5, 0)</f>
        <v>0</v>
      </c>
      <c r="AM65" t="str" cm="1">
        <f t="array" ref="AM65">_xlfn.IFS(
Table1[[#This Row],[MonthlyIncome]]&lt;3000,"Under 3K",
Table1[[#This Row],[MonthlyIncome]]&lt;6000,"3K-6K",
Table1[[#This Row],[MonthlyIncome]]&lt;9000,"6K-9K",
Table1[[#This Row],[MonthlyIncome]]&lt;12000,"9K-12K",
TRUE,"12K+")</f>
        <v>6K-9K</v>
      </c>
      <c r="AN65">
        <f>1</f>
        <v>1</v>
      </c>
      <c r="AO65" t="str" cm="1">
        <f t="array" ref="AO65">_xlfn.IFS(
Table1[[#This Row],[YearsAtCompany]]&lt;=2,"0-2 Years",
Table1[[#This Row],[YearsAtCompany]]&lt;=5,"3-5 Years",
Table1[[#This Row],[YearsAtCompany]]&lt;=10,"6-10 Years",
TRUE,"10+ Years")</f>
        <v>10+ Years</v>
      </c>
    </row>
    <row r="66" spans="1:41"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tr">
        <f t="shared" si="0"/>
        <v>Healthcare</v>
      </c>
      <c r="AK66">
        <f t="shared" si="1"/>
        <v>0</v>
      </c>
      <c r="AL66">
        <f>IF(Table1[[#This Row],[Attrition]]="Yes", Table1[[#This Row],[MonthlyIncome]]*12*1.5, 0)</f>
        <v>0</v>
      </c>
      <c r="AM66" t="str" cm="1">
        <f t="array" ref="AM66">_xlfn.IFS(
Table1[[#This Row],[MonthlyIncome]]&lt;3000,"Under 3K",
Table1[[#This Row],[MonthlyIncome]]&lt;6000,"3K-6K",
Table1[[#This Row],[MonthlyIncome]]&lt;9000,"6K-9K",
Table1[[#This Row],[MonthlyIncome]]&lt;12000,"9K-12K",
TRUE,"12K+")</f>
        <v>9K-12K</v>
      </c>
      <c r="AN66">
        <f>1</f>
        <v>1</v>
      </c>
      <c r="AO66" t="str" cm="1">
        <f t="array" ref="AO66">_xlfn.IFS(
Table1[[#This Row],[YearsAtCompany]]&lt;=2,"0-2 Years",
Table1[[#This Row],[YearsAtCompany]]&lt;=5,"3-5 Years",
Table1[[#This Row],[YearsAtCompany]]&lt;=10,"6-10 Years",
TRUE,"10+ Years")</f>
        <v>10+ Years</v>
      </c>
    </row>
    <row r="67" spans="1:41"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tr">
        <f t="shared" ref="AJ67:AJ130" si="2">_xlfn.XLOOKUP(P67, $AP$2:$AP$10,$AQ$2:$AQ$10)</f>
        <v>Management</v>
      </c>
      <c r="AK67">
        <f t="shared" ref="AK67:AK130" si="3">IF(B67 ="Yes",1,0)</f>
        <v>0</v>
      </c>
      <c r="AL67">
        <f>IF(Table1[[#This Row],[Attrition]]="Yes", Table1[[#This Row],[MonthlyIncome]]*12*1.5, 0)</f>
        <v>0</v>
      </c>
      <c r="AM67" t="str" cm="1">
        <f t="array" ref="AM67">_xlfn.IFS(
Table1[[#This Row],[MonthlyIncome]]&lt;3000,"Under 3K",
Table1[[#This Row],[MonthlyIncome]]&lt;6000,"3K-6K",
Table1[[#This Row],[MonthlyIncome]]&lt;9000,"6K-9K",
Table1[[#This Row],[MonthlyIncome]]&lt;12000,"9K-12K",
TRUE,"12K+")</f>
        <v>12K+</v>
      </c>
      <c r="AN67">
        <f>1</f>
        <v>1</v>
      </c>
      <c r="AO67" t="str" cm="1">
        <f t="array" ref="AO67">_xlfn.IFS(
Table1[[#This Row],[YearsAtCompany]]&lt;=2,"0-2 Years",
Table1[[#This Row],[YearsAtCompany]]&lt;=5,"3-5 Years",
Table1[[#This Row],[YearsAtCompany]]&lt;=10,"6-10 Years",
TRUE,"10+ Years")</f>
        <v>3-5 Years</v>
      </c>
    </row>
    <row r="68" spans="1:41"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tr">
        <f t="shared" si="2"/>
        <v>Operations</v>
      </c>
      <c r="AK68">
        <f t="shared" si="3"/>
        <v>0</v>
      </c>
      <c r="AL68">
        <f>IF(Table1[[#This Row],[Attrition]]="Yes", Table1[[#This Row],[MonthlyIncome]]*12*1.5, 0)</f>
        <v>0</v>
      </c>
      <c r="AM68" t="str" cm="1">
        <f t="array" ref="AM68">_xlfn.IFS(
Table1[[#This Row],[MonthlyIncome]]&lt;3000,"Under 3K",
Table1[[#This Row],[MonthlyIncome]]&lt;6000,"3K-6K",
Table1[[#This Row],[MonthlyIncome]]&lt;9000,"6K-9K",
Table1[[#This Row],[MonthlyIncome]]&lt;12000,"9K-12K",
TRUE,"12K+")</f>
        <v>6K-9K</v>
      </c>
      <c r="AN68">
        <f>1</f>
        <v>1</v>
      </c>
      <c r="AO68" t="str" cm="1">
        <f t="array" ref="AO68">_xlfn.IFS(
Table1[[#This Row],[YearsAtCompany]]&lt;=2,"0-2 Years",
Table1[[#This Row],[YearsAtCompany]]&lt;=5,"3-5 Years",
Table1[[#This Row],[YearsAtCompany]]&lt;=10,"6-10 Years",
TRUE,"10+ Years")</f>
        <v>6-10 Years</v>
      </c>
    </row>
    <row r="69" spans="1:41"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tr">
        <f t="shared" si="2"/>
        <v>Research</v>
      </c>
      <c r="AK69">
        <f t="shared" si="3"/>
        <v>0</v>
      </c>
      <c r="AL69">
        <f>IF(Table1[[#This Row],[Attrition]]="Yes", Table1[[#This Row],[MonthlyIncome]]*12*1.5, 0)</f>
        <v>0</v>
      </c>
      <c r="AM69" t="str" cm="1">
        <f t="array" ref="AM69">_xlfn.IFS(
Table1[[#This Row],[MonthlyIncome]]&lt;3000,"Under 3K",
Table1[[#This Row],[MonthlyIncome]]&lt;6000,"3K-6K",
Table1[[#This Row],[MonthlyIncome]]&lt;9000,"6K-9K",
Table1[[#This Row],[MonthlyIncome]]&lt;12000,"9K-12K",
TRUE,"12K+")</f>
        <v>9K-12K</v>
      </c>
      <c r="AN69">
        <f>1</f>
        <v>1</v>
      </c>
      <c r="AO69" t="str" cm="1">
        <f t="array" ref="AO69">_xlfn.IFS(
Table1[[#This Row],[YearsAtCompany]]&lt;=2,"0-2 Years",
Table1[[#This Row],[YearsAtCompany]]&lt;=5,"3-5 Years",
Table1[[#This Row],[YearsAtCompany]]&lt;=10,"6-10 Years",
TRUE,"10+ Years")</f>
        <v>0-2 Years</v>
      </c>
    </row>
    <row r="70" spans="1:41"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tr">
        <f t="shared" si="2"/>
        <v>Research</v>
      </c>
      <c r="AK70">
        <f t="shared" si="3"/>
        <v>0</v>
      </c>
      <c r="AL70">
        <f>IF(Table1[[#This Row],[Attrition]]="Yes", Table1[[#This Row],[MonthlyIncome]]*12*1.5, 0)</f>
        <v>0</v>
      </c>
      <c r="AM70" t="str" cm="1">
        <f t="array" ref="AM70">_xlfn.IFS(
Table1[[#This Row],[MonthlyIncome]]&lt;3000,"Under 3K",
Table1[[#This Row],[MonthlyIncome]]&lt;6000,"3K-6K",
Table1[[#This Row],[MonthlyIncome]]&lt;9000,"6K-9K",
Table1[[#This Row],[MonthlyIncome]]&lt;12000,"9K-12K",
TRUE,"12K+")</f>
        <v>Under 3K</v>
      </c>
      <c r="AN70">
        <f>1</f>
        <v>1</v>
      </c>
      <c r="AO70" t="str" cm="1">
        <f t="array" ref="AO70">_xlfn.IFS(
Table1[[#This Row],[YearsAtCompany]]&lt;=2,"0-2 Years",
Table1[[#This Row],[YearsAtCompany]]&lt;=5,"3-5 Years",
Table1[[#This Row],[YearsAtCompany]]&lt;=10,"6-10 Years",
TRUE,"10+ Years")</f>
        <v>3-5 Years</v>
      </c>
    </row>
    <row r="71" spans="1:41"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tr">
        <f t="shared" si="2"/>
        <v>Research</v>
      </c>
      <c r="AK71">
        <f t="shared" si="3"/>
        <v>1</v>
      </c>
      <c r="AL71">
        <f>IF(Table1[[#This Row],[Attrition]]="Yes", Table1[[#This Row],[MonthlyIncome]]*12*1.5, 0)</f>
        <v>60984</v>
      </c>
      <c r="AM71" t="str" cm="1">
        <f t="array" ref="AM71">_xlfn.IFS(
Table1[[#This Row],[MonthlyIncome]]&lt;3000,"Under 3K",
Table1[[#This Row],[MonthlyIncome]]&lt;6000,"3K-6K",
Table1[[#This Row],[MonthlyIncome]]&lt;9000,"6K-9K",
Table1[[#This Row],[MonthlyIncome]]&lt;12000,"9K-12K",
TRUE,"12K+")</f>
        <v>3K-6K</v>
      </c>
      <c r="AN71">
        <f>1</f>
        <v>1</v>
      </c>
      <c r="AO71" t="str" cm="1">
        <f t="array" ref="AO71">_xlfn.IFS(
Table1[[#This Row],[YearsAtCompany]]&lt;=2,"0-2 Years",
Table1[[#This Row],[YearsAtCompany]]&lt;=5,"3-5 Years",
Table1[[#This Row],[YearsAtCompany]]&lt;=10,"6-10 Years",
TRUE,"10+ Years")</f>
        <v>0-2 Years</v>
      </c>
    </row>
    <row r="72" spans="1:41"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tr">
        <f t="shared" si="2"/>
        <v>Sales</v>
      </c>
      <c r="AK72">
        <f t="shared" si="3"/>
        <v>0</v>
      </c>
      <c r="AL72">
        <f>IF(Table1[[#This Row],[Attrition]]="Yes", Table1[[#This Row],[MonthlyIncome]]*12*1.5, 0)</f>
        <v>0</v>
      </c>
      <c r="AM72" t="str" cm="1">
        <f t="array" ref="AM72">_xlfn.IFS(
Table1[[#This Row],[MonthlyIncome]]&lt;3000,"Under 3K",
Table1[[#This Row],[MonthlyIncome]]&lt;6000,"3K-6K",
Table1[[#This Row],[MonthlyIncome]]&lt;9000,"6K-9K",
Table1[[#This Row],[MonthlyIncome]]&lt;12000,"9K-12K",
TRUE,"12K+")</f>
        <v>3K-6K</v>
      </c>
      <c r="AN72">
        <f>1</f>
        <v>1</v>
      </c>
      <c r="AO72" t="str" cm="1">
        <f t="array" ref="AO72">_xlfn.IFS(
Table1[[#This Row],[YearsAtCompany]]&lt;=2,"0-2 Years",
Table1[[#This Row],[YearsAtCompany]]&lt;=5,"3-5 Years",
Table1[[#This Row],[YearsAtCompany]]&lt;=10,"6-10 Years",
TRUE,"10+ Years")</f>
        <v>3-5 Years</v>
      </c>
    </row>
    <row r="73" spans="1:41"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tr">
        <f t="shared" si="2"/>
        <v>Research</v>
      </c>
      <c r="AK73">
        <f t="shared" si="3"/>
        <v>0</v>
      </c>
      <c r="AL73">
        <f>IF(Table1[[#This Row],[Attrition]]="Yes", Table1[[#This Row],[MonthlyIncome]]*12*1.5, 0)</f>
        <v>0</v>
      </c>
      <c r="AM73" t="str" cm="1">
        <f t="array" ref="AM73">_xlfn.IFS(
Table1[[#This Row],[MonthlyIncome]]&lt;3000,"Under 3K",
Table1[[#This Row],[MonthlyIncome]]&lt;6000,"3K-6K",
Table1[[#This Row],[MonthlyIncome]]&lt;9000,"6K-9K",
Table1[[#This Row],[MonthlyIncome]]&lt;12000,"9K-12K",
TRUE,"12K+")</f>
        <v>Under 3K</v>
      </c>
      <c r="AN73">
        <f>1</f>
        <v>1</v>
      </c>
      <c r="AO73" t="str" cm="1">
        <f t="array" ref="AO73">_xlfn.IFS(
Table1[[#This Row],[YearsAtCompany]]&lt;=2,"0-2 Years",
Table1[[#This Row],[YearsAtCompany]]&lt;=5,"3-5 Years",
Table1[[#This Row],[YearsAtCompany]]&lt;=10,"6-10 Years",
TRUE,"10+ Years")</f>
        <v>3-5 Years</v>
      </c>
    </row>
    <row r="74" spans="1:41"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tr">
        <f t="shared" si="2"/>
        <v>Research</v>
      </c>
      <c r="AK74">
        <f t="shared" si="3"/>
        <v>0</v>
      </c>
      <c r="AL74">
        <f>IF(Table1[[#This Row],[Attrition]]="Yes", Table1[[#This Row],[MonthlyIncome]]*12*1.5, 0)</f>
        <v>0</v>
      </c>
      <c r="AM74" t="str" cm="1">
        <f t="array" ref="AM74">_xlfn.IFS(
Table1[[#This Row],[MonthlyIncome]]&lt;3000,"Under 3K",
Table1[[#This Row],[MonthlyIncome]]&lt;6000,"3K-6K",
Table1[[#This Row],[MonthlyIncome]]&lt;9000,"6K-9K",
Table1[[#This Row],[MonthlyIncome]]&lt;12000,"9K-12K",
TRUE,"12K+")</f>
        <v>Under 3K</v>
      </c>
      <c r="AN74">
        <f>1</f>
        <v>1</v>
      </c>
      <c r="AO74" t="str" cm="1">
        <f t="array" ref="AO74">_xlfn.IFS(
Table1[[#This Row],[YearsAtCompany]]&lt;=2,"0-2 Years",
Table1[[#This Row],[YearsAtCompany]]&lt;=5,"3-5 Years",
Table1[[#This Row],[YearsAtCompany]]&lt;=10,"6-10 Years",
TRUE,"10+ Years")</f>
        <v>0-2 Years</v>
      </c>
    </row>
    <row r="75" spans="1:41"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tr">
        <f t="shared" si="2"/>
        <v>Research</v>
      </c>
      <c r="AK75">
        <f t="shared" si="3"/>
        <v>0</v>
      </c>
      <c r="AL75">
        <f>IF(Table1[[#This Row],[Attrition]]="Yes", Table1[[#This Row],[MonthlyIncome]]*12*1.5, 0)</f>
        <v>0</v>
      </c>
      <c r="AM75" t="str" cm="1">
        <f t="array" ref="AM75">_xlfn.IFS(
Table1[[#This Row],[MonthlyIncome]]&lt;3000,"Under 3K",
Table1[[#This Row],[MonthlyIncome]]&lt;6000,"3K-6K",
Table1[[#This Row],[MonthlyIncome]]&lt;9000,"6K-9K",
Table1[[#This Row],[MonthlyIncome]]&lt;12000,"9K-12K",
TRUE,"12K+")</f>
        <v>6K-9K</v>
      </c>
      <c r="AN75">
        <f>1</f>
        <v>1</v>
      </c>
      <c r="AO75" t="str" cm="1">
        <f t="array" ref="AO75">_xlfn.IFS(
Table1[[#This Row],[YearsAtCompany]]&lt;=2,"0-2 Years",
Table1[[#This Row],[YearsAtCompany]]&lt;=5,"3-5 Years",
Table1[[#This Row],[YearsAtCompany]]&lt;=10,"6-10 Years",
TRUE,"10+ Years")</f>
        <v>6-10 Years</v>
      </c>
    </row>
    <row r="76" spans="1:41"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tr">
        <f t="shared" si="2"/>
        <v>Research</v>
      </c>
      <c r="AK76">
        <f t="shared" si="3"/>
        <v>0</v>
      </c>
      <c r="AL76">
        <f>IF(Table1[[#This Row],[Attrition]]="Yes", Table1[[#This Row],[MonthlyIncome]]*12*1.5, 0)</f>
        <v>0</v>
      </c>
      <c r="AM76" t="str" cm="1">
        <f t="array" ref="AM76">_xlfn.IFS(
Table1[[#This Row],[MonthlyIncome]]&lt;3000,"Under 3K",
Table1[[#This Row],[MonthlyIncome]]&lt;6000,"3K-6K",
Table1[[#This Row],[MonthlyIncome]]&lt;9000,"6K-9K",
Table1[[#This Row],[MonthlyIncome]]&lt;12000,"9K-12K",
TRUE,"12K+")</f>
        <v>3K-6K</v>
      </c>
      <c r="AN76">
        <f>1</f>
        <v>1</v>
      </c>
      <c r="AO76" t="str" cm="1">
        <f t="array" ref="AO76">_xlfn.IFS(
Table1[[#This Row],[YearsAtCompany]]&lt;=2,"0-2 Years",
Table1[[#This Row],[YearsAtCompany]]&lt;=5,"3-5 Years",
Table1[[#This Row],[YearsAtCompany]]&lt;=10,"6-10 Years",
TRUE,"10+ Years")</f>
        <v>0-2 Years</v>
      </c>
    </row>
    <row r="77" spans="1:41"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tr">
        <f t="shared" si="2"/>
        <v>Operations</v>
      </c>
      <c r="AK77">
        <f t="shared" si="3"/>
        <v>0</v>
      </c>
      <c r="AL77">
        <f>IF(Table1[[#This Row],[Attrition]]="Yes", Table1[[#This Row],[MonthlyIncome]]*12*1.5, 0)</f>
        <v>0</v>
      </c>
      <c r="AM77" t="str" cm="1">
        <f t="array" ref="AM77">_xlfn.IFS(
Table1[[#This Row],[MonthlyIncome]]&lt;3000,"Under 3K",
Table1[[#This Row],[MonthlyIncome]]&lt;6000,"3K-6K",
Table1[[#This Row],[MonthlyIncome]]&lt;9000,"6K-9K",
Table1[[#This Row],[MonthlyIncome]]&lt;12000,"9K-12K",
TRUE,"12K+")</f>
        <v>3K-6K</v>
      </c>
      <c r="AN77">
        <f>1</f>
        <v>1</v>
      </c>
      <c r="AO77" t="str" cm="1">
        <f t="array" ref="AO77">_xlfn.IFS(
Table1[[#This Row],[YearsAtCompany]]&lt;=2,"0-2 Years",
Table1[[#This Row],[YearsAtCompany]]&lt;=5,"3-5 Years",
Table1[[#This Row],[YearsAtCompany]]&lt;=10,"6-10 Years",
TRUE,"10+ Years")</f>
        <v>10+ Years</v>
      </c>
    </row>
    <row r="78" spans="1:41"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tr">
        <f t="shared" si="2"/>
        <v>Sales</v>
      </c>
      <c r="AK78">
        <f t="shared" si="3"/>
        <v>0</v>
      </c>
      <c r="AL78">
        <f>IF(Table1[[#This Row],[Attrition]]="Yes", Table1[[#This Row],[MonthlyIncome]]*12*1.5, 0)</f>
        <v>0</v>
      </c>
      <c r="AM78" t="str" cm="1">
        <f t="array" ref="AM78">_xlfn.IFS(
Table1[[#This Row],[MonthlyIncome]]&lt;3000,"Under 3K",
Table1[[#This Row],[MonthlyIncome]]&lt;6000,"3K-6K",
Table1[[#This Row],[MonthlyIncome]]&lt;9000,"6K-9K",
Table1[[#This Row],[MonthlyIncome]]&lt;12000,"9K-12K",
TRUE,"12K+")</f>
        <v>3K-6K</v>
      </c>
      <c r="AN78">
        <f>1</f>
        <v>1</v>
      </c>
      <c r="AO78" t="str" cm="1">
        <f t="array" ref="AO78">_xlfn.IFS(
Table1[[#This Row],[YearsAtCompany]]&lt;=2,"0-2 Years",
Table1[[#This Row],[YearsAtCompany]]&lt;=5,"3-5 Years",
Table1[[#This Row],[YearsAtCompany]]&lt;=10,"6-10 Years",
TRUE,"10+ Years")</f>
        <v>10+ Years</v>
      </c>
    </row>
    <row r="79" spans="1:41"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tr">
        <f t="shared" si="2"/>
        <v>Research</v>
      </c>
      <c r="AK79">
        <f t="shared" si="3"/>
        <v>0</v>
      </c>
      <c r="AL79">
        <f>IF(Table1[[#This Row],[Attrition]]="Yes", Table1[[#This Row],[MonthlyIncome]]*12*1.5, 0)</f>
        <v>0</v>
      </c>
      <c r="AM79" t="str" cm="1">
        <f t="array" ref="AM79">_xlfn.IFS(
Table1[[#This Row],[MonthlyIncome]]&lt;3000,"Under 3K",
Table1[[#This Row],[MonthlyIncome]]&lt;6000,"3K-6K",
Table1[[#This Row],[MonthlyIncome]]&lt;9000,"6K-9K",
Table1[[#This Row],[MonthlyIncome]]&lt;12000,"9K-12K",
TRUE,"12K+")</f>
        <v>12K+</v>
      </c>
      <c r="AN79">
        <f>1</f>
        <v>1</v>
      </c>
      <c r="AO79" t="str" cm="1">
        <f t="array" ref="AO79">_xlfn.IFS(
Table1[[#This Row],[YearsAtCompany]]&lt;=2,"0-2 Years",
Table1[[#This Row],[YearsAtCompany]]&lt;=5,"3-5 Years",
Table1[[#This Row],[YearsAtCompany]]&lt;=10,"6-10 Years",
TRUE,"10+ Years")</f>
        <v>0-2 Years</v>
      </c>
    </row>
    <row r="80" spans="1:41"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tr">
        <f t="shared" si="2"/>
        <v>Research</v>
      </c>
      <c r="AK80">
        <f t="shared" si="3"/>
        <v>0</v>
      </c>
      <c r="AL80">
        <f>IF(Table1[[#This Row],[Attrition]]="Yes", Table1[[#This Row],[MonthlyIncome]]*12*1.5, 0)</f>
        <v>0</v>
      </c>
      <c r="AM80" t="str" cm="1">
        <f t="array" ref="AM80">_xlfn.IFS(
Table1[[#This Row],[MonthlyIncome]]&lt;3000,"Under 3K",
Table1[[#This Row],[MonthlyIncome]]&lt;6000,"3K-6K",
Table1[[#This Row],[MonthlyIncome]]&lt;9000,"6K-9K",
Table1[[#This Row],[MonthlyIncome]]&lt;12000,"9K-12K",
TRUE,"12K+")</f>
        <v>12K+</v>
      </c>
      <c r="AN80">
        <f>1</f>
        <v>1</v>
      </c>
      <c r="AO80" t="str" cm="1">
        <f t="array" ref="AO80">_xlfn.IFS(
Table1[[#This Row],[YearsAtCompany]]&lt;=2,"0-2 Years",
Table1[[#This Row],[YearsAtCompany]]&lt;=5,"3-5 Years",
Table1[[#This Row],[YearsAtCompany]]&lt;=10,"6-10 Years",
TRUE,"10+ Years")</f>
        <v>3-5 Years</v>
      </c>
    </row>
    <row r="81" spans="1:41"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tr">
        <f t="shared" si="2"/>
        <v>Human Resources</v>
      </c>
      <c r="AK81">
        <f t="shared" si="3"/>
        <v>0</v>
      </c>
      <c r="AL81">
        <f>IF(Table1[[#This Row],[Attrition]]="Yes", Table1[[#This Row],[MonthlyIncome]]*12*1.5, 0)</f>
        <v>0</v>
      </c>
      <c r="AM81" t="str" cm="1">
        <f t="array" ref="AM81">_xlfn.IFS(
Table1[[#This Row],[MonthlyIncome]]&lt;3000,"Under 3K",
Table1[[#This Row],[MonthlyIncome]]&lt;6000,"3K-6K",
Table1[[#This Row],[MonthlyIncome]]&lt;9000,"6K-9K",
Table1[[#This Row],[MonthlyIncome]]&lt;12000,"9K-12K",
TRUE,"12K+")</f>
        <v>3K-6K</v>
      </c>
      <c r="AN81">
        <f>1</f>
        <v>1</v>
      </c>
      <c r="AO81" t="str" cm="1">
        <f t="array" ref="AO81">_xlfn.IFS(
Table1[[#This Row],[YearsAtCompany]]&lt;=2,"0-2 Years",
Table1[[#This Row],[YearsAtCompany]]&lt;=5,"3-5 Years",
Table1[[#This Row],[YearsAtCompany]]&lt;=10,"6-10 Years",
TRUE,"10+ Years")</f>
        <v>3-5 Years</v>
      </c>
    </row>
    <row r="82" spans="1:41"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tr">
        <f t="shared" si="2"/>
        <v>Research</v>
      </c>
      <c r="AK82">
        <f t="shared" si="3"/>
        <v>0</v>
      </c>
      <c r="AL82">
        <f>IF(Table1[[#This Row],[Attrition]]="Yes", Table1[[#This Row],[MonthlyIncome]]*12*1.5, 0)</f>
        <v>0</v>
      </c>
      <c r="AM82" t="str" cm="1">
        <f t="array" ref="AM82">_xlfn.IFS(
Table1[[#This Row],[MonthlyIncome]]&lt;3000,"Under 3K",
Table1[[#This Row],[MonthlyIncome]]&lt;6000,"3K-6K",
Table1[[#This Row],[MonthlyIncome]]&lt;9000,"6K-9K",
Table1[[#This Row],[MonthlyIncome]]&lt;12000,"9K-12K",
TRUE,"12K+")</f>
        <v>3K-6K</v>
      </c>
      <c r="AN82">
        <f>1</f>
        <v>1</v>
      </c>
      <c r="AO82" t="str" cm="1">
        <f t="array" ref="AO82">_xlfn.IFS(
Table1[[#This Row],[YearsAtCompany]]&lt;=2,"0-2 Years",
Table1[[#This Row],[YearsAtCompany]]&lt;=5,"3-5 Years",
Table1[[#This Row],[YearsAtCompany]]&lt;=10,"6-10 Years",
TRUE,"10+ Years")</f>
        <v>6-10 Years</v>
      </c>
    </row>
    <row r="83" spans="1:41"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tr">
        <f t="shared" si="2"/>
        <v>Research</v>
      </c>
      <c r="AK83">
        <f t="shared" si="3"/>
        <v>0</v>
      </c>
      <c r="AL83">
        <f>IF(Table1[[#This Row],[Attrition]]="Yes", Table1[[#This Row],[MonthlyIncome]]*12*1.5, 0)</f>
        <v>0</v>
      </c>
      <c r="AM83" t="str" cm="1">
        <f t="array" ref="AM83">_xlfn.IFS(
Table1[[#This Row],[MonthlyIncome]]&lt;3000,"Under 3K",
Table1[[#This Row],[MonthlyIncome]]&lt;6000,"3K-6K",
Table1[[#This Row],[MonthlyIncome]]&lt;9000,"6K-9K",
Table1[[#This Row],[MonthlyIncome]]&lt;12000,"9K-12K",
TRUE,"12K+")</f>
        <v>Under 3K</v>
      </c>
      <c r="AN83">
        <f>1</f>
        <v>1</v>
      </c>
      <c r="AO83" t="str" cm="1">
        <f t="array" ref="AO83">_xlfn.IFS(
Table1[[#This Row],[YearsAtCompany]]&lt;=2,"0-2 Years",
Table1[[#This Row],[YearsAtCompany]]&lt;=5,"3-5 Years",
Table1[[#This Row],[YearsAtCompany]]&lt;=10,"6-10 Years",
TRUE,"10+ Years")</f>
        <v>6-10 Years</v>
      </c>
    </row>
    <row r="84" spans="1:41"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tr">
        <f t="shared" si="2"/>
        <v>Sales</v>
      </c>
      <c r="AK84">
        <f t="shared" si="3"/>
        <v>0</v>
      </c>
      <c r="AL84">
        <f>IF(Table1[[#This Row],[Attrition]]="Yes", Table1[[#This Row],[MonthlyIncome]]*12*1.5, 0)</f>
        <v>0</v>
      </c>
      <c r="AM84" t="str" cm="1">
        <f t="array" ref="AM84">_xlfn.IFS(
Table1[[#This Row],[MonthlyIncome]]&lt;3000,"Under 3K",
Table1[[#This Row],[MonthlyIncome]]&lt;6000,"3K-6K",
Table1[[#This Row],[MonthlyIncome]]&lt;9000,"6K-9K",
Table1[[#This Row],[MonthlyIncome]]&lt;12000,"9K-12K",
TRUE,"12K+")</f>
        <v>9K-12K</v>
      </c>
      <c r="AN84">
        <f>1</f>
        <v>1</v>
      </c>
      <c r="AO84" t="str" cm="1">
        <f t="array" ref="AO84">_xlfn.IFS(
Table1[[#This Row],[YearsAtCompany]]&lt;=2,"0-2 Years",
Table1[[#This Row],[YearsAtCompany]]&lt;=5,"3-5 Years",
Table1[[#This Row],[YearsAtCompany]]&lt;=10,"6-10 Years",
TRUE,"10+ Years")</f>
        <v>0-2 Years</v>
      </c>
    </row>
    <row r="85" spans="1:41"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tr">
        <f t="shared" si="2"/>
        <v>Research</v>
      </c>
      <c r="AK85">
        <f t="shared" si="3"/>
        <v>0</v>
      </c>
      <c r="AL85">
        <f>IF(Table1[[#This Row],[Attrition]]="Yes", Table1[[#This Row],[MonthlyIncome]]*12*1.5, 0)</f>
        <v>0</v>
      </c>
      <c r="AM85" t="str" cm="1">
        <f t="array" ref="AM85">_xlfn.IFS(
Table1[[#This Row],[MonthlyIncome]]&lt;3000,"Under 3K",
Table1[[#This Row],[MonthlyIncome]]&lt;6000,"3K-6K",
Table1[[#This Row],[MonthlyIncome]]&lt;9000,"6K-9K",
Table1[[#This Row],[MonthlyIncome]]&lt;12000,"9K-12K",
TRUE,"12K+")</f>
        <v>3K-6K</v>
      </c>
      <c r="AN85">
        <f>1</f>
        <v>1</v>
      </c>
      <c r="AO85" t="str" cm="1">
        <f t="array" ref="AO85">_xlfn.IFS(
Table1[[#This Row],[YearsAtCompany]]&lt;=2,"0-2 Years",
Table1[[#This Row],[YearsAtCompany]]&lt;=5,"3-5 Years",
Table1[[#This Row],[YearsAtCompany]]&lt;=10,"6-10 Years",
TRUE,"10+ Years")</f>
        <v>10+ Years</v>
      </c>
    </row>
    <row r="86" spans="1:41"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tr">
        <f t="shared" si="2"/>
        <v>Operations</v>
      </c>
      <c r="AK86">
        <f t="shared" si="3"/>
        <v>0</v>
      </c>
      <c r="AL86">
        <f>IF(Table1[[#This Row],[Attrition]]="Yes", Table1[[#This Row],[MonthlyIncome]]*12*1.5, 0)</f>
        <v>0</v>
      </c>
      <c r="AM86" t="str" cm="1">
        <f t="array" ref="AM86">_xlfn.IFS(
Table1[[#This Row],[MonthlyIncome]]&lt;3000,"Under 3K",
Table1[[#This Row],[MonthlyIncome]]&lt;6000,"3K-6K",
Table1[[#This Row],[MonthlyIncome]]&lt;9000,"6K-9K",
Table1[[#This Row],[MonthlyIncome]]&lt;12000,"9K-12K",
TRUE,"12K+")</f>
        <v>3K-6K</v>
      </c>
      <c r="AN86">
        <f>1</f>
        <v>1</v>
      </c>
      <c r="AO86" t="str" cm="1">
        <f t="array" ref="AO86">_xlfn.IFS(
Table1[[#This Row],[YearsAtCompany]]&lt;=2,"0-2 Years",
Table1[[#This Row],[YearsAtCompany]]&lt;=5,"3-5 Years",
Table1[[#This Row],[YearsAtCompany]]&lt;=10,"6-10 Years",
TRUE,"10+ Years")</f>
        <v>3-5 Years</v>
      </c>
    </row>
    <row r="87" spans="1:41"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tr">
        <f t="shared" si="2"/>
        <v>Operations</v>
      </c>
      <c r="AK87">
        <f t="shared" si="3"/>
        <v>0</v>
      </c>
      <c r="AL87">
        <f>IF(Table1[[#This Row],[Attrition]]="Yes", Table1[[#This Row],[MonthlyIncome]]*12*1.5, 0)</f>
        <v>0</v>
      </c>
      <c r="AM87" t="str" cm="1">
        <f t="array" ref="AM87">_xlfn.IFS(
Table1[[#This Row],[MonthlyIncome]]&lt;3000,"Under 3K",
Table1[[#This Row],[MonthlyIncome]]&lt;6000,"3K-6K",
Table1[[#This Row],[MonthlyIncome]]&lt;9000,"6K-9K",
Table1[[#This Row],[MonthlyIncome]]&lt;12000,"9K-12K",
TRUE,"12K+")</f>
        <v>6K-9K</v>
      </c>
      <c r="AN87">
        <f>1</f>
        <v>1</v>
      </c>
      <c r="AO87" t="str" cm="1">
        <f t="array" ref="AO87">_xlfn.IFS(
Table1[[#This Row],[YearsAtCompany]]&lt;=2,"0-2 Years",
Table1[[#This Row],[YearsAtCompany]]&lt;=5,"3-5 Years",
Table1[[#This Row],[YearsAtCompany]]&lt;=10,"6-10 Years",
TRUE,"10+ Years")</f>
        <v>6-10 Years</v>
      </c>
    </row>
    <row r="88" spans="1:41"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tr">
        <f t="shared" si="2"/>
        <v>Sales</v>
      </c>
      <c r="AK88">
        <f t="shared" si="3"/>
        <v>0</v>
      </c>
      <c r="AL88">
        <f>IF(Table1[[#This Row],[Attrition]]="Yes", Table1[[#This Row],[MonthlyIncome]]*12*1.5, 0)</f>
        <v>0</v>
      </c>
      <c r="AM88" t="str" cm="1">
        <f t="array" ref="AM88">_xlfn.IFS(
Table1[[#This Row],[MonthlyIncome]]&lt;3000,"Under 3K",
Table1[[#This Row],[MonthlyIncome]]&lt;6000,"3K-6K",
Table1[[#This Row],[MonthlyIncome]]&lt;9000,"6K-9K",
Table1[[#This Row],[MonthlyIncome]]&lt;12000,"9K-12K",
TRUE,"12K+")</f>
        <v>Under 3K</v>
      </c>
      <c r="AN88">
        <f>1</f>
        <v>1</v>
      </c>
      <c r="AO88" t="str" cm="1">
        <f t="array" ref="AO88">_xlfn.IFS(
Table1[[#This Row],[YearsAtCompany]]&lt;=2,"0-2 Years",
Table1[[#This Row],[YearsAtCompany]]&lt;=5,"3-5 Years",
Table1[[#This Row],[YearsAtCompany]]&lt;=10,"6-10 Years",
TRUE,"10+ Years")</f>
        <v>0-2 Years</v>
      </c>
    </row>
    <row r="89" spans="1:41"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tr">
        <f t="shared" si="2"/>
        <v>Research</v>
      </c>
      <c r="AK89">
        <f t="shared" si="3"/>
        <v>0</v>
      </c>
      <c r="AL89">
        <f>IF(Table1[[#This Row],[Attrition]]="Yes", Table1[[#This Row],[MonthlyIncome]]*12*1.5, 0)</f>
        <v>0</v>
      </c>
      <c r="AM89" t="str" cm="1">
        <f t="array" ref="AM89">_xlfn.IFS(
Table1[[#This Row],[MonthlyIncome]]&lt;3000,"Under 3K",
Table1[[#This Row],[MonthlyIncome]]&lt;6000,"3K-6K",
Table1[[#This Row],[MonthlyIncome]]&lt;9000,"6K-9K",
Table1[[#This Row],[MonthlyIncome]]&lt;12000,"9K-12K",
TRUE,"12K+")</f>
        <v>Under 3K</v>
      </c>
      <c r="AN89">
        <f>1</f>
        <v>1</v>
      </c>
      <c r="AO89" t="str" cm="1">
        <f t="array" ref="AO89">_xlfn.IFS(
Table1[[#This Row],[YearsAtCompany]]&lt;=2,"0-2 Years",
Table1[[#This Row],[YearsAtCompany]]&lt;=5,"3-5 Years",
Table1[[#This Row],[YearsAtCompany]]&lt;=10,"6-10 Years",
TRUE,"10+ Years")</f>
        <v>3-5 Years</v>
      </c>
    </row>
    <row r="90" spans="1:41"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tr">
        <f t="shared" si="2"/>
        <v>Healthcare</v>
      </c>
      <c r="AK90">
        <f t="shared" si="3"/>
        <v>0</v>
      </c>
      <c r="AL90">
        <f>IF(Table1[[#This Row],[Attrition]]="Yes", Table1[[#This Row],[MonthlyIncome]]*12*1.5, 0)</f>
        <v>0</v>
      </c>
      <c r="AM90" t="str" cm="1">
        <f t="array" ref="AM90">_xlfn.IFS(
Table1[[#This Row],[MonthlyIncome]]&lt;3000,"Under 3K",
Table1[[#This Row],[MonthlyIncome]]&lt;6000,"3K-6K",
Table1[[#This Row],[MonthlyIncome]]&lt;9000,"6K-9K",
Table1[[#This Row],[MonthlyIncome]]&lt;12000,"9K-12K",
TRUE,"12K+")</f>
        <v>3K-6K</v>
      </c>
      <c r="AN90">
        <f>1</f>
        <v>1</v>
      </c>
      <c r="AO90" t="str" cm="1">
        <f t="array" ref="AO90">_xlfn.IFS(
Table1[[#This Row],[YearsAtCompany]]&lt;=2,"0-2 Years",
Table1[[#This Row],[YearsAtCompany]]&lt;=5,"3-5 Years",
Table1[[#This Row],[YearsAtCompany]]&lt;=10,"6-10 Years",
TRUE,"10+ Years")</f>
        <v>10+ Years</v>
      </c>
    </row>
    <row r="91" spans="1:41"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tr">
        <f t="shared" si="2"/>
        <v>Sales</v>
      </c>
      <c r="AK91">
        <f t="shared" si="3"/>
        <v>1</v>
      </c>
      <c r="AL91">
        <f>IF(Table1[[#This Row],[Attrition]]="Yes", Table1[[#This Row],[MonthlyIncome]]*12*1.5, 0)</f>
        <v>173142</v>
      </c>
      <c r="AM91" t="str" cm="1">
        <f t="array" ref="AM91">_xlfn.IFS(
Table1[[#This Row],[MonthlyIncome]]&lt;3000,"Under 3K",
Table1[[#This Row],[MonthlyIncome]]&lt;6000,"3K-6K",
Table1[[#This Row],[MonthlyIncome]]&lt;9000,"6K-9K",
Table1[[#This Row],[MonthlyIncome]]&lt;12000,"9K-12K",
TRUE,"12K+")</f>
        <v>9K-12K</v>
      </c>
      <c r="AN91">
        <f>1</f>
        <v>1</v>
      </c>
      <c r="AO91" t="str" cm="1">
        <f t="array" ref="AO91">_xlfn.IFS(
Table1[[#This Row],[YearsAtCompany]]&lt;=2,"0-2 Years",
Table1[[#This Row],[YearsAtCompany]]&lt;=5,"3-5 Years",
Table1[[#This Row],[YearsAtCompany]]&lt;=10,"6-10 Years",
TRUE,"10+ Years")</f>
        <v>6-10 Years</v>
      </c>
    </row>
    <row r="92" spans="1:41"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tr">
        <f t="shared" si="2"/>
        <v>Healthcare</v>
      </c>
      <c r="AK92">
        <f t="shared" si="3"/>
        <v>0</v>
      </c>
      <c r="AL92">
        <f>IF(Table1[[#This Row],[Attrition]]="Yes", Table1[[#This Row],[MonthlyIncome]]*12*1.5, 0)</f>
        <v>0</v>
      </c>
      <c r="AM92" t="str" cm="1">
        <f t="array" ref="AM92">_xlfn.IFS(
Table1[[#This Row],[MonthlyIncome]]&lt;3000,"Under 3K",
Table1[[#This Row],[MonthlyIncome]]&lt;6000,"3K-6K",
Table1[[#This Row],[MonthlyIncome]]&lt;9000,"6K-9K",
Table1[[#This Row],[MonthlyIncome]]&lt;12000,"9K-12K",
TRUE,"12K+")</f>
        <v>12K+</v>
      </c>
      <c r="AN92">
        <f>1</f>
        <v>1</v>
      </c>
      <c r="AO92" t="str" cm="1">
        <f t="array" ref="AO92">_xlfn.IFS(
Table1[[#This Row],[YearsAtCompany]]&lt;=2,"0-2 Years",
Table1[[#This Row],[YearsAtCompany]]&lt;=5,"3-5 Years",
Table1[[#This Row],[YearsAtCompany]]&lt;=10,"6-10 Years",
TRUE,"10+ Years")</f>
        <v>10+ Years</v>
      </c>
    </row>
    <row r="93" spans="1:41"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tr">
        <f t="shared" si="2"/>
        <v>Sales</v>
      </c>
      <c r="AK93">
        <f t="shared" si="3"/>
        <v>0</v>
      </c>
      <c r="AL93">
        <f>IF(Table1[[#This Row],[Attrition]]="Yes", Table1[[#This Row],[MonthlyIncome]]*12*1.5, 0)</f>
        <v>0</v>
      </c>
      <c r="AM93" t="str" cm="1">
        <f t="array" ref="AM93">_xlfn.IFS(
Table1[[#This Row],[MonthlyIncome]]&lt;3000,"Under 3K",
Table1[[#This Row],[MonthlyIncome]]&lt;6000,"3K-6K",
Table1[[#This Row],[MonthlyIncome]]&lt;9000,"6K-9K",
Table1[[#This Row],[MonthlyIncome]]&lt;12000,"9K-12K",
TRUE,"12K+")</f>
        <v>3K-6K</v>
      </c>
      <c r="AN93">
        <f>1</f>
        <v>1</v>
      </c>
      <c r="AO93" t="str" cm="1">
        <f t="array" ref="AO93">_xlfn.IFS(
Table1[[#This Row],[YearsAtCompany]]&lt;=2,"0-2 Years",
Table1[[#This Row],[YearsAtCompany]]&lt;=5,"3-5 Years",
Table1[[#This Row],[YearsAtCompany]]&lt;=10,"6-10 Years",
TRUE,"10+ Years")</f>
        <v>6-10 Years</v>
      </c>
    </row>
    <row r="94" spans="1:41"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tr">
        <f t="shared" si="2"/>
        <v>Sales</v>
      </c>
      <c r="AK94">
        <f t="shared" si="3"/>
        <v>0</v>
      </c>
      <c r="AL94">
        <f>IF(Table1[[#This Row],[Attrition]]="Yes", Table1[[#This Row],[MonthlyIncome]]*12*1.5, 0)</f>
        <v>0</v>
      </c>
      <c r="AM94" t="str" cm="1">
        <f t="array" ref="AM94">_xlfn.IFS(
Table1[[#This Row],[MonthlyIncome]]&lt;3000,"Under 3K",
Table1[[#This Row],[MonthlyIncome]]&lt;6000,"3K-6K",
Table1[[#This Row],[MonthlyIncome]]&lt;9000,"6K-9K",
Table1[[#This Row],[MonthlyIncome]]&lt;12000,"9K-12K",
TRUE,"12K+")</f>
        <v>3K-6K</v>
      </c>
      <c r="AN94">
        <f>1</f>
        <v>1</v>
      </c>
      <c r="AO94" t="str" cm="1">
        <f t="array" ref="AO94">_xlfn.IFS(
Table1[[#This Row],[YearsAtCompany]]&lt;=2,"0-2 Years",
Table1[[#This Row],[YearsAtCompany]]&lt;=5,"3-5 Years",
Table1[[#This Row],[YearsAtCompany]]&lt;=10,"6-10 Years",
TRUE,"10+ Years")</f>
        <v>10+ Years</v>
      </c>
    </row>
    <row r="95" spans="1:41"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tr">
        <f t="shared" si="2"/>
        <v>Healthcare</v>
      </c>
      <c r="AK95">
        <f t="shared" si="3"/>
        <v>0</v>
      </c>
      <c r="AL95">
        <f>IF(Table1[[#This Row],[Attrition]]="Yes", Table1[[#This Row],[MonthlyIncome]]*12*1.5, 0)</f>
        <v>0</v>
      </c>
      <c r="AM95" t="str" cm="1">
        <f t="array" ref="AM95">_xlfn.IFS(
Table1[[#This Row],[MonthlyIncome]]&lt;3000,"Under 3K",
Table1[[#This Row],[MonthlyIncome]]&lt;6000,"3K-6K",
Table1[[#This Row],[MonthlyIncome]]&lt;9000,"6K-9K",
Table1[[#This Row],[MonthlyIncome]]&lt;12000,"9K-12K",
TRUE,"12K+")</f>
        <v>9K-12K</v>
      </c>
      <c r="AN95">
        <f>1</f>
        <v>1</v>
      </c>
      <c r="AO95" t="str" cm="1">
        <f t="array" ref="AO95">_xlfn.IFS(
Table1[[#This Row],[YearsAtCompany]]&lt;=2,"0-2 Years",
Table1[[#This Row],[YearsAtCompany]]&lt;=5,"3-5 Years",
Table1[[#This Row],[YearsAtCompany]]&lt;=10,"6-10 Years",
TRUE,"10+ Years")</f>
        <v>6-10 Years</v>
      </c>
    </row>
    <row r="96" spans="1:41"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tr">
        <f t="shared" si="2"/>
        <v>Sales</v>
      </c>
      <c r="AK96">
        <f t="shared" si="3"/>
        <v>0</v>
      </c>
      <c r="AL96">
        <f>IF(Table1[[#This Row],[Attrition]]="Yes", Table1[[#This Row],[MonthlyIncome]]*12*1.5, 0)</f>
        <v>0</v>
      </c>
      <c r="AM96" t="str" cm="1">
        <f t="array" ref="AM96">_xlfn.IFS(
Table1[[#This Row],[MonthlyIncome]]&lt;3000,"Under 3K",
Table1[[#This Row],[MonthlyIncome]]&lt;6000,"3K-6K",
Table1[[#This Row],[MonthlyIncome]]&lt;9000,"6K-9K",
Table1[[#This Row],[MonthlyIncome]]&lt;12000,"9K-12K",
TRUE,"12K+")</f>
        <v>3K-6K</v>
      </c>
      <c r="AN96">
        <f>1</f>
        <v>1</v>
      </c>
      <c r="AO96" t="str" cm="1">
        <f t="array" ref="AO96">_xlfn.IFS(
Table1[[#This Row],[YearsAtCompany]]&lt;=2,"0-2 Years",
Table1[[#This Row],[YearsAtCompany]]&lt;=5,"3-5 Years",
Table1[[#This Row],[YearsAtCompany]]&lt;=10,"6-10 Years",
TRUE,"10+ Years")</f>
        <v>10+ Years</v>
      </c>
    </row>
    <row r="97" spans="1:41"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tr">
        <f t="shared" si="2"/>
        <v>Research</v>
      </c>
      <c r="AK97">
        <f t="shared" si="3"/>
        <v>0</v>
      </c>
      <c r="AL97">
        <f>IF(Table1[[#This Row],[Attrition]]="Yes", Table1[[#This Row],[MonthlyIncome]]*12*1.5, 0)</f>
        <v>0</v>
      </c>
      <c r="AM97" t="str" cm="1">
        <f t="array" ref="AM97">_xlfn.IFS(
Table1[[#This Row],[MonthlyIncome]]&lt;3000,"Under 3K",
Table1[[#This Row],[MonthlyIncome]]&lt;6000,"3K-6K",
Table1[[#This Row],[MonthlyIncome]]&lt;9000,"6K-9K",
Table1[[#This Row],[MonthlyIncome]]&lt;12000,"9K-12K",
TRUE,"12K+")</f>
        <v>12K+</v>
      </c>
      <c r="AN97">
        <f>1</f>
        <v>1</v>
      </c>
      <c r="AO97" t="str" cm="1">
        <f t="array" ref="AO97">_xlfn.IFS(
Table1[[#This Row],[YearsAtCompany]]&lt;=2,"0-2 Years",
Table1[[#This Row],[YearsAtCompany]]&lt;=5,"3-5 Years",
Table1[[#This Row],[YearsAtCompany]]&lt;=10,"6-10 Years",
TRUE,"10+ Years")</f>
        <v>3-5 Years</v>
      </c>
    </row>
    <row r="98" spans="1:41"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tr">
        <f t="shared" si="2"/>
        <v>Sales</v>
      </c>
      <c r="AK98">
        <f t="shared" si="3"/>
        <v>0</v>
      </c>
      <c r="AL98">
        <f>IF(Table1[[#This Row],[Attrition]]="Yes", Table1[[#This Row],[MonthlyIncome]]*12*1.5, 0)</f>
        <v>0</v>
      </c>
      <c r="AM98" t="str" cm="1">
        <f t="array" ref="AM98">_xlfn.IFS(
Table1[[#This Row],[MonthlyIncome]]&lt;3000,"Under 3K",
Table1[[#This Row],[MonthlyIncome]]&lt;6000,"3K-6K",
Table1[[#This Row],[MonthlyIncome]]&lt;9000,"6K-9K",
Table1[[#This Row],[MonthlyIncome]]&lt;12000,"9K-12K",
TRUE,"12K+")</f>
        <v>3K-6K</v>
      </c>
      <c r="AN98">
        <f>1</f>
        <v>1</v>
      </c>
      <c r="AO98" t="str" cm="1">
        <f t="array" ref="AO98">_xlfn.IFS(
Table1[[#This Row],[YearsAtCompany]]&lt;=2,"0-2 Years",
Table1[[#This Row],[YearsAtCompany]]&lt;=5,"3-5 Years",
Table1[[#This Row],[YearsAtCompany]]&lt;=10,"6-10 Years",
TRUE,"10+ Years")</f>
        <v>3-5 Years</v>
      </c>
    </row>
    <row r="99" spans="1:41"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tr">
        <f t="shared" si="2"/>
        <v>Sales</v>
      </c>
      <c r="AK99">
        <f t="shared" si="3"/>
        <v>0</v>
      </c>
      <c r="AL99">
        <f>IF(Table1[[#This Row],[Attrition]]="Yes", Table1[[#This Row],[MonthlyIncome]]*12*1.5, 0)</f>
        <v>0</v>
      </c>
      <c r="AM99" t="str" cm="1">
        <f t="array" ref="AM99">_xlfn.IFS(
Table1[[#This Row],[MonthlyIncome]]&lt;3000,"Under 3K",
Table1[[#This Row],[MonthlyIncome]]&lt;6000,"3K-6K",
Table1[[#This Row],[MonthlyIncome]]&lt;9000,"6K-9K",
Table1[[#This Row],[MonthlyIncome]]&lt;12000,"9K-12K",
TRUE,"12K+")</f>
        <v>3K-6K</v>
      </c>
      <c r="AN99">
        <f>1</f>
        <v>1</v>
      </c>
      <c r="AO99" t="str" cm="1">
        <f t="array" ref="AO99">_xlfn.IFS(
Table1[[#This Row],[YearsAtCompany]]&lt;=2,"0-2 Years",
Table1[[#This Row],[YearsAtCompany]]&lt;=5,"3-5 Years",
Table1[[#This Row],[YearsAtCompany]]&lt;=10,"6-10 Years",
TRUE,"10+ Years")</f>
        <v>3-5 Years</v>
      </c>
    </row>
    <row r="100" spans="1:41"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tr">
        <f t="shared" si="2"/>
        <v>Sales</v>
      </c>
      <c r="AK100">
        <f t="shared" si="3"/>
        <v>0</v>
      </c>
      <c r="AL100">
        <f>IF(Table1[[#This Row],[Attrition]]="Yes", Table1[[#This Row],[MonthlyIncome]]*12*1.5, 0)</f>
        <v>0</v>
      </c>
      <c r="AM100" t="str" cm="1">
        <f t="array" ref="AM100">_xlfn.IFS(
Table1[[#This Row],[MonthlyIncome]]&lt;3000,"Under 3K",
Table1[[#This Row],[MonthlyIncome]]&lt;6000,"3K-6K",
Table1[[#This Row],[MonthlyIncome]]&lt;9000,"6K-9K",
Table1[[#This Row],[MonthlyIncome]]&lt;12000,"9K-12K",
TRUE,"12K+")</f>
        <v>12K+</v>
      </c>
      <c r="AN100">
        <f>1</f>
        <v>1</v>
      </c>
      <c r="AO100" t="str" cm="1">
        <f t="array" ref="AO100">_xlfn.IFS(
Table1[[#This Row],[YearsAtCompany]]&lt;=2,"0-2 Years",
Table1[[#This Row],[YearsAtCompany]]&lt;=5,"3-5 Years",
Table1[[#This Row],[YearsAtCompany]]&lt;=10,"6-10 Years",
TRUE,"10+ Years")</f>
        <v>10+ Years</v>
      </c>
    </row>
    <row r="101" spans="1:41"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tr">
        <f t="shared" si="2"/>
        <v>Research</v>
      </c>
      <c r="AK101">
        <f t="shared" si="3"/>
        <v>0</v>
      </c>
      <c r="AL101">
        <f>IF(Table1[[#This Row],[Attrition]]="Yes", Table1[[#This Row],[MonthlyIncome]]*12*1.5, 0)</f>
        <v>0</v>
      </c>
      <c r="AM101" t="str" cm="1">
        <f t="array" ref="AM101">_xlfn.IFS(
Table1[[#This Row],[MonthlyIncome]]&lt;3000,"Under 3K",
Table1[[#This Row],[MonthlyIncome]]&lt;6000,"3K-6K",
Table1[[#This Row],[MonthlyIncome]]&lt;9000,"6K-9K",
Table1[[#This Row],[MonthlyIncome]]&lt;12000,"9K-12K",
TRUE,"12K+")</f>
        <v>Under 3K</v>
      </c>
      <c r="AN101">
        <f>1</f>
        <v>1</v>
      </c>
      <c r="AO101" t="str" cm="1">
        <f t="array" ref="AO101">_xlfn.IFS(
Table1[[#This Row],[YearsAtCompany]]&lt;=2,"0-2 Years",
Table1[[#This Row],[YearsAtCompany]]&lt;=5,"3-5 Years",
Table1[[#This Row],[YearsAtCompany]]&lt;=10,"6-10 Years",
TRUE,"10+ Years")</f>
        <v>3-5 Years</v>
      </c>
    </row>
    <row r="102" spans="1:41"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tr">
        <f t="shared" si="2"/>
        <v>Human Resources</v>
      </c>
      <c r="AK102">
        <f t="shared" si="3"/>
        <v>1</v>
      </c>
      <c r="AL102">
        <f>IF(Table1[[#This Row],[Attrition]]="Yes", Table1[[#This Row],[MonthlyIncome]]*12*1.5, 0)</f>
        <v>37314</v>
      </c>
      <c r="AM102" t="str" cm="1">
        <f t="array" ref="AM102">_xlfn.IFS(
Table1[[#This Row],[MonthlyIncome]]&lt;3000,"Under 3K",
Table1[[#This Row],[MonthlyIncome]]&lt;6000,"3K-6K",
Table1[[#This Row],[MonthlyIncome]]&lt;9000,"6K-9K",
Table1[[#This Row],[MonthlyIncome]]&lt;12000,"9K-12K",
TRUE,"12K+")</f>
        <v>Under 3K</v>
      </c>
      <c r="AN102">
        <f>1</f>
        <v>1</v>
      </c>
      <c r="AO102" t="str" cm="1">
        <f t="array" ref="AO102">_xlfn.IFS(
Table1[[#This Row],[YearsAtCompany]]&lt;=2,"0-2 Years",
Table1[[#This Row],[YearsAtCompany]]&lt;=5,"3-5 Years",
Table1[[#This Row],[YearsAtCompany]]&lt;=10,"6-10 Years",
TRUE,"10+ Years")</f>
        <v>3-5 Years</v>
      </c>
    </row>
    <row r="103" spans="1:41"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tr">
        <f t="shared" si="2"/>
        <v>Research</v>
      </c>
      <c r="AK103">
        <f t="shared" si="3"/>
        <v>0</v>
      </c>
      <c r="AL103">
        <f>IF(Table1[[#This Row],[Attrition]]="Yes", Table1[[#This Row],[MonthlyIncome]]*12*1.5, 0)</f>
        <v>0</v>
      </c>
      <c r="AM103" t="str" cm="1">
        <f t="array" ref="AM103">_xlfn.IFS(
Table1[[#This Row],[MonthlyIncome]]&lt;3000,"Under 3K",
Table1[[#This Row],[MonthlyIncome]]&lt;6000,"3K-6K",
Table1[[#This Row],[MonthlyIncome]]&lt;9000,"6K-9K",
Table1[[#This Row],[MonthlyIncome]]&lt;12000,"9K-12K",
TRUE,"12K+")</f>
        <v>Under 3K</v>
      </c>
      <c r="AN103">
        <f>1</f>
        <v>1</v>
      </c>
      <c r="AO103" t="str" cm="1">
        <f t="array" ref="AO103">_xlfn.IFS(
Table1[[#This Row],[YearsAtCompany]]&lt;=2,"0-2 Years",
Table1[[#This Row],[YearsAtCompany]]&lt;=5,"3-5 Years",
Table1[[#This Row],[YearsAtCompany]]&lt;=10,"6-10 Years",
TRUE,"10+ Years")</f>
        <v>0-2 Years</v>
      </c>
    </row>
    <row r="104" spans="1:41"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tr">
        <f t="shared" si="2"/>
        <v>Research</v>
      </c>
      <c r="AK104">
        <f t="shared" si="3"/>
        <v>1</v>
      </c>
      <c r="AL104">
        <f>IF(Table1[[#This Row],[Attrition]]="Yes", Table1[[#This Row],[MonthlyIncome]]*12*1.5, 0)</f>
        <v>52668</v>
      </c>
      <c r="AM104" t="str" cm="1">
        <f t="array" ref="AM104">_xlfn.IFS(
Table1[[#This Row],[MonthlyIncome]]&lt;3000,"Under 3K",
Table1[[#This Row],[MonthlyIncome]]&lt;6000,"3K-6K",
Table1[[#This Row],[MonthlyIncome]]&lt;9000,"6K-9K",
Table1[[#This Row],[MonthlyIncome]]&lt;12000,"9K-12K",
TRUE,"12K+")</f>
        <v>Under 3K</v>
      </c>
      <c r="AN104">
        <f>1</f>
        <v>1</v>
      </c>
      <c r="AO104" t="str" cm="1">
        <f t="array" ref="AO104">_xlfn.IFS(
Table1[[#This Row],[YearsAtCompany]]&lt;=2,"0-2 Years",
Table1[[#This Row],[YearsAtCompany]]&lt;=5,"3-5 Years",
Table1[[#This Row],[YearsAtCompany]]&lt;=10,"6-10 Years",
TRUE,"10+ Years")</f>
        <v>0-2 Years</v>
      </c>
    </row>
    <row r="105" spans="1:41"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tr">
        <f t="shared" si="2"/>
        <v>Research</v>
      </c>
      <c r="AK105">
        <f t="shared" si="3"/>
        <v>0</v>
      </c>
      <c r="AL105">
        <f>IF(Table1[[#This Row],[Attrition]]="Yes", Table1[[#This Row],[MonthlyIncome]]*12*1.5, 0)</f>
        <v>0</v>
      </c>
      <c r="AM105" t="str" cm="1">
        <f t="array" ref="AM105">_xlfn.IFS(
Table1[[#This Row],[MonthlyIncome]]&lt;3000,"Under 3K",
Table1[[#This Row],[MonthlyIncome]]&lt;6000,"3K-6K",
Table1[[#This Row],[MonthlyIncome]]&lt;9000,"6K-9K",
Table1[[#This Row],[MonthlyIncome]]&lt;12000,"9K-12K",
TRUE,"12K+")</f>
        <v>3K-6K</v>
      </c>
      <c r="AN105">
        <f>1</f>
        <v>1</v>
      </c>
      <c r="AO105" t="str" cm="1">
        <f t="array" ref="AO105">_xlfn.IFS(
Table1[[#This Row],[YearsAtCompany]]&lt;=2,"0-2 Years",
Table1[[#This Row],[YearsAtCompany]]&lt;=5,"3-5 Years",
Table1[[#This Row],[YearsAtCompany]]&lt;=10,"6-10 Years",
TRUE,"10+ Years")</f>
        <v>10+ Years</v>
      </c>
    </row>
    <row r="106" spans="1:41"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tr">
        <f t="shared" si="2"/>
        <v>Healthcare</v>
      </c>
      <c r="AK106">
        <f t="shared" si="3"/>
        <v>0</v>
      </c>
      <c r="AL106">
        <f>IF(Table1[[#This Row],[Attrition]]="Yes", Table1[[#This Row],[MonthlyIncome]]*12*1.5, 0)</f>
        <v>0</v>
      </c>
      <c r="AM106" t="str" cm="1">
        <f t="array" ref="AM106">_xlfn.IFS(
Table1[[#This Row],[MonthlyIncome]]&lt;3000,"Under 3K",
Table1[[#This Row],[MonthlyIncome]]&lt;6000,"3K-6K",
Table1[[#This Row],[MonthlyIncome]]&lt;9000,"6K-9K",
Table1[[#This Row],[MonthlyIncome]]&lt;12000,"9K-12K",
TRUE,"12K+")</f>
        <v>3K-6K</v>
      </c>
      <c r="AN106">
        <f>1</f>
        <v>1</v>
      </c>
      <c r="AO106" t="str" cm="1">
        <f t="array" ref="AO106">_xlfn.IFS(
Table1[[#This Row],[YearsAtCompany]]&lt;=2,"0-2 Years",
Table1[[#This Row],[YearsAtCompany]]&lt;=5,"3-5 Years",
Table1[[#This Row],[YearsAtCompany]]&lt;=10,"6-10 Years",
TRUE,"10+ Years")</f>
        <v>0-2 Years</v>
      </c>
    </row>
    <row r="107" spans="1:41"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tr">
        <f t="shared" si="2"/>
        <v>Management</v>
      </c>
      <c r="AK107">
        <f t="shared" si="3"/>
        <v>0</v>
      </c>
      <c r="AL107">
        <f>IF(Table1[[#This Row],[Attrition]]="Yes", Table1[[#This Row],[MonthlyIncome]]*12*1.5, 0)</f>
        <v>0</v>
      </c>
      <c r="AM107" t="str" cm="1">
        <f t="array" ref="AM107">_xlfn.IFS(
Table1[[#This Row],[MonthlyIncome]]&lt;3000,"Under 3K",
Table1[[#This Row],[MonthlyIncome]]&lt;6000,"3K-6K",
Table1[[#This Row],[MonthlyIncome]]&lt;9000,"6K-9K",
Table1[[#This Row],[MonthlyIncome]]&lt;12000,"9K-12K",
TRUE,"12K+")</f>
        <v>12K+</v>
      </c>
      <c r="AN107">
        <f>1</f>
        <v>1</v>
      </c>
      <c r="AO107" t="str" cm="1">
        <f t="array" ref="AO107">_xlfn.IFS(
Table1[[#This Row],[YearsAtCompany]]&lt;=2,"0-2 Years",
Table1[[#This Row],[YearsAtCompany]]&lt;=5,"3-5 Years",
Table1[[#This Row],[YearsAtCompany]]&lt;=10,"6-10 Years",
TRUE,"10+ Years")</f>
        <v>3-5 Years</v>
      </c>
    </row>
    <row r="108" spans="1:41"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tr">
        <f t="shared" si="2"/>
        <v>Research</v>
      </c>
      <c r="AK108">
        <f t="shared" si="3"/>
        <v>0</v>
      </c>
      <c r="AL108">
        <f>IF(Table1[[#This Row],[Attrition]]="Yes", Table1[[#This Row],[MonthlyIncome]]*12*1.5, 0)</f>
        <v>0</v>
      </c>
      <c r="AM108" t="str" cm="1">
        <f t="array" ref="AM108">_xlfn.IFS(
Table1[[#This Row],[MonthlyIncome]]&lt;3000,"Under 3K",
Table1[[#This Row],[MonthlyIncome]]&lt;6000,"3K-6K",
Table1[[#This Row],[MonthlyIncome]]&lt;9000,"6K-9K",
Table1[[#This Row],[MonthlyIncome]]&lt;12000,"9K-12K",
TRUE,"12K+")</f>
        <v>12K+</v>
      </c>
      <c r="AN108">
        <f>1</f>
        <v>1</v>
      </c>
      <c r="AO108" t="str" cm="1">
        <f t="array" ref="AO108">_xlfn.IFS(
Table1[[#This Row],[YearsAtCompany]]&lt;=2,"0-2 Years",
Table1[[#This Row],[YearsAtCompany]]&lt;=5,"3-5 Years",
Table1[[#This Row],[YearsAtCompany]]&lt;=10,"6-10 Years",
TRUE,"10+ Years")</f>
        <v>6-10 Years</v>
      </c>
    </row>
    <row r="109" spans="1:41"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tr">
        <f t="shared" si="2"/>
        <v>Sales</v>
      </c>
      <c r="AK109">
        <f t="shared" si="3"/>
        <v>1</v>
      </c>
      <c r="AL109">
        <f>IF(Table1[[#This Row],[Attrition]]="Yes", Table1[[#This Row],[MonthlyIncome]]*12*1.5, 0)</f>
        <v>103392</v>
      </c>
      <c r="AM109" t="str" cm="1">
        <f t="array" ref="AM109">_xlfn.IFS(
Table1[[#This Row],[MonthlyIncome]]&lt;3000,"Under 3K",
Table1[[#This Row],[MonthlyIncome]]&lt;6000,"3K-6K",
Table1[[#This Row],[MonthlyIncome]]&lt;9000,"6K-9K",
Table1[[#This Row],[MonthlyIncome]]&lt;12000,"9K-12K",
TRUE,"12K+")</f>
        <v>3K-6K</v>
      </c>
      <c r="AN109">
        <f>1</f>
        <v>1</v>
      </c>
      <c r="AO109" t="str" cm="1">
        <f t="array" ref="AO109">_xlfn.IFS(
Table1[[#This Row],[YearsAtCompany]]&lt;=2,"0-2 Years",
Table1[[#This Row],[YearsAtCompany]]&lt;=5,"3-5 Years",
Table1[[#This Row],[YearsAtCompany]]&lt;=10,"6-10 Years",
TRUE,"10+ Years")</f>
        <v>6-10 Years</v>
      </c>
    </row>
    <row r="110" spans="1:41"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tr">
        <f t="shared" si="2"/>
        <v>Research</v>
      </c>
      <c r="AK110">
        <f t="shared" si="3"/>
        <v>0</v>
      </c>
      <c r="AL110">
        <f>IF(Table1[[#This Row],[Attrition]]="Yes", Table1[[#This Row],[MonthlyIncome]]*12*1.5, 0)</f>
        <v>0</v>
      </c>
      <c r="AM110" t="str" cm="1">
        <f t="array" ref="AM110">_xlfn.IFS(
Table1[[#This Row],[MonthlyIncome]]&lt;3000,"Under 3K",
Table1[[#This Row],[MonthlyIncome]]&lt;6000,"3K-6K",
Table1[[#This Row],[MonthlyIncome]]&lt;9000,"6K-9K",
Table1[[#This Row],[MonthlyIncome]]&lt;12000,"9K-12K",
TRUE,"12K+")</f>
        <v>Under 3K</v>
      </c>
      <c r="AN110">
        <f>1</f>
        <v>1</v>
      </c>
      <c r="AO110" t="str" cm="1">
        <f t="array" ref="AO110">_xlfn.IFS(
Table1[[#This Row],[YearsAtCompany]]&lt;=2,"0-2 Years",
Table1[[#This Row],[YearsAtCompany]]&lt;=5,"3-5 Years",
Table1[[#This Row],[YearsAtCompany]]&lt;=10,"6-10 Years",
TRUE,"10+ Years")</f>
        <v>0-2 Years</v>
      </c>
    </row>
    <row r="111" spans="1:41"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tr">
        <f t="shared" si="2"/>
        <v>Research</v>
      </c>
      <c r="AK111">
        <f t="shared" si="3"/>
        <v>0</v>
      </c>
      <c r="AL111">
        <f>IF(Table1[[#This Row],[Attrition]]="Yes", Table1[[#This Row],[MonthlyIncome]]*12*1.5, 0)</f>
        <v>0</v>
      </c>
      <c r="AM111" t="str" cm="1">
        <f t="array" ref="AM111">_xlfn.IFS(
Table1[[#This Row],[MonthlyIncome]]&lt;3000,"Under 3K",
Table1[[#This Row],[MonthlyIncome]]&lt;6000,"3K-6K",
Table1[[#This Row],[MonthlyIncome]]&lt;9000,"6K-9K",
Table1[[#This Row],[MonthlyIncome]]&lt;12000,"9K-12K",
TRUE,"12K+")</f>
        <v>Under 3K</v>
      </c>
      <c r="AN111">
        <f>1</f>
        <v>1</v>
      </c>
      <c r="AO111" t="str" cm="1">
        <f t="array" ref="AO111">_xlfn.IFS(
Table1[[#This Row],[YearsAtCompany]]&lt;=2,"0-2 Years",
Table1[[#This Row],[YearsAtCompany]]&lt;=5,"3-5 Years",
Table1[[#This Row],[YearsAtCompany]]&lt;=10,"6-10 Years",
TRUE,"10+ Years")</f>
        <v>0-2 Years</v>
      </c>
    </row>
    <row r="112" spans="1:41"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tr">
        <f t="shared" si="2"/>
        <v>Healthcare</v>
      </c>
      <c r="AK112">
        <f t="shared" si="3"/>
        <v>0</v>
      </c>
      <c r="AL112">
        <f>IF(Table1[[#This Row],[Attrition]]="Yes", Table1[[#This Row],[MonthlyIncome]]*12*1.5, 0)</f>
        <v>0</v>
      </c>
      <c r="AM112" t="str" cm="1">
        <f t="array" ref="AM112">_xlfn.IFS(
Table1[[#This Row],[MonthlyIncome]]&lt;3000,"Under 3K",
Table1[[#This Row],[MonthlyIncome]]&lt;6000,"3K-6K",
Table1[[#This Row],[MonthlyIncome]]&lt;9000,"6K-9K",
Table1[[#This Row],[MonthlyIncome]]&lt;12000,"9K-12K",
TRUE,"12K+")</f>
        <v>6K-9K</v>
      </c>
      <c r="AN112">
        <f>1</f>
        <v>1</v>
      </c>
      <c r="AO112" t="str" cm="1">
        <f t="array" ref="AO112">_xlfn.IFS(
Table1[[#This Row],[YearsAtCompany]]&lt;=2,"0-2 Years",
Table1[[#This Row],[YearsAtCompany]]&lt;=5,"3-5 Years",
Table1[[#This Row],[YearsAtCompany]]&lt;=10,"6-10 Years",
TRUE,"10+ Years")</f>
        <v>10+ Years</v>
      </c>
    </row>
    <row r="113" spans="1:41"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tr">
        <f t="shared" si="2"/>
        <v>Research</v>
      </c>
      <c r="AK113">
        <f t="shared" si="3"/>
        <v>1</v>
      </c>
      <c r="AL113">
        <f>IF(Table1[[#This Row],[Attrition]]="Yes", Table1[[#This Row],[MonthlyIncome]]*12*1.5, 0)</f>
        <v>109332</v>
      </c>
      <c r="AM113" t="str" cm="1">
        <f t="array" ref="AM113">_xlfn.IFS(
Table1[[#This Row],[MonthlyIncome]]&lt;3000,"Under 3K",
Table1[[#This Row],[MonthlyIncome]]&lt;6000,"3K-6K",
Table1[[#This Row],[MonthlyIncome]]&lt;9000,"6K-9K",
Table1[[#This Row],[MonthlyIncome]]&lt;12000,"9K-12K",
TRUE,"12K+")</f>
        <v>6K-9K</v>
      </c>
      <c r="AN113">
        <f>1</f>
        <v>1</v>
      </c>
      <c r="AO113" t="str" cm="1">
        <f t="array" ref="AO113">_xlfn.IFS(
Table1[[#This Row],[YearsAtCompany]]&lt;=2,"0-2 Years",
Table1[[#This Row],[YearsAtCompany]]&lt;=5,"3-5 Years",
Table1[[#This Row],[YearsAtCompany]]&lt;=10,"6-10 Years",
TRUE,"10+ Years")</f>
        <v>6-10 Years</v>
      </c>
    </row>
    <row r="114" spans="1:41"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tr">
        <f t="shared" si="2"/>
        <v>Management</v>
      </c>
      <c r="AK114">
        <f t="shared" si="3"/>
        <v>0</v>
      </c>
      <c r="AL114">
        <f>IF(Table1[[#This Row],[Attrition]]="Yes", Table1[[#This Row],[MonthlyIncome]]*12*1.5, 0)</f>
        <v>0</v>
      </c>
      <c r="AM114" t="str" cm="1">
        <f t="array" ref="AM114">_xlfn.IFS(
Table1[[#This Row],[MonthlyIncome]]&lt;3000,"Under 3K",
Table1[[#This Row],[MonthlyIncome]]&lt;6000,"3K-6K",
Table1[[#This Row],[MonthlyIncome]]&lt;9000,"6K-9K",
Table1[[#This Row],[MonthlyIncome]]&lt;12000,"9K-12K",
TRUE,"12K+")</f>
        <v>12K+</v>
      </c>
      <c r="AN114">
        <f>1</f>
        <v>1</v>
      </c>
      <c r="AO114" t="str" cm="1">
        <f t="array" ref="AO114">_xlfn.IFS(
Table1[[#This Row],[YearsAtCompany]]&lt;=2,"0-2 Years",
Table1[[#This Row],[YearsAtCompany]]&lt;=5,"3-5 Years",
Table1[[#This Row],[YearsAtCompany]]&lt;=10,"6-10 Years",
TRUE,"10+ Years")</f>
        <v>3-5 Years</v>
      </c>
    </row>
    <row r="115" spans="1:41"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tr">
        <f t="shared" si="2"/>
        <v>Research</v>
      </c>
      <c r="AK115">
        <f t="shared" si="3"/>
        <v>0</v>
      </c>
      <c r="AL115">
        <f>IF(Table1[[#This Row],[Attrition]]="Yes", Table1[[#This Row],[MonthlyIncome]]*12*1.5, 0)</f>
        <v>0</v>
      </c>
      <c r="AM115" t="str" cm="1">
        <f t="array" ref="AM115">_xlfn.IFS(
Table1[[#This Row],[MonthlyIncome]]&lt;3000,"Under 3K",
Table1[[#This Row],[MonthlyIncome]]&lt;6000,"3K-6K",
Table1[[#This Row],[MonthlyIncome]]&lt;9000,"6K-9K",
Table1[[#This Row],[MonthlyIncome]]&lt;12000,"9K-12K",
TRUE,"12K+")</f>
        <v>Under 3K</v>
      </c>
      <c r="AN115">
        <f>1</f>
        <v>1</v>
      </c>
      <c r="AO115" t="str" cm="1">
        <f t="array" ref="AO115">_xlfn.IFS(
Table1[[#This Row],[YearsAtCompany]]&lt;=2,"0-2 Years",
Table1[[#This Row],[YearsAtCompany]]&lt;=5,"3-5 Years",
Table1[[#This Row],[YearsAtCompany]]&lt;=10,"6-10 Years",
TRUE,"10+ Years")</f>
        <v>3-5 Years</v>
      </c>
    </row>
    <row r="116" spans="1:41"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tr">
        <f t="shared" si="2"/>
        <v>Research</v>
      </c>
      <c r="AK116">
        <f t="shared" si="3"/>
        <v>0</v>
      </c>
      <c r="AL116">
        <f>IF(Table1[[#This Row],[Attrition]]="Yes", Table1[[#This Row],[MonthlyIncome]]*12*1.5, 0)</f>
        <v>0</v>
      </c>
      <c r="AM116" t="str" cm="1">
        <f t="array" ref="AM116">_xlfn.IFS(
Table1[[#This Row],[MonthlyIncome]]&lt;3000,"Under 3K",
Table1[[#This Row],[MonthlyIncome]]&lt;6000,"3K-6K",
Table1[[#This Row],[MonthlyIncome]]&lt;9000,"6K-9K",
Table1[[#This Row],[MonthlyIncome]]&lt;12000,"9K-12K",
TRUE,"12K+")</f>
        <v>3K-6K</v>
      </c>
      <c r="AN116">
        <f>1</f>
        <v>1</v>
      </c>
      <c r="AO116" t="str" cm="1">
        <f t="array" ref="AO116">_xlfn.IFS(
Table1[[#This Row],[YearsAtCompany]]&lt;=2,"0-2 Years",
Table1[[#This Row],[YearsAtCompany]]&lt;=5,"3-5 Years",
Table1[[#This Row],[YearsAtCompany]]&lt;=10,"6-10 Years",
TRUE,"10+ Years")</f>
        <v>0-2 Years</v>
      </c>
    </row>
    <row r="117" spans="1:41"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tr">
        <f t="shared" si="2"/>
        <v>Sales</v>
      </c>
      <c r="AK117">
        <f t="shared" si="3"/>
        <v>0</v>
      </c>
      <c r="AL117">
        <f>IF(Table1[[#This Row],[Attrition]]="Yes", Table1[[#This Row],[MonthlyIncome]]*12*1.5, 0)</f>
        <v>0</v>
      </c>
      <c r="AM117" t="str" cm="1">
        <f t="array" ref="AM117">_xlfn.IFS(
Table1[[#This Row],[MonthlyIncome]]&lt;3000,"Under 3K",
Table1[[#This Row],[MonthlyIncome]]&lt;6000,"3K-6K",
Table1[[#This Row],[MonthlyIncome]]&lt;9000,"6K-9K",
Table1[[#This Row],[MonthlyIncome]]&lt;12000,"9K-12K",
TRUE,"12K+")</f>
        <v>6K-9K</v>
      </c>
      <c r="AN117">
        <f>1</f>
        <v>1</v>
      </c>
      <c r="AO117" t="str" cm="1">
        <f t="array" ref="AO117">_xlfn.IFS(
Table1[[#This Row],[YearsAtCompany]]&lt;=2,"0-2 Years",
Table1[[#This Row],[YearsAtCompany]]&lt;=5,"3-5 Years",
Table1[[#This Row],[YearsAtCompany]]&lt;=10,"6-10 Years",
TRUE,"10+ Years")</f>
        <v>3-5 Years</v>
      </c>
    </row>
    <row r="118" spans="1:41"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tr">
        <f t="shared" si="2"/>
        <v>Management</v>
      </c>
      <c r="AK118">
        <f t="shared" si="3"/>
        <v>0</v>
      </c>
      <c r="AL118">
        <f>IF(Table1[[#This Row],[Attrition]]="Yes", Table1[[#This Row],[MonthlyIncome]]*12*1.5, 0)</f>
        <v>0</v>
      </c>
      <c r="AM118" t="str" cm="1">
        <f t="array" ref="AM118">_xlfn.IFS(
Table1[[#This Row],[MonthlyIncome]]&lt;3000,"Under 3K",
Table1[[#This Row],[MonthlyIncome]]&lt;6000,"3K-6K",
Table1[[#This Row],[MonthlyIncome]]&lt;9000,"6K-9K",
Table1[[#This Row],[MonthlyIncome]]&lt;12000,"9K-12K",
TRUE,"12K+")</f>
        <v>9K-12K</v>
      </c>
      <c r="AN118">
        <f>1</f>
        <v>1</v>
      </c>
      <c r="AO118" t="str" cm="1">
        <f t="array" ref="AO118">_xlfn.IFS(
Table1[[#This Row],[YearsAtCompany]]&lt;=2,"0-2 Years",
Table1[[#This Row],[YearsAtCompany]]&lt;=5,"3-5 Years",
Table1[[#This Row],[YearsAtCompany]]&lt;=10,"6-10 Years",
TRUE,"10+ Years")</f>
        <v>10+ Years</v>
      </c>
    </row>
    <row r="119" spans="1:41"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tr">
        <f t="shared" si="2"/>
        <v>Sales</v>
      </c>
      <c r="AK119">
        <f t="shared" si="3"/>
        <v>0</v>
      </c>
      <c r="AL119">
        <f>IF(Table1[[#This Row],[Attrition]]="Yes", Table1[[#This Row],[MonthlyIncome]]*12*1.5, 0)</f>
        <v>0</v>
      </c>
      <c r="AM119" t="str" cm="1">
        <f t="array" ref="AM119">_xlfn.IFS(
Table1[[#This Row],[MonthlyIncome]]&lt;3000,"Under 3K",
Table1[[#This Row],[MonthlyIncome]]&lt;6000,"3K-6K",
Table1[[#This Row],[MonthlyIncome]]&lt;9000,"6K-9K",
Table1[[#This Row],[MonthlyIncome]]&lt;12000,"9K-12K",
TRUE,"12K+")</f>
        <v>9K-12K</v>
      </c>
      <c r="AN119">
        <f>1</f>
        <v>1</v>
      </c>
      <c r="AO119" t="str" cm="1">
        <f t="array" ref="AO119">_xlfn.IFS(
Table1[[#This Row],[YearsAtCompany]]&lt;=2,"0-2 Years",
Table1[[#This Row],[YearsAtCompany]]&lt;=5,"3-5 Years",
Table1[[#This Row],[YearsAtCompany]]&lt;=10,"6-10 Years",
TRUE,"10+ Years")</f>
        <v>6-10 Years</v>
      </c>
    </row>
    <row r="120" spans="1:41"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tr">
        <f t="shared" si="2"/>
        <v>Research</v>
      </c>
      <c r="AK120">
        <f t="shared" si="3"/>
        <v>0</v>
      </c>
      <c r="AL120">
        <f>IF(Table1[[#This Row],[Attrition]]="Yes", Table1[[#This Row],[MonthlyIncome]]*12*1.5, 0)</f>
        <v>0</v>
      </c>
      <c r="AM120" t="str" cm="1">
        <f t="array" ref="AM120">_xlfn.IFS(
Table1[[#This Row],[MonthlyIncome]]&lt;3000,"Under 3K",
Table1[[#This Row],[MonthlyIncome]]&lt;6000,"3K-6K",
Table1[[#This Row],[MonthlyIncome]]&lt;9000,"6K-9K",
Table1[[#This Row],[MonthlyIncome]]&lt;12000,"9K-12K",
TRUE,"12K+")</f>
        <v>Under 3K</v>
      </c>
      <c r="AN120">
        <f>1</f>
        <v>1</v>
      </c>
      <c r="AO120" t="str" cm="1">
        <f t="array" ref="AO120">_xlfn.IFS(
Table1[[#This Row],[YearsAtCompany]]&lt;=2,"0-2 Years",
Table1[[#This Row],[YearsAtCompany]]&lt;=5,"3-5 Years",
Table1[[#This Row],[YearsAtCompany]]&lt;=10,"6-10 Years",
TRUE,"10+ Years")</f>
        <v>0-2 Years</v>
      </c>
    </row>
    <row r="121" spans="1:41"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tr">
        <f t="shared" si="2"/>
        <v>Management</v>
      </c>
      <c r="AK121">
        <f t="shared" si="3"/>
        <v>0</v>
      </c>
      <c r="AL121">
        <f>IF(Table1[[#This Row],[Attrition]]="Yes", Table1[[#This Row],[MonthlyIncome]]*12*1.5, 0)</f>
        <v>0</v>
      </c>
      <c r="AM121" t="str" cm="1">
        <f t="array" ref="AM121">_xlfn.IFS(
Table1[[#This Row],[MonthlyIncome]]&lt;3000,"Under 3K",
Table1[[#This Row],[MonthlyIncome]]&lt;6000,"3K-6K",
Table1[[#This Row],[MonthlyIncome]]&lt;9000,"6K-9K",
Table1[[#This Row],[MonthlyIncome]]&lt;12000,"9K-12K",
TRUE,"12K+")</f>
        <v>12K+</v>
      </c>
      <c r="AN121">
        <f>1</f>
        <v>1</v>
      </c>
      <c r="AO121" t="str" cm="1">
        <f t="array" ref="AO121">_xlfn.IFS(
Table1[[#This Row],[YearsAtCompany]]&lt;=2,"0-2 Years",
Table1[[#This Row],[YearsAtCompany]]&lt;=5,"3-5 Years",
Table1[[#This Row],[YearsAtCompany]]&lt;=10,"6-10 Years",
TRUE,"10+ Years")</f>
        <v>10+ Years</v>
      </c>
    </row>
    <row r="122" spans="1:41"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tr">
        <f t="shared" si="2"/>
        <v>Research</v>
      </c>
      <c r="AK122">
        <f t="shared" si="3"/>
        <v>0</v>
      </c>
      <c r="AL122">
        <f>IF(Table1[[#This Row],[Attrition]]="Yes", Table1[[#This Row],[MonthlyIncome]]*12*1.5, 0)</f>
        <v>0</v>
      </c>
      <c r="AM122" t="str" cm="1">
        <f t="array" ref="AM122">_xlfn.IFS(
Table1[[#This Row],[MonthlyIncome]]&lt;3000,"Under 3K",
Table1[[#This Row],[MonthlyIncome]]&lt;6000,"3K-6K",
Table1[[#This Row],[MonthlyIncome]]&lt;9000,"6K-9K",
Table1[[#This Row],[MonthlyIncome]]&lt;12000,"9K-12K",
TRUE,"12K+")</f>
        <v>Under 3K</v>
      </c>
      <c r="AN122">
        <f>1</f>
        <v>1</v>
      </c>
      <c r="AO122" t="str" cm="1">
        <f t="array" ref="AO122">_xlfn.IFS(
Table1[[#This Row],[YearsAtCompany]]&lt;=2,"0-2 Years",
Table1[[#This Row],[YearsAtCompany]]&lt;=5,"3-5 Years",
Table1[[#This Row],[YearsAtCompany]]&lt;=10,"6-10 Years",
TRUE,"10+ Years")</f>
        <v>6-10 Years</v>
      </c>
    </row>
    <row r="123" spans="1:41"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tr">
        <f t="shared" si="2"/>
        <v>Sales</v>
      </c>
      <c r="AK123">
        <f t="shared" si="3"/>
        <v>0</v>
      </c>
      <c r="AL123">
        <f>IF(Table1[[#This Row],[Attrition]]="Yes", Table1[[#This Row],[MonthlyIncome]]*12*1.5, 0)</f>
        <v>0</v>
      </c>
      <c r="AM123" t="str" cm="1">
        <f t="array" ref="AM123">_xlfn.IFS(
Table1[[#This Row],[MonthlyIncome]]&lt;3000,"Under 3K",
Table1[[#This Row],[MonthlyIncome]]&lt;6000,"3K-6K",
Table1[[#This Row],[MonthlyIncome]]&lt;9000,"6K-9K",
Table1[[#This Row],[MonthlyIncome]]&lt;12000,"9K-12K",
TRUE,"12K+")</f>
        <v>6K-9K</v>
      </c>
      <c r="AN123">
        <f>1</f>
        <v>1</v>
      </c>
      <c r="AO123" t="str" cm="1">
        <f t="array" ref="AO123">_xlfn.IFS(
Table1[[#This Row],[YearsAtCompany]]&lt;=2,"0-2 Years",
Table1[[#This Row],[YearsAtCompany]]&lt;=5,"3-5 Years",
Table1[[#This Row],[YearsAtCompany]]&lt;=10,"6-10 Years",
TRUE,"10+ Years")</f>
        <v>6-10 Years</v>
      </c>
    </row>
    <row r="124" spans="1:41"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tr">
        <f t="shared" si="2"/>
        <v>Research</v>
      </c>
      <c r="AK124">
        <f t="shared" si="3"/>
        <v>1</v>
      </c>
      <c r="AL124">
        <f>IF(Table1[[#This Row],[Attrition]]="Yes", Table1[[#This Row],[MonthlyIncome]]*12*1.5, 0)</f>
        <v>89334</v>
      </c>
      <c r="AM124" t="str" cm="1">
        <f t="array" ref="AM124">_xlfn.IFS(
Table1[[#This Row],[MonthlyIncome]]&lt;3000,"Under 3K",
Table1[[#This Row],[MonthlyIncome]]&lt;6000,"3K-6K",
Table1[[#This Row],[MonthlyIncome]]&lt;9000,"6K-9K",
Table1[[#This Row],[MonthlyIncome]]&lt;12000,"9K-12K",
TRUE,"12K+")</f>
        <v>3K-6K</v>
      </c>
      <c r="AN124">
        <f>1</f>
        <v>1</v>
      </c>
      <c r="AO124" t="str" cm="1">
        <f t="array" ref="AO124">_xlfn.IFS(
Table1[[#This Row],[YearsAtCompany]]&lt;=2,"0-2 Years",
Table1[[#This Row],[YearsAtCompany]]&lt;=5,"3-5 Years",
Table1[[#This Row],[YearsAtCompany]]&lt;=10,"6-10 Years",
TRUE,"10+ Years")</f>
        <v>3-5 Years</v>
      </c>
    </row>
    <row r="125" spans="1:41"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tr">
        <f t="shared" si="2"/>
        <v>Research</v>
      </c>
      <c r="AK125">
        <f t="shared" si="3"/>
        <v>0</v>
      </c>
      <c r="AL125">
        <f>IF(Table1[[#This Row],[Attrition]]="Yes", Table1[[#This Row],[MonthlyIncome]]*12*1.5, 0)</f>
        <v>0</v>
      </c>
      <c r="AM125" t="str" cm="1">
        <f t="array" ref="AM125">_xlfn.IFS(
Table1[[#This Row],[MonthlyIncome]]&lt;3000,"Under 3K",
Table1[[#This Row],[MonthlyIncome]]&lt;6000,"3K-6K",
Table1[[#This Row],[MonthlyIncome]]&lt;9000,"6K-9K",
Table1[[#This Row],[MonthlyIncome]]&lt;12000,"9K-12K",
TRUE,"12K+")</f>
        <v>12K+</v>
      </c>
      <c r="AN125">
        <f>1</f>
        <v>1</v>
      </c>
      <c r="AO125" t="str" cm="1">
        <f t="array" ref="AO125">_xlfn.IFS(
Table1[[#This Row],[YearsAtCompany]]&lt;=2,"0-2 Years",
Table1[[#This Row],[YearsAtCompany]]&lt;=5,"3-5 Years",
Table1[[#This Row],[YearsAtCompany]]&lt;=10,"6-10 Years",
TRUE,"10+ Years")</f>
        <v>10+ Years</v>
      </c>
    </row>
    <row r="126" spans="1:41"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tr">
        <f t="shared" si="2"/>
        <v>Sales</v>
      </c>
      <c r="AK126">
        <f t="shared" si="3"/>
        <v>1</v>
      </c>
      <c r="AL126">
        <f>IF(Table1[[#This Row],[Attrition]]="Yes", Table1[[#This Row],[MonthlyIncome]]*12*1.5, 0)</f>
        <v>111096</v>
      </c>
      <c r="AM126" t="str" cm="1">
        <f t="array" ref="AM126">_xlfn.IFS(
Table1[[#This Row],[MonthlyIncome]]&lt;3000,"Under 3K",
Table1[[#This Row],[MonthlyIncome]]&lt;6000,"3K-6K",
Table1[[#This Row],[MonthlyIncome]]&lt;9000,"6K-9K",
Table1[[#This Row],[MonthlyIncome]]&lt;12000,"9K-12K",
TRUE,"12K+")</f>
        <v>6K-9K</v>
      </c>
      <c r="AN126">
        <f>1</f>
        <v>1</v>
      </c>
      <c r="AO126" t="str" cm="1">
        <f t="array" ref="AO126">_xlfn.IFS(
Table1[[#This Row],[YearsAtCompany]]&lt;=2,"0-2 Years",
Table1[[#This Row],[YearsAtCompany]]&lt;=5,"3-5 Years",
Table1[[#This Row],[YearsAtCompany]]&lt;=10,"6-10 Years",
TRUE,"10+ Years")</f>
        <v>6-10 Years</v>
      </c>
    </row>
    <row r="127" spans="1:41"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f t="shared" si="2"/>
        <v>Research</v>
      </c>
      <c r="AK127">
        <f t="shared" si="3"/>
        <v>0</v>
      </c>
      <c r="AL127">
        <f>IF(Table1[[#This Row],[Attrition]]="Yes", Table1[[#This Row],[MonthlyIncome]]*12*1.5, 0)</f>
        <v>0</v>
      </c>
      <c r="AM127" t="str" cm="1">
        <f t="array" ref="AM127">_xlfn.IFS(
Table1[[#This Row],[MonthlyIncome]]&lt;3000,"Under 3K",
Table1[[#This Row],[MonthlyIncome]]&lt;6000,"3K-6K",
Table1[[#This Row],[MonthlyIncome]]&lt;9000,"6K-9K",
Table1[[#This Row],[MonthlyIncome]]&lt;12000,"9K-12K",
TRUE,"12K+")</f>
        <v>Under 3K</v>
      </c>
      <c r="AN127">
        <f>1</f>
        <v>1</v>
      </c>
      <c r="AO127" t="str" cm="1">
        <f t="array" ref="AO127">_xlfn.IFS(
Table1[[#This Row],[YearsAtCompany]]&lt;=2,"0-2 Years",
Table1[[#This Row],[YearsAtCompany]]&lt;=5,"3-5 Years",
Table1[[#This Row],[YearsAtCompany]]&lt;=10,"6-10 Years",
TRUE,"10+ Years")</f>
        <v>3-5 Years</v>
      </c>
    </row>
    <row r="128" spans="1:41"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tr">
        <f t="shared" si="2"/>
        <v>Healthcare</v>
      </c>
      <c r="AK128">
        <f t="shared" si="3"/>
        <v>1</v>
      </c>
      <c r="AL128">
        <f>IF(Table1[[#This Row],[Attrition]]="Yes", Table1[[#This Row],[MonthlyIncome]]*12*1.5, 0)</f>
        <v>185616</v>
      </c>
      <c r="AM128" t="str" cm="1">
        <f t="array" ref="AM128">_xlfn.IFS(
Table1[[#This Row],[MonthlyIncome]]&lt;3000,"Under 3K",
Table1[[#This Row],[MonthlyIncome]]&lt;6000,"3K-6K",
Table1[[#This Row],[MonthlyIncome]]&lt;9000,"6K-9K",
Table1[[#This Row],[MonthlyIncome]]&lt;12000,"9K-12K",
TRUE,"12K+")</f>
        <v>9K-12K</v>
      </c>
      <c r="AN128">
        <f>1</f>
        <v>1</v>
      </c>
      <c r="AO128" t="str" cm="1">
        <f t="array" ref="AO128">_xlfn.IFS(
Table1[[#This Row],[YearsAtCompany]]&lt;=2,"0-2 Years",
Table1[[#This Row],[YearsAtCompany]]&lt;=5,"3-5 Years",
Table1[[#This Row],[YearsAtCompany]]&lt;=10,"6-10 Years",
TRUE,"10+ Years")</f>
        <v>10+ Years</v>
      </c>
    </row>
    <row r="129" spans="1:41"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tr">
        <f t="shared" si="2"/>
        <v>Sales</v>
      </c>
      <c r="AK129">
        <f t="shared" si="3"/>
        <v>1</v>
      </c>
      <c r="AL129">
        <f>IF(Table1[[#This Row],[Attrition]]="Yes", Table1[[#This Row],[MonthlyIncome]]*12*1.5, 0)</f>
        <v>30150</v>
      </c>
      <c r="AM129" t="str" cm="1">
        <f t="array" ref="AM129">_xlfn.IFS(
Table1[[#This Row],[MonthlyIncome]]&lt;3000,"Under 3K",
Table1[[#This Row],[MonthlyIncome]]&lt;6000,"3K-6K",
Table1[[#This Row],[MonthlyIncome]]&lt;9000,"6K-9K",
Table1[[#This Row],[MonthlyIncome]]&lt;12000,"9K-12K",
TRUE,"12K+")</f>
        <v>Under 3K</v>
      </c>
      <c r="AN129">
        <f>1</f>
        <v>1</v>
      </c>
      <c r="AO129" t="str" cm="1">
        <f t="array" ref="AO129">_xlfn.IFS(
Table1[[#This Row],[YearsAtCompany]]&lt;=2,"0-2 Years",
Table1[[#This Row],[YearsAtCompany]]&lt;=5,"3-5 Years",
Table1[[#This Row],[YearsAtCompany]]&lt;=10,"6-10 Years",
TRUE,"10+ Years")</f>
        <v>0-2 Years</v>
      </c>
    </row>
    <row r="130" spans="1:41"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tr">
        <f t="shared" si="2"/>
        <v>Research</v>
      </c>
      <c r="AK130">
        <f t="shared" si="3"/>
        <v>0</v>
      </c>
      <c r="AL130">
        <f>IF(Table1[[#This Row],[Attrition]]="Yes", Table1[[#This Row],[MonthlyIncome]]*12*1.5, 0)</f>
        <v>0</v>
      </c>
      <c r="AM130" t="str" cm="1">
        <f t="array" ref="AM130">_xlfn.IFS(
Table1[[#This Row],[MonthlyIncome]]&lt;3000,"Under 3K",
Table1[[#This Row],[MonthlyIncome]]&lt;6000,"3K-6K",
Table1[[#This Row],[MonthlyIncome]]&lt;9000,"6K-9K",
Table1[[#This Row],[MonthlyIncome]]&lt;12000,"9K-12K",
TRUE,"12K+")</f>
        <v>Under 3K</v>
      </c>
      <c r="AN130">
        <f>1</f>
        <v>1</v>
      </c>
      <c r="AO130" t="str" cm="1">
        <f t="array" ref="AO130">_xlfn.IFS(
Table1[[#This Row],[YearsAtCompany]]&lt;=2,"0-2 Years",
Table1[[#This Row],[YearsAtCompany]]&lt;=5,"3-5 Years",
Table1[[#This Row],[YearsAtCompany]]&lt;=10,"6-10 Years",
TRUE,"10+ Years")</f>
        <v>0-2 Years</v>
      </c>
    </row>
    <row r="131" spans="1:41"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tr">
        <f t="shared" ref="AJ131:AJ194" si="4">_xlfn.XLOOKUP(P131, $AP$2:$AP$10,$AQ$2:$AQ$10)</f>
        <v>Operations</v>
      </c>
      <c r="AK131">
        <f t="shared" ref="AK131:AK194" si="5">IF(B131 ="Yes",1,0)</f>
        <v>0</v>
      </c>
      <c r="AL131">
        <f>IF(Table1[[#This Row],[Attrition]]="Yes", Table1[[#This Row],[MonthlyIncome]]*12*1.5, 0)</f>
        <v>0</v>
      </c>
      <c r="AM131" t="str" cm="1">
        <f t="array" ref="AM131">_xlfn.IFS(
Table1[[#This Row],[MonthlyIncome]]&lt;3000,"Under 3K",
Table1[[#This Row],[MonthlyIncome]]&lt;6000,"3K-6K",
Table1[[#This Row],[MonthlyIncome]]&lt;9000,"6K-9K",
Table1[[#This Row],[MonthlyIncome]]&lt;12000,"9K-12K",
TRUE,"12K+")</f>
        <v>6K-9K</v>
      </c>
      <c r="AN131">
        <f>1</f>
        <v>1</v>
      </c>
      <c r="AO131" t="str" cm="1">
        <f t="array" ref="AO131">_xlfn.IFS(
Table1[[#This Row],[YearsAtCompany]]&lt;=2,"0-2 Years",
Table1[[#This Row],[YearsAtCompany]]&lt;=5,"3-5 Years",
Table1[[#This Row],[YearsAtCompany]]&lt;=10,"6-10 Years",
TRUE,"10+ Years")</f>
        <v>10+ Years</v>
      </c>
    </row>
    <row r="132" spans="1:41"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tr">
        <f t="shared" si="4"/>
        <v>Research</v>
      </c>
      <c r="AK132">
        <f t="shared" si="5"/>
        <v>0</v>
      </c>
      <c r="AL132">
        <f>IF(Table1[[#This Row],[Attrition]]="Yes", Table1[[#This Row],[MonthlyIncome]]*12*1.5, 0)</f>
        <v>0</v>
      </c>
      <c r="AM132" t="str" cm="1">
        <f t="array" ref="AM132">_xlfn.IFS(
Table1[[#This Row],[MonthlyIncome]]&lt;3000,"Under 3K",
Table1[[#This Row],[MonthlyIncome]]&lt;6000,"3K-6K",
Table1[[#This Row],[MonthlyIncome]]&lt;9000,"6K-9K",
Table1[[#This Row],[MonthlyIncome]]&lt;12000,"9K-12K",
TRUE,"12K+")</f>
        <v>3K-6K</v>
      </c>
      <c r="AN132">
        <f>1</f>
        <v>1</v>
      </c>
      <c r="AO132" t="str" cm="1">
        <f t="array" ref="AO132">_xlfn.IFS(
Table1[[#This Row],[YearsAtCompany]]&lt;=2,"0-2 Years",
Table1[[#This Row],[YearsAtCompany]]&lt;=5,"3-5 Years",
Table1[[#This Row],[YearsAtCompany]]&lt;=10,"6-10 Years",
TRUE,"10+ Years")</f>
        <v>3-5 Years</v>
      </c>
    </row>
    <row r="133" spans="1:41"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tr">
        <f t="shared" si="4"/>
        <v>Sales</v>
      </c>
      <c r="AK133">
        <f t="shared" si="5"/>
        <v>0</v>
      </c>
      <c r="AL133">
        <f>IF(Table1[[#This Row],[Attrition]]="Yes", Table1[[#This Row],[MonthlyIncome]]*12*1.5, 0)</f>
        <v>0</v>
      </c>
      <c r="AM133" t="str" cm="1">
        <f t="array" ref="AM133">_xlfn.IFS(
Table1[[#This Row],[MonthlyIncome]]&lt;3000,"Under 3K",
Table1[[#This Row],[MonthlyIncome]]&lt;6000,"3K-6K",
Table1[[#This Row],[MonthlyIncome]]&lt;9000,"6K-9K",
Table1[[#This Row],[MonthlyIncome]]&lt;12000,"9K-12K",
TRUE,"12K+")</f>
        <v>9K-12K</v>
      </c>
      <c r="AN133">
        <f>1</f>
        <v>1</v>
      </c>
      <c r="AO133" t="str" cm="1">
        <f t="array" ref="AO133">_xlfn.IFS(
Table1[[#This Row],[YearsAtCompany]]&lt;=2,"0-2 Years",
Table1[[#This Row],[YearsAtCompany]]&lt;=5,"3-5 Years",
Table1[[#This Row],[YearsAtCompany]]&lt;=10,"6-10 Years",
TRUE,"10+ Years")</f>
        <v>0-2 Years</v>
      </c>
    </row>
    <row r="134" spans="1:41"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tr">
        <f t="shared" si="4"/>
        <v>Sales</v>
      </c>
      <c r="AK134">
        <f t="shared" si="5"/>
        <v>1</v>
      </c>
      <c r="AL134">
        <f>IF(Table1[[#This Row],[Attrition]]="Yes", Table1[[#This Row],[MonthlyIncome]]*12*1.5, 0)</f>
        <v>82062</v>
      </c>
      <c r="AM134" t="str" cm="1">
        <f t="array" ref="AM134">_xlfn.IFS(
Table1[[#This Row],[MonthlyIncome]]&lt;3000,"Under 3K",
Table1[[#This Row],[MonthlyIncome]]&lt;6000,"3K-6K",
Table1[[#This Row],[MonthlyIncome]]&lt;9000,"6K-9K",
Table1[[#This Row],[MonthlyIncome]]&lt;12000,"9K-12K",
TRUE,"12K+")</f>
        <v>3K-6K</v>
      </c>
      <c r="AN134">
        <f>1</f>
        <v>1</v>
      </c>
      <c r="AO134" t="str" cm="1">
        <f t="array" ref="AO134">_xlfn.IFS(
Table1[[#This Row],[YearsAtCompany]]&lt;=2,"0-2 Years",
Table1[[#This Row],[YearsAtCompany]]&lt;=5,"3-5 Years",
Table1[[#This Row],[YearsAtCompany]]&lt;=10,"6-10 Years",
TRUE,"10+ Years")</f>
        <v>0-2 Years</v>
      </c>
    </row>
    <row r="135" spans="1:41"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tr">
        <f t="shared" si="4"/>
        <v>Sales</v>
      </c>
      <c r="AK135">
        <f t="shared" si="5"/>
        <v>0</v>
      </c>
      <c r="AL135">
        <f>IF(Table1[[#This Row],[Attrition]]="Yes", Table1[[#This Row],[MonthlyIncome]]*12*1.5, 0)</f>
        <v>0</v>
      </c>
      <c r="AM135" t="str" cm="1">
        <f t="array" ref="AM135">_xlfn.IFS(
Table1[[#This Row],[MonthlyIncome]]&lt;3000,"Under 3K",
Table1[[#This Row],[MonthlyIncome]]&lt;6000,"3K-6K",
Table1[[#This Row],[MonthlyIncome]]&lt;9000,"6K-9K",
Table1[[#This Row],[MonthlyIncome]]&lt;12000,"9K-12K",
TRUE,"12K+")</f>
        <v>6K-9K</v>
      </c>
      <c r="AN135">
        <f>1</f>
        <v>1</v>
      </c>
      <c r="AO135" t="str" cm="1">
        <f t="array" ref="AO135">_xlfn.IFS(
Table1[[#This Row],[YearsAtCompany]]&lt;=2,"0-2 Years",
Table1[[#This Row],[YearsAtCompany]]&lt;=5,"3-5 Years",
Table1[[#This Row],[YearsAtCompany]]&lt;=10,"6-10 Years",
TRUE,"10+ Years")</f>
        <v>6-10 Years</v>
      </c>
    </row>
    <row r="136" spans="1:41"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tr">
        <f t="shared" si="4"/>
        <v>Human Resources</v>
      </c>
      <c r="AK136">
        <f t="shared" si="5"/>
        <v>0</v>
      </c>
      <c r="AL136">
        <f>IF(Table1[[#This Row],[Attrition]]="Yes", Table1[[#This Row],[MonthlyIncome]]*12*1.5, 0)</f>
        <v>0</v>
      </c>
      <c r="AM136" t="str" cm="1">
        <f t="array" ref="AM136">_xlfn.IFS(
Table1[[#This Row],[MonthlyIncome]]&lt;3000,"Under 3K",
Table1[[#This Row],[MonthlyIncome]]&lt;6000,"3K-6K",
Table1[[#This Row],[MonthlyIncome]]&lt;9000,"6K-9K",
Table1[[#This Row],[MonthlyIncome]]&lt;12000,"9K-12K",
TRUE,"12K+")</f>
        <v>Under 3K</v>
      </c>
      <c r="AN136">
        <f>1</f>
        <v>1</v>
      </c>
      <c r="AO136" t="str" cm="1">
        <f t="array" ref="AO136">_xlfn.IFS(
Table1[[#This Row],[YearsAtCompany]]&lt;=2,"0-2 Years",
Table1[[#This Row],[YearsAtCompany]]&lt;=5,"3-5 Years",
Table1[[#This Row],[YearsAtCompany]]&lt;=10,"6-10 Years",
TRUE,"10+ Years")</f>
        <v>6-10 Years</v>
      </c>
    </row>
    <row r="137" spans="1:41"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tr">
        <f t="shared" si="4"/>
        <v>Operations</v>
      </c>
      <c r="AK137">
        <f t="shared" si="5"/>
        <v>0</v>
      </c>
      <c r="AL137">
        <f>IF(Table1[[#This Row],[Attrition]]="Yes", Table1[[#This Row],[MonthlyIncome]]*12*1.5, 0)</f>
        <v>0</v>
      </c>
      <c r="AM137" t="str" cm="1">
        <f t="array" ref="AM137">_xlfn.IFS(
Table1[[#This Row],[MonthlyIncome]]&lt;3000,"Under 3K",
Table1[[#This Row],[MonthlyIncome]]&lt;6000,"3K-6K",
Table1[[#This Row],[MonthlyIncome]]&lt;9000,"6K-9K",
Table1[[#This Row],[MonthlyIncome]]&lt;12000,"9K-12K",
TRUE,"12K+")</f>
        <v>3K-6K</v>
      </c>
      <c r="AN137">
        <f>1</f>
        <v>1</v>
      </c>
      <c r="AO137" t="str" cm="1">
        <f t="array" ref="AO137">_xlfn.IFS(
Table1[[#This Row],[YearsAtCompany]]&lt;=2,"0-2 Years",
Table1[[#This Row],[YearsAtCompany]]&lt;=5,"3-5 Years",
Table1[[#This Row],[YearsAtCompany]]&lt;=10,"6-10 Years",
TRUE,"10+ Years")</f>
        <v>3-5 Years</v>
      </c>
    </row>
    <row r="138" spans="1:41"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tr">
        <f t="shared" si="4"/>
        <v>Operations</v>
      </c>
      <c r="AK138">
        <f t="shared" si="5"/>
        <v>1</v>
      </c>
      <c r="AL138">
        <f>IF(Table1[[#This Row],[Attrition]]="Yes", Table1[[#This Row],[MonthlyIncome]]*12*1.5, 0)</f>
        <v>191700</v>
      </c>
      <c r="AM138" t="str" cm="1">
        <f t="array" ref="AM138">_xlfn.IFS(
Table1[[#This Row],[MonthlyIncome]]&lt;3000,"Under 3K",
Table1[[#This Row],[MonthlyIncome]]&lt;6000,"3K-6K",
Table1[[#This Row],[MonthlyIncome]]&lt;9000,"6K-9K",
Table1[[#This Row],[MonthlyIncome]]&lt;12000,"9K-12K",
TRUE,"12K+")</f>
        <v>9K-12K</v>
      </c>
      <c r="AN138">
        <f>1</f>
        <v>1</v>
      </c>
      <c r="AO138" t="str" cm="1">
        <f t="array" ref="AO138">_xlfn.IFS(
Table1[[#This Row],[YearsAtCompany]]&lt;=2,"0-2 Years",
Table1[[#This Row],[YearsAtCompany]]&lt;=5,"3-5 Years",
Table1[[#This Row],[YearsAtCompany]]&lt;=10,"6-10 Years",
TRUE,"10+ Years")</f>
        <v>3-5 Years</v>
      </c>
    </row>
    <row r="139" spans="1:41"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tr">
        <f t="shared" si="4"/>
        <v>Sales</v>
      </c>
      <c r="AK139">
        <f t="shared" si="5"/>
        <v>0</v>
      </c>
      <c r="AL139">
        <f>IF(Table1[[#This Row],[Attrition]]="Yes", Table1[[#This Row],[MonthlyIncome]]*12*1.5, 0)</f>
        <v>0</v>
      </c>
      <c r="AM139" t="str" cm="1">
        <f t="array" ref="AM139">_xlfn.IFS(
Table1[[#This Row],[MonthlyIncome]]&lt;3000,"Under 3K",
Table1[[#This Row],[MonthlyIncome]]&lt;6000,"3K-6K",
Table1[[#This Row],[MonthlyIncome]]&lt;9000,"6K-9K",
Table1[[#This Row],[MonthlyIncome]]&lt;12000,"9K-12K",
TRUE,"12K+")</f>
        <v>3K-6K</v>
      </c>
      <c r="AN139">
        <f>1</f>
        <v>1</v>
      </c>
      <c r="AO139" t="str" cm="1">
        <f t="array" ref="AO139">_xlfn.IFS(
Table1[[#This Row],[YearsAtCompany]]&lt;=2,"0-2 Years",
Table1[[#This Row],[YearsAtCompany]]&lt;=5,"3-5 Years",
Table1[[#This Row],[YearsAtCompany]]&lt;=10,"6-10 Years",
TRUE,"10+ Years")</f>
        <v>10+ Years</v>
      </c>
    </row>
    <row r="140" spans="1:41"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tr">
        <f t="shared" si="4"/>
        <v>Sales</v>
      </c>
      <c r="AK140">
        <f t="shared" si="5"/>
        <v>0</v>
      </c>
      <c r="AL140">
        <f>IF(Table1[[#This Row],[Attrition]]="Yes", Table1[[#This Row],[MonthlyIncome]]*12*1.5, 0)</f>
        <v>0</v>
      </c>
      <c r="AM140" t="str" cm="1">
        <f t="array" ref="AM140">_xlfn.IFS(
Table1[[#This Row],[MonthlyIncome]]&lt;3000,"Under 3K",
Table1[[#This Row],[MonthlyIncome]]&lt;6000,"3K-6K",
Table1[[#This Row],[MonthlyIncome]]&lt;9000,"6K-9K",
Table1[[#This Row],[MonthlyIncome]]&lt;12000,"9K-12K",
TRUE,"12K+")</f>
        <v>6K-9K</v>
      </c>
      <c r="AN140">
        <f>1</f>
        <v>1</v>
      </c>
      <c r="AO140" t="str" cm="1">
        <f t="array" ref="AO140">_xlfn.IFS(
Table1[[#This Row],[YearsAtCompany]]&lt;=2,"0-2 Years",
Table1[[#This Row],[YearsAtCompany]]&lt;=5,"3-5 Years",
Table1[[#This Row],[YearsAtCompany]]&lt;=10,"6-10 Years",
TRUE,"10+ Years")</f>
        <v>0-2 Years</v>
      </c>
    </row>
    <row r="141" spans="1:41"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tr">
        <f t="shared" si="4"/>
        <v>Human Resources</v>
      </c>
      <c r="AK141">
        <f t="shared" si="5"/>
        <v>0</v>
      </c>
      <c r="AL141">
        <f>IF(Table1[[#This Row],[Attrition]]="Yes", Table1[[#This Row],[MonthlyIncome]]*12*1.5, 0)</f>
        <v>0</v>
      </c>
      <c r="AM141" t="str" cm="1">
        <f t="array" ref="AM141">_xlfn.IFS(
Table1[[#This Row],[MonthlyIncome]]&lt;3000,"Under 3K",
Table1[[#This Row],[MonthlyIncome]]&lt;6000,"3K-6K",
Table1[[#This Row],[MonthlyIncome]]&lt;9000,"6K-9K",
Table1[[#This Row],[MonthlyIncome]]&lt;12000,"9K-12K",
TRUE,"12K+")</f>
        <v>6K-9K</v>
      </c>
      <c r="AN141">
        <f>1</f>
        <v>1</v>
      </c>
      <c r="AO141" t="str" cm="1">
        <f t="array" ref="AO141">_xlfn.IFS(
Table1[[#This Row],[YearsAtCompany]]&lt;=2,"0-2 Years",
Table1[[#This Row],[YearsAtCompany]]&lt;=5,"3-5 Years",
Table1[[#This Row],[YearsAtCompany]]&lt;=10,"6-10 Years",
TRUE,"10+ Years")</f>
        <v>10+ Years</v>
      </c>
    </row>
    <row r="142" spans="1:41"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tr">
        <f t="shared" si="4"/>
        <v>Research</v>
      </c>
      <c r="AK142">
        <f t="shared" si="5"/>
        <v>1</v>
      </c>
      <c r="AL142">
        <f>IF(Table1[[#This Row],[Attrition]]="Yes", Table1[[#This Row],[MonthlyIncome]]*12*1.5, 0)</f>
        <v>75600</v>
      </c>
      <c r="AM142" t="str" cm="1">
        <f t="array" ref="AM142">_xlfn.IFS(
Table1[[#This Row],[MonthlyIncome]]&lt;3000,"Under 3K",
Table1[[#This Row],[MonthlyIncome]]&lt;6000,"3K-6K",
Table1[[#This Row],[MonthlyIncome]]&lt;9000,"6K-9K",
Table1[[#This Row],[MonthlyIncome]]&lt;12000,"9K-12K",
TRUE,"12K+")</f>
        <v>3K-6K</v>
      </c>
      <c r="AN142">
        <f>1</f>
        <v>1</v>
      </c>
      <c r="AO142" t="str" cm="1">
        <f t="array" ref="AO142">_xlfn.IFS(
Table1[[#This Row],[YearsAtCompany]]&lt;=2,"0-2 Years",
Table1[[#This Row],[YearsAtCompany]]&lt;=5,"3-5 Years",
Table1[[#This Row],[YearsAtCompany]]&lt;=10,"6-10 Years",
TRUE,"10+ Years")</f>
        <v>3-5 Years</v>
      </c>
    </row>
    <row r="143" spans="1:41"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tr">
        <f t="shared" si="4"/>
        <v>Research</v>
      </c>
      <c r="AK143">
        <f t="shared" si="5"/>
        <v>0</v>
      </c>
      <c r="AL143">
        <f>IF(Table1[[#This Row],[Attrition]]="Yes", Table1[[#This Row],[MonthlyIncome]]*12*1.5, 0)</f>
        <v>0</v>
      </c>
      <c r="AM143" t="str" cm="1">
        <f t="array" ref="AM143">_xlfn.IFS(
Table1[[#This Row],[MonthlyIncome]]&lt;3000,"Under 3K",
Table1[[#This Row],[MonthlyIncome]]&lt;6000,"3K-6K",
Table1[[#This Row],[MonthlyIncome]]&lt;9000,"6K-9K",
Table1[[#This Row],[MonthlyIncome]]&lt;12000,"9K-12K",
TRUE,"12K+")</f>
        <v>3K-6K</v>
      </c>
      <c r="AN143">
        <f>1</f>
        <v>1</v>
      </c>
      <c r="AO143" t="str" cm="1">
        <f t="array" ref="AO143">_xlfn.IFS(
Table1[[#This Row],[YearsAtCompany]]&lt;=2,"0-2 Years",
Table1[[#This Row],[YearsAtCompany]]&lt;=5,"3-5 Years",
Table1[[#This Row],[YearsAtCompany]]&lt;=10,"6-10 Years",
TRUE,"10+ Years")</f>
        <v>6-10 Years</v>
      </c>
    </row>
    <row r="144" spans="1:41"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tr">
        <f t="shared" si="4"/>
        <v>Research</v>
      </c>
      <c r="AK144">
        <f t="shared" si="5"/>
        <v>0</v>
      </c>
      <c r="AL144">
        <f>IF(Table1[[#This Row],[Attrition]]="Yes", Table1[[#This Row],[MonthlyIncome]]*12*1.5, 0)</f>
        <v>0</v>
      </c>
      <c r="AM144" t="str" cm="1">
        <f t="array" ref="AM144">_xlfn.IFS(
Table1[[#This Row],[MonthlyIncome]]&lt;3000,"Under 3K",
Table1[[#This Row],[MonthlyIncome]]&lt;6000,"3K-6K",
Table1[[#This Row],[MonthlyIncome]]&lt;9000,"6K-9K",
Table1[[#This Row],[MonthlyIncome]]&lt;12000,"9K-12K",
TRUE,"12K+")</f>
        <v>3K-6K</v>
      </c>
      <c r="AN144">
        <f>1</f>
        <v>1</v>
      </c>
      <c r="AO144" t="str" cm="1">
        <f t="array" ref="AO144">_xlfn.IFS(
Table1[[#This Row],[YearsAtCompany]]&lt;=2,"0-2 Years",
Table1[[#This Row],[YearsAtCompany]]&lt;=5,"3-5 Years",
Table1[[#This Row],[YearsAtCompany]]&lt;=10,"6-10 Years",
TRUE,"10+ Years")</f>
        <v>3-5 Years</v>
      </c>
    </row>
    <row r="145" spans="1:41"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tr">
        <f t="shared" si="4"/>
        <v>Research</v>
      </c>
      <c r="AK145">
        <f t="shared" si="5"/>
        <v>0</v>
      </c>
      <c r="AL145">
        <f>IF(Table1[[#This Row],[Attrition]]="Yes", Table1[[#This Row],[MonthlyIncome]]*12*1.5, 0)</f>
        <v>0</v>
      </c>
      <c r="AM145" t="str" cm="1">
        <f t="array" ref="AM145">_xlfn.IFS(
Table1[[#This Row],[MonthlyIncome]]&lt;3000,"Under 3K",
Table1[[#This Row],[MonthlyIncome]]&lt;6000,"3K-6K",
Table1[[#This Row],[MonthlyIncome]]&lt;9000,"6K-9K",
Table1[[#This Row],[MonthlyIncome]]&lt;12000,"9K-12K",
TRUE,"12K+")</f>
        <v>Under 3K</v>
      </c>
      <c r="AN145">
        <f>1</f>
        <v>1</v>
      </c>
      <c r="AO145" t="str" cm="1">
        <f t="array" ref="AO145">_xlfn.IFS(
Table1[[#This Row],[YearsAtCompany]]&lt;=2,"0-2 Years",
Table1[[#This Row],[YearsAtCompany]]&lt;=5,"3-5 Years",
Table1[[#This Row],[YearsAtCompany]]&lt;=10,"6-10 Years",
TRUE,"10+ Years")</f>
        <v>3-5 Years</v>
      </c>
    </row>
    <row r="146" spans="1:41"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tr">
        <f t="shared" si="4"/>
        <v>Sales</v>
      </c>
      <c r="AK146">
        <f t="shared" si="5"/>
        <v>0</v>
      </c>
      <c r="AL146">
        <f>IF(Table1[[#This Row],[Attrition]]="Yes", Table1[[#This Row],[MonthlyIncome]]*12*1.5, 0)</f>
        <v>0</v>
      </c>
      <c r="AM146" t="str" cm="1">
        <f t="array" ref="AM146">_xlfn.IFS(
Table1[[#This Row],[MonthlyIncome]]&lt;3000,"Under 3K",
Table1[[#This Row],[MonthlyIncome]]&lt;6000,"3K-6K",
Table1[[#This Row],[MonthlyIncome]]&lt;9000,"6K-9K",
Table1[[#This Row],[MonthlyIncome]]&lt;12000,"9K-12K",
TRUE,"12K+")</f>
        <v>3K-6K</v>
      </c>
      <c r="AN146">
        <f>1</f>
        <v>1</v>
      </c>
      <c r="AO146" t="str" cm="1">
        <f t="array" ref="AO146">_xlfn.IFS(
Table1[[#This Row],[YearsAtCompany]]&lt;=2,"0-2 Years",
Table1[[#This Row],[YearsAtCompany]]&lt;=5,"3-5 Years",
Table1[[#This Row],[YearsAtCompany]]&lt;=10,"6-10 Years",
TRUE,"10+ Years")</f>
        <v>6-10 Years</v>
      </c>
    </row>
    <row r="147" spans="1:41"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tr">
        <f t="shared" si="4"/>
        <v>Research</v>
      </c>
      <c r="AK147">
        <f t="shared" si="5"/>
        <v>0</v>
      </c>
      <c r="AL147">
        <f>IF(Table1[[#This Row],[Attrition]]="Yes", Table1[[#This Row],[MonthlyIncome]]*12*1.5, 0)</f>
        <v>0</v>
      </c>
      <c r="AM147" t="str" cm="1">
        <f t="array" ref="AM147">_xlfn.IFS(
Table1[[#This Row],[MonthlyIncome]]&lt;3000,"Under 3K",
Table1[[#This Row],[MonthlyIncome]]&lt;6000,"3K-6K",
Table1[[#This Row],[MonthlyIncome]]&lt;9000,"6K-9K",
Table1[[#This Row],[MonthlyIncome]]&lt;12000,"9K-12K",
TRUE,"12K+")</f>
        <v>3K-6K</v>
      </c>
      <c r="AN147">
        <f>1</f>
        <v>1</v>
      </c>
      <c r="AO147" t="str" cm="1">
        <f t="array" ref="AO147">_xlfn.IFS(
Table1[[#This Row],[YearsAtCompany]]&lt;=2,"0-2 Years",
Table1[[#This Row],[YearsAtCompany]]&lt;=5,"3-5 Years",
Table1[[#This Row],[YearsAtCompany]]&lt;=10,"6-10 Years",
TRUE,"10+ Years")</f>
        <v>3-5 Years</v>
      </c>
    </row>
    <row r="148" spans="1:41"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tr">
        <f t="shared" si="4"/>
        <v>Research</v>
      </c>
      <c r="AK148">
        <f t="shared" si="5"/>
        <v>0</v>
      </c>
      <c r="AL148">
        <f>IF(Table1[[#This Row],[Attrition]]="Yes", Table1[[#This Row],[MonthlyIncome]]*12*1.5, 0)</f>
        <v>0</v>
      </c>
      <c r="AM148" t="str" cm="1">
        <f t="array" ref="AM148">_xlfn.IFS(
Table1[[#This Row],[MonthlyIncome]]&lt;3000,"Under 3K",
Table1[[#This Row],[MonthlyIncome]]&lt;6000,"3K-6K",
Table1[[#This Row],[MonthlyIncome]]&lt;9000,"6K-9K",
Table1[[#This Row],[MonthlyIncome]]&lt;12000,"9K-12K",
TRUE,"12K+")</f>
        <v>Under 3K</v>
      </c>
      <c r="AN148">
        <f>1</f>
        <v>1</v>
      </c>
      <c r="AO148" t="str" cm="1">
        <f t="array" ref="AO148">_xlfn.IFS(
Table1[[#This Row],[YearsAtCompany]]&lt;=2,"0-2 Years",
Table1[[#This Row],[YearsAtCompany]]&lt;=5,"3-5 Years",
Table1[[#This Row],[YearsAtCompany]]&lt;=10,"6-10 Years",
TRUE,"10+ Years")</f>
        <v>3-5 Years</v>
      </c>
    </row>
    <row r="149" spans="1:41"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tr">
        <f t="shared" si="4"/>
        <v>Management</v>
      </c>
      <c r="AK149">
        <f t="shared" si="5"/>
        <v>0</v>
      </c>
      <c r="AL149">
        <f>IF(Table1[[#This Row],[Attrition]]="Yes", Table1[[#This Row],[MonthlyIncome]]*12*1.5, 0)</f>
        <v>0</v>
      </c>
      <c r="AM149" t="str" cm="1">
        <f t="array" ref="AM149">_xlfn.IFS(
Table1[[#This Row],[MonthlyIncome]]&lt;3000,"Under 3K",
Table1[[#This Row],[MonthlyIncome]]&lt;6000,"3K-6K",
Table1[[#This Row],[MonthlyIncome]]&lt;9000,"6K-9K",
Table1[[#This Row],[MonthlyIncome]]&lt;12000,"9K-12K",
TRUE,"12K+")</f>
        <v>12K+</v>
      </c>
      <c r="AN149">
        <f>1</f>
        <v>1</v>
      </c>
      <c r="AO149" t="str" cm="1">
        <f t="array" ref="AO149">_xlfn.IFS(
Table1[[#This Row],[YearsAtCompany]]&lt;=2,"0-2 Years",
Table1[[#This Row],[YearsAtCompany]]&lt;=5,"3-5 Years",
Table1[[#This Row],[YearsAtCompany]]&lt;=10,"6-10 Years",
TRUE,"10+ Years")</f>
        <v>6-10 Years</v>
      </c>
    </row>
    <row r="150" spans="1:41"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tr">
        <f t="shared" si="4"/>
        <v>Research</v>
      </c>
      <c r="AK150">
        <f t="shared" si="5"/>
        <v>0</v>
      </c>
      <c r="AL150">
        <f>IF(Table1[[#This Row],[Attrition]]="Yes", Table1[[#This Row],[MonthlyIncome]]*12*1.5, 0)</f>
        <v>0</v>
      </c>
      <c r="AM150" t="str" cm="1">
        <f t="array" ref="AM150">_xlfn.IFS(
Table1[[#This Row],[MonthlyIncome]]&lt;3000,"Under 3K",
Table1[[#This Row],[MonthlyIncome]]&lt;6000,"3K-6K",
Table1[[#This Row],[MonthlyIncome]]&lt;9000,"6K-9K",
Table1[[#This Row],[MonthlyIncome]]&lt;12000,"9K-12K",
TRUE,"12K+")</f>
        <v>Under 3K</v>
      </c>
      <c r="AN150">
        <f>1</f>
        <v>1</v>
      </c>
      <c r="AO150" t="str" cm="1">
        <f t="array" ref="AO150">_xlfn.IFS(
Table1[[#This Row],[YearsAtCompany]]&lt;=2,"0-2 Years",
Table1[[#This Row],[YearsAtCompany]]&lt;=5,"3-5 Years",
Table1[[#This Row],[YearsAtCompany]]&lt;=10,"6-10 Years",
TRUE,"10+ Years")</f>
        <v>3-5 Years</v>
      </c>
    </row>
    <row r="151" spans="1:41"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tr">
        <f t="shared" si="4"/>
        <v>Research</v>
      </c>
      <c r="AK151">
        <f t="shared" si="5"/>
        <v>0</v>
      </c>
      <c r="AL151">
        <f>IF(Table1[[#This Row],[Attrition]]="Yes", Table1[[#This Row],[MonthlyIncome]]*12*1.5, 0)</f>
        <v>0</v>
      </c>
      <c r="AM151" t="str" cm="1">
        <f t="array" ref="AM151">_xlfn.IFS(
Table1[[#This Row],[MonthlyIncome]]&lt;3000,"Under 3K",
Table1[[#This Row],[MonthlyIncome]]&lt;6000,"3K-6K",
Table1[[#This Row],[MonthlyIncome]]&lt;9000,"6K-9K",
Table1[[#This Row],[MonthlyIncome]]&lt;12000,"9K-12K",
TRUE,"12K+")</f>
        <v>Under 3K</v>
      </c>
      <c r="AN151">
        <f>1</f>
        <v>1</v>
      </c>
      <c r="AO151" t="str" cm="1">
        <f t="array" ref="AO151">_xlfn.IFS(
Table1[[#This Row],[YearsAtCompany]]&lt;=2,"0-2 Years",
Table1[[#This Row],[YearsAtCompany]]&lt;=5,"3-5 Years",
Table1[[#This Row],[YearsAtCompany]]&lt;=10,"6-10 Years",
TRUE,"10+ Years")</f>
        <v>0-2 Years</v>
      </c>
    </row>
    <row r="152" spans="1:41"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tr">
        <f t="shared" si="4"/>
        <v>Research</v>
      </c>
      <c r="AK152">
        <f t="shared" si="5"/>
        <v>0</v>
      </c>
      <c r="AL152">
        <f>IF(Table1[[#This Row],[Attrition]]="Yes", Table1[[#This Row],[MonthlyIncome]]*12*1.5, 0)</f>
        <v>0</v>
      </c>
      <c r="AM152" t="str" cm="1">
        <f t="array" ref="AM152">_xlfn.IFS(
Table1[[#This Row],[MonthlyIncome]]&lt;3000,"Under 3K",
Table1[[#This Row],[MonthlyIncome]]&lt;6000,"3K-6K",
Table1[[#This Row],[MonthlyIncome]]&lt;9000,"6K-9K",
Table1[[#This Row],[MonthlyIncome]]&lt;12000,"9K-12K",
TRUE,"12K+")</f>
        <v>3K-6K</v>
      </c>
      <c r="AN152">
        <f>1</f>
        <v>1</v>
      </c>
      <c r="AO152" t="str" cm="1">
        <f t="array" ref="AO152">_xlfn.IFS(
Table1[[#This Row],[YearsAtCompany]]&lt;=2,"0-2 Years",
Table1[[#This Row],[YearsAtCompany]]&lt;=5,"3-5 Years",
Table1[[#This Row],[YearsAtCompany]]&lt;=10,"6-10 Years",
TRUE,"10+ Years")</f>
        <v>10+ Years</v>
      </c>
    </row>
    <row r="153" spans="1:41"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tr">
        <f t="shared" si="4"/>
        <v>Sales</v>
      </c>
      <c r="AK153">
        <f t="shared" si="5"/>
        <v>0</v>
      </c>
      <c r="AL153">
        <f>IF(Table1[[#This Row],[Attrition]]="Yes", Table1[[#This Row],[MonthlyIncome]]*12*1.5, 0)</f>
        <v>0</v>
      </c>
      <c r="AM153" t="str" cm="1">
        <f t="array" ref="AM153">_xlfn.IFS(
Table1[[#This Row],[MonthlyIncome]]&lt;3000,"Under 3K",
Table1[[#This Row],[MonthlyIncome]]&lt;6000,"3K-6K",
Table1[[#This Row],[MonthlyIncome]]&lt;9000,"6K-9K",
Table1[[#This Row],[MonthlyIncome]]&lt;12000,"9K-12K",
TRUE,"12K+")</f>
        <v>6K-9K</v>
      </c>
      <c r="AN153">
        <f>1</f>
        <v>1</v>
      </c>
      <c r="AO153" t="str" cm="1">
        <f t="array" ref="AO153">_xlfn.IFS(
Table1[[#This Row],[YearsAtCompany]]&lt;=2,"0-2 Years",
Table1[[#This Row],[YearsAtCompany]]&lt;=5,"3-5 Years",
Table1[[#This Row],[YearsAtCompany]]&lt;=10,"6-10 Years",
TRUE,"10+ Years")</f>
        <v>6-10 Years</v>
      </c>
    </row>
    <row r="154" spans="1:41"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tr">
        <f t="shared" si="4"/>
        <v>Sales</v>
      </c>
      <c r="AK154">
        <f t="shared" si="5"/>
        <v>0</v>
      </c>
      <c r="AL154">
        <f>IF(Table1[[#This Row],[Attrition]]="Yes", Table1[[#This Row],[MonthlyIncome]]*12*1.5, 0)</f>
        <v>0</v>
      </c>
      <c r="AM154" t="str" cm="1">
        <f t="array" ref="AM154">_xlfn.IFS(
Table1[[#This Row],[MonthlyIncome]]&lt;3000,"Under 3K",
Table1[[#This Row],[MonthlyIncome]]&lt;6000,"3K-6K",
Table1[[#This Row],[MonthlyIncome]]&lt;9000,"6K-9K",
Table1[[#This Row],[MonthlyIncome]]&lt;12000,"9K-12K",
TRUE,"12K+")</f>
        <v>Under 3K</v>
      </c>
      <c r="AN154">
        <f>1</f>
        <v>1</v>
      </c>
      <c r="AO154" t="str" cm="1">
        <f t="array" ref="AO154">_xlfn.IFS(
Table1[[#This Row],[YearsAtCompany]]&lt;=2,"0-2 Years",
Table1[[#This Row],[YearsAtCompany]]&lt;=5,"3-5 Years",
Table1[[#This Row],[YearsAtCompany]]&lt;=10,"6-10 Years",
TRUE,"10+ Years")</f>
        <v>6-10 Years</v>
      </c>
    </row>
    <row r="155" spans="1:41"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tr">
        <f t="shared" si="4"/>
        <v>Research</v>
      </c>
      <c r="AK155">
        <f t="shared" si="5"/>
        <v>0</v>
      </c>
      <c r="AL155">
        <f>IF(Table1[[#This Row],[Attrition]]="Yes", Table1[[#This Row],[MonthlyIncome]]*12*1.5, 0)</f>
        <v>0</v>
      </c>
      <c r="AM155" t="str" cm="1">
        <f t="array" ref="AM155">_xlfn.IFS(
Table1[[#This Row],[MonthlyIncome]]&lt;3000,"Under 3K",
Table1[[#This Row],[MonthlyIncome]]&lt;6000,"3K-6K",
Table1[[#This Row],[MonthlyIncome]]&lt;9000,"6K-9K",
Table1[[#This Row],[MonthlyIncome]]&lt;12000,"9K-12K",
TRUE,"12K+")</f>
        <v>Under 3K</v>
      </c>
      <c r="AN155">
        <f>1</f>
        <v>1</v>
      </c>
      <c r="AO155" t="str" cm="1">
        <f t="array" ref="AO155">_xlfn.IFS(
Table1[[#This Row],[YearsAtCompany]]&lt;=2,"0-2 Years",
Table1[[#This Row],[YearsAtCompany]]&lt;=5,"3-5 Years",
Table1[[#This Row],[YearsAtCompany]]&lt;=10,"6-10 Years",
TRUE,"10+ Years")</f>
        <v>10+ Years</v>
      </c>
    </row>
    <row r="156" spans="1:41"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tr">
        <f t="shared" si="4"/>
        <v>Sales</v>
      </c>
      <c r="AK156">
        <f t="shared" si="5"/>
        <v>0</v>
      </c>
      <c r="AL156">
        <f>IF(Table1[[#This Row],[Attrition]]="Yes", Table1[[#This Row],[MonthlyIncome]]*12*1.5, 0)</f>
        <v>0</v>
      </c>
      <c r="AM156" t="str" cm="1">
        <f t="array" ref="AM156">_xlfn.IFS(
Table1[[#This Row],[MonthlyIncome]]&lt;3000,"Under 3K",
Table1[[#This Row],[MonthlyIncome]]&lt;6000,"3K-6K",
Table1[[#This Row],[MonthlyIncome]]&lt;9000,"6K-9K",
Table1[[#This Row],[MonthlyIncome]]&lt;12000,"9K-12K",
TRUE,"12K+")</f>
        <v>6K-9K</v>
      </c>
      <c r="AN156">
        <f>1</f>
        <v>1</v>
      </c>
      <c r="AO156" t="str" cm="1">
        <f t="array" ref="AO156">_xlfn.IFS(
Table1[[#This Row],[YearsAtCompany]]&lt;=2,"0-2 Years",
Table1[[#This Row],[YearsAtCompany]]&lt;=5,"3-5 Years",
Table1[[#This Row],[YearsAtCompany]]&lt;=10,"6-10 Years",
TRUE,"10+ Years")</f>
        <v>6-10 Years</v>
      </c>
    </row>
    <row r="157" spans="1:41"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tr">
        <f t="shared" si="4"/>
        <v>Operations</v>
      </c>
      <c r="AK157">
        <f t="shared" si="5"/>
        <v>0</v>
      </c>
      <c r="AL157">
        <f>IF(Table1[[#This Row],[Attrition]]="Yes", Table1[[#This Row],[MonthlyIncome]]*12*1.5, 0)</f>
        <v>0</v>
      </c>
      <c r="AM157" t="str" cm="1">
        <f t="array" ref="AM157">_xlfn.IFS(
Table1[[#This Row],[MonthlyIncome]]&lt;3000,"Under 3K",
Table1[[#This Row],[MonthlyIncome]]&lt;6000,"3K-6K",
Table1[[#This Row],[MonthlyIncome]]&lt;9000,"6K-9K",
Table1[[#This Row],[MonthlyIncome]]&lt;12000,"9K-12K",
TRUE,"12K+")</f>
        <v>3K-6K</v>
      </c>
      <c r="AN157">
        <f>1</f>
        <v>1</v>
      </c>
      <c r="AO157" t="str" cm="1">
        <f t="array" ref="AO157">_xlfn.IFS(
Table1[[#This Row],[YearsAtCompany]]&lt;=2,"0-2 Years",
Table1[[#This Row],[YearsAtCompany]]&lt;=5,"3-5 Years",
Table1[[#This Row],[YearsAtCompany]]&lt;=10,"6-10 Years",
TRUE,"10+ Years")</f>
        <v>6-10 Years</v>
      </c>
    </row>
    <row r="158" spans="1:41"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tr">
        <f t="shared" si="4"/>
        <v>Operations</v>
      </c>
      <c r="AK158">
        <f t="shared" si="5"/>
        <v>0</v>
      </c>
      <c r="AL158">
        <f>IF(Table1[[#This Row],[Attrition]]="Yes", Table1[[#This Row],[MonthlyIncome]]*12*1.5, 0)</f>
        <v>0</v>
      </c>
      <c r="AM158" t="str" cm="1">
        <f t="array" ref="AM158">_xlfn.IFS(
Table1[[#This Row],[MonthlyIncome]]&lt;3000,"Under 3K",
Table1[[#This Row],[MonthlyIncome]]&lt;6000,"3K-6K",
Table1[[#This Row],[MonthlyIncome]]&lt;9000,"6K-9K",
Table1[[#This Row],[MonthlyIncome]]&lt;12000,"9K-12K",
TRUE,"12K+")</f>
        <v>6K-9K</v>
      </c>
      <c r="AN158">
        <f>1</f>
        <v>1</v>
      </c>
      <c r="AO158" t="str" cm="1">
        <f t="array" ref="AO158">_xlfn.IFS(
Table1[[#This Row],[YearsAtCompany]]&lt;=2,"0-2 Years",
Table1[[#This Row],[YearsAtCompany]]&lt;=5,"3-5 Years",
Table1[[#This Row],[YearsAtCompany]]&lt;=10,"6-10 Years",
TRUE,"10+ Years")</f>
        <v>0-2 Years</v>
      </c>
    </row>
    <row r="159" spans="1:41"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tr">
        <f t="shared" si="4"/>
        <v>Research</v>
      </c>
      <c r="AK159">
        <f t="shared" si="5"/>
        <v>0</v>
      </c>
      <c r="AL159">
        <f>IF(Table1[[#This Row],[Attrition]]="Yes", Table1[[#This Row],[MonthlyIncome]]*12*1.5, 0)</f>
        <v>0</v>
      </c>
      <c r="AM159" t="str" cm="1">
        <f t="array" ref="AM159">_xlfn.IFS(
Table1[[#This Row],[MonthlyIncome]]&lt;3000,"Under 3K",
Table1[[#This Row],[MonthlyIncome]]&lt;6000,"3K-6K",
Table1[[#This Row],[MonthlyIncome]]&lt;9000,"6K-9K",
Table1[[#This Row],[MonthlyIncome]]&lt;12000,"9K-12K",
TRUE,"12K+")</f>
        <v>3K-6K</v>
      </c>
      <c r="AN159">
        <f>1</f>
        <v>1</v>
      </c>
      <c r="AO159" t="str" cm="1">
        <f t="array" ref="AO159">_xlfn.IFS(
Table1[[#This Row],[YearsAtCompany]]&lt;=2,"0-2 Years",
Table1[[#This Row],[YearsAtCompany]]&lt;=5,"3-5 Years",
Table1[[#This Row],[YearsAtCompany]]&lt;=10,"6-10 Years",
TRUE,"10+ Years")</f>
        <v>0-2 Years</v>
      </c>
    </row>
    <row r="160" spans="1:41"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tr">
        <f t="shared" si="4"/>
        <v>Sales</v>
      </c>
      <c r="AK160">
        <f t="shared" si="5"/>
        <v>0</v>
      </c>
      <c r="AL160">
        <f>IF(Table1[[#This Row],[Attrition]]="Yes", Table1[[#This Row],[MonthlyIncome]]*12*1.5, 0)</f>
        <v>0</v>
      </c>
      <c r="AM160" t="str" cm="1">
        <f t="array" ref="AM160">_xlfn.IFS(
Table1[[#This Row],[MonthlyIncome]]&lt;3000,"Under 3K",
Table1[[#This Row],[MonthlyIncome]]&lt;6000,"3K-6K",
Table1[[#This Row],[MonthlyIncome]]&lt;9000,"6K-9K",
Table1[[#This Row],[MonthlyIncome]]&lt;12000,"9K-12K",
TRUE,"12K+")</f>
        <v>9K-12K</v>
      </c>
      <c r="AN160">
        <f>1</f>
        <v>1</v>
      </c>
      <c r="AO160" t="str" cm="1">
        <f t="array" ref="AO160">_xlfn.IFS(
Table1[[#This Row],[YearsAtCompany]]&lt;=2,"0-2 Years",
Table1[[#This Row],[YearsAtCompany]]&lt;=5,"3-5 Years",
Table1[[#This Row],[YearsAtCompany]]&lt;=10,"6-10 Years",
TRUE,"10+ Years")</f>
        <v>10+ Years</v>
      </c>
    </row>
    <row r="161" spans="1:41"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tr">
        <f t="shared" si="4"/>
        <v>Sales</v>
      </c>
      <c r="AK161">
        <f t="shared" si="5"/>
        <v>0</v>
      </c>
      <c r="AL161">
        <f>IF(Table1[[#This Row],[Attrition]]="Yes", Table1[[#This Row],[MonthlyIncome]]*12*1.5, 0)</f>
        <v>0</v>
      </c>
      <c r="AM161" t="str" cm="1">
        <f t="array" ref="AM161">_xlfn.IFS(
Table1[[#This Row],[MonthlyIncome]]&lt;3000,"Under 3K",
Table1[[#This Row],[MonthlyIncome]]&lt;6000,"3K-6K",
Table1[[#This Row],[MonthlyIncome]]&lt;9000,"6K-9K",
Table1[[#This Row],[MonthlyIncome]]&lt;12000,"9K-12K",
TRUE,"12K+")</f>
        <v>Under 3K</v>
      </c>
      <c r="AN161">
        <f>1</f>
        <v>1</v>
      </c>
      <c r="AO161" t="str" cm="1">
        <f t="array" ref="AO161">_xlfn.IFS(
Table1[[#This Row],[YearsAtCompany]]&lt;=2,"0-2 Years",
Table1[[#This Row],[YearsAtCompany]]&lt;=5,"3-5 Years",
Table1[[#This Row],[YearsAtCompany]]&lt;=10,"6-10 Years",
TRUE,"10+ Years")</f>
        <v>3-5 Years</v>
      </c>
    </row>
    <row r="162" spans="1:41"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tr">
        <f t="shared" si="4"/>
        <v>Research</v>
      </c>
      <c r="AK162">
        <f t="shared" si="5"/>
        <v>0</v>
      </c>
      <c r="AL162">
        <f>IF(Table1[[#This Row],[Attrition]]="Yes", Table1[[#This Row],[MonthlyIncome]]*12*1.5, 0)</f>
        <v>0</v>
      </c>
      <c r="AM162" t="str" cm="1">
        <f t="array" ref="AM162">_xlfn.IFS(
Table1[[#This Row],[MonthlyIncome]]&lt;3000,"Under 3K",
Table1[[#This Row],[MonthlyIncome]]&lt;6000,"3K-6K",
Table1[[#This Row],[MonthlyIncome]]&lt;9000,"6K-9K",
Table1[[#This Row],[MonthlyIncome]]&lt;12000,"9K-12K",
TRUE,"12K+")</f>
        <v>Under 3K</v>
      </c>
      <c r="AN162">
        <f>1</f>
        <v>1</v>
      </c>
      <c r="AO162" t="str" cm="1">
        <f t="array" ref="AO162">_xlfn.IFS(
Table1[[#This Row],[YearsAtCompany]]&lt;=2,"0-2 Years",
Table1[[#This Row],[YearsAtCompany]]&lt;=5,"3-5 Years",
Table1[[#This Row],[YearsAtCompany]]&lt;=10,"6-10 Years",
TRUE,"10+ Years")</f>
        <v>0-2 Years</v>
      </c>
    </row>
    <row r="163" spans="1:41"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tr">
        <f t="shared" si="4"/>
        <v>Research</v>
      </c>
      <c r="AK163">
        <f t="shared" si="5"/>
        <v>0</v>
      </c>
      <c r="AL163">
        <f>IF(Table1[[#This Row],[Attrition]]="Yes", Table1[[#This Row],[MonthlyIncome]]*12*1.5, 0)</f>
        <v>0</v>
      </c>
      <c r="AM163" t="str" cm="1">
        <f t="array" ref="AM163">_xlfn.IFS(
Table1[[#This Row],[MonthlyIncome]]&lt;3000,"Under 3K",
Table1[[#This Row],[MonthlyIncome]]&lt;6000,"3K-6K",
Table1[[#This Row],[MonthlyIncome]]&lt;9000,"6K-9K",
Table1[[#This Row],[MonthlyIncome]]&lt;12000,"9K-12K",
TRUE,"12K+")</f>
        <v>Under 3K</v>
      </c>
      <c r="AN163">
        <f>1</f>
        <v>1</v>
      </c>
      <c r="AO163" t="str" cm="1">
        <f t="array" ref="AO163">_xlfn.IFS(
Table1[[#This Row],[YearsAtCompany]]&lt;=2,"0-2 Years",
Table1[[#This Row],[YearsAtCompany]]&lt;=5,"3-5 Years",
Table1[[#This Row],[YearsAtCompany]]&lt;=10,"6-10 Years",
TRUE,"10+ Years")</f>
        <v>0-2 Years</v>
      </c>
    </row>
    <row r="164" spans="1:41"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tr">
        <f t="shared" si="4"/>
        <v>Research</v>
      </c>
      <c r="AK164">
        <f t="shared" si="5"/>
        <v>0</v>
      </c>
      <c r="AL164">
        <f>IF(Table1[[#This Row],[Attrition]]="Yes", Table1[[#This Row],[MonthlyIncome]]*12*1.5, 0)</f>
        <v>0</v>
      </c>
      <c r="AM164" t="str" cm="1">
        <f t="array" ref="AM164">_xlfn.IFS(
Table1[[#This Row],[MonthlyIncome]]&lt;3000,"Under 3K",
Table1[[#This Row],[MonthlyIncome]]&lt;6000,"3K-6K",
Table1[[#This Row],[MonthlyIncome]]&lt;9000,"6K-9K",
Table1[[#This Row],[MonthlyIncome]]&lt;12000,"9K-12K",
TRUE,"12K+")</f>
        <v>Under 3K</v>
      </c>
      <c r="AN164">
        <f>1</f>
        <v>1</v>
      </c>
      <c r="AO164" t="str" cm="1">
        <f t="array" ref="AO164">_xlfn.IFS(
Table1[[#This Row],[YearsAtCompany]]&lt;=2,"0-2 Years",
Table1[[#This Row],[YearsAtCompany]]&lt;=5,"3-5 Years",
Table1[[#This Row],[YearsAtCompany]]&lt;=10,"6-10 Years",
TRUE,"10+ Years")</f>
        <v>3-5 Years</v>
      </c>
    </row>
    <row r="165" spans="1:41"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tr">
        <f t="shared" si="4"/>
        <v>Healthcare</v>
      </c>
      <c r="AK165">
        <f t="shared" si="5"/>
        <v>0</v>
      </c>
      <c r="AL165">
        <f>IF(Table1[[#This Row],[Attrition]]="Yes", Table1[[#This Row],[MonthlyIncome]]*12*1.5, 0)</f>
        <v>0</v>
      </c>
      <c r="AM165" t="str" cm="1">
        <f t="array" ref="AM165">_xlfn.IFS(
Table1[[#This Row],[MonthlyIncome]]&lt;3000,"Under 3K",
Table1[[#This Row],[MonthlyIncome]]&lt;6000,"3K-6K",
Table1[[#This Row],[MonthlyIncome]]&lt;9000,"6K-9K",
Table1[[#This Row],[MonthlyIncome]]&lt;12000,"9K-12K",
TRUE,"12K+")</f>
        <v>9K-12K</v>
      </c>
      <c r="AN165">
        <f>1</f>
        <v>1</v>
      </c>
      <c r="AO165" t="str" cm="1">
        <f t="array" ref="AO165">_xlfn.IFS(
Table1[[#This Row],[YearsAtCompany]]&lt;=2,"0-2 Years",
Table1[[#This Row],[YearsAtCompany]]&lt;=5,"3-5 Years",
Table1[[#This Row],[YearsAtCompany]]&lt;=10,"6-10 Years",
TRUE,"10+ Years")</f>
        <v>3-5 Years</v>
      </c>
    </row>
    <row r="166" spans="1:41"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tr">
        <f t="shared" si="4"/>
        <v>Research</v>
      </c>
      <c r="AK166">
        <f t="shared" si="5"/>
        <v>0</v>
      </c>
      <c r="AL166">
        <f>IF(Table1[[#This Row],[Attrition]]="Yes", Table1[[#This Row],[MonthlyIncome]]*12*1.5, 0)</f>
        <v>0</v>
      </c>
      <c r="AM166" t="str" cm="1">
        <f t="array" ref="AM166">_xlfn.IFS(
Table1[[#This Row],[MonthlyIncome]]&lt;3000,"Under 3K",
Table1[[#This Row],[MonthlyIncome]]&lt;6000,"3K-6K",
Table1[[#This Row],[MonthlyIncome]]&lt;9000,"6K-9K",
Table1[[#This Row],[MonthlyIncome]]&lt;12000,"9K-12K",
TRUE,"12K+")</f>
        <v>Under 3K</v>
      </c>
      <c r="AN166">
        <f>1</f>
        <v>1</v>
      </c>
      <c r="AO166" t="str" cm="1">
        <f t="array" ref="AO166">_xlfn.IFS(
Table1[[#This Row],[YearsAtCompany]]&lt;=2,"0-2 Years",
Table1[[#This Row],[YearsAtCompany]]&lt;=5,"3-5 Years",
Table1[[#This Row],[YearsAtCompany]]&lt;=10,"6-10 Years",
TRUE,"10+ Years")</f>
        <v>0-2 Years</v>
      </c>
    </row>
    <row r="167" spans="1:41"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tr">
        <f t="shared" si="4"/>
        <v>Management</v>
      </c>
      <c r="AK167">
        <f t="shared" si="5"/>
        <v>0</v>
      </c>
      <c r="AL167">
        <f>IF(Table1[[#This Row],[Attrition]]="Yes", Table1[[#This Row],[MonthlyIncome]]*12*1.5, 0)</f>
        <v>0</v>
      </c>
      <c r="AM167" t="str" cm="1">
        <f t="array" ref="AM167">_xlfn.IFS(
Table1[[#This Row],[MonthlyIncome]]&lt;3000,"Under 3K",
Table1[[#This Row],[MonthlyIncome]]&lt;6000,"3K-6K",
Table1[[#This Row],[MonthlyIncome]]&lt;9000,"6K-9K",
Table1[[#This Row],[MonthlyIncome]]&lt;12000,"9K-12K",
TRUE,"12K+")</f>
        <v>12K+</v>
      </c>
      <c r="AN167">
        <f>1</f>
        <v>1</v>
      </c>
      <c r="AO167" t="str" cm="1">
        <f t="array" ref="AO167">_xlfn.IFS(
Table1[[#This Row],[YearsAtCompany]]&lt;=2,"0-2 Years",
Table1[[#This Row],[YearsAtCompany]]&lt;=5,"3-5 Years",
Table1[[#This Row],[YearsAtCompany]]&lt;=10,"6-10 Years",
TRUE,"10+ Years")</f>
        <v>3-5 Years</v>
      </c>
    </row>
    <row r="168" spans="1:41"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tr">
        <f t="shared" si="4"/>
        <v>Research</v>
      </c>
      <c r="AK168">
        <f t="shared" si="5"/>
        <v>0</v>
      </c>
      <c r="AL168">
        <f>IF(Table1[[#This Row],[Attrition]]="Yes", Table1[[#This Row],[MonthlyIncome]]*12*1.5, 0)</f>
        <v>0</v>
      </c>
      <c r="AM168" t="str" cm="1">
        <f t="array" ref="AM168">_xlfn.IFS(
Table1[[#This Row],[MonthlyIncome]]&lt;3000,"Under 3K",
Table1[[#This Row],[MonthlyIncome]]&lt;6000,"3K-6K",
Table1[[#This Row],[MonthlyIncome]]&lt;9000,"6K-9K",
Table1[[#This Row],[MonthlyIncome]]&lt;12000,"9K-12K",
TRUE,"12K+")</f>
        <v>Under 3K</v>
      </c>
      <c r="AN168">
        <f>1</f>
        <v>1</v>
      </c>
      <c r="AO168" t="str" cm="1">
        <f t="array" ref="AO168">_xlfn.IFS(
Table1[[#This Row],[YearsAtCompany]]&lt;=2,"0-2 Years",
Table1[[#This Row],[YearsAtCompany]]&lt;=5,"3-5 Years",
Table1[[#This Row],[YearsAtCompany]]&lt;=10,"6-10 Years",
TRUE,"10+ Years")</f>
        <v>6-10 Years</v>
      </c>
    </row>
    <row r="169" spans="1:41"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tr">
        <f t="shared" si="4"/>
        <v>Sales</v>
      </c>
      <c r="AK169">
        <f t="shared" si="5"/>
        <v>0</v>
      </c>
      <c r="AL169">
        <f>IF(Table1[[#This Row],[Attrition]]="Yes", Table1[[#This Row],[MonthlyIncome]]*12*1.5, 0)</f>
        <v>0</v>
      </c>
      <c r="AM169" t="str" cm="1">
        <f t="array" ref="AM169">_xlfn.IFS(
Table1[[#This Row],[MonthlyIncome]]&lt;3000,"Under 3K",
Table1[[#This Row],[MonthlyIncome]]&lt;6000,"3K-6K",
Table1[[#This Row],[MonthlyIncome]]&lt;9000,"6K-9K",
Table1[[#This Row],[MonthlyIncome]]&lt;12000,"9K-12K",
TRUE,"12K+")</f>
        <v>9K-12K</v>
      </c>
      <c r="AN169">
        <f>1</f>
        <v>1</v>
      </c>
      <c r="AO169" t="str" cm="1">
        <f t="array" ref="AO169">_xlfn.IFS(
Table1[[#This Row],[YearsAtCompany]]&lt;=2,"0-2 Years",
Table1[[#This Row],[YearsAtCompany]]&lt;=5,"3-5 Years",
Table1[[#This Row],[YearsAtCompany]]&lt;=10,"6-10 Years",
TRUE,"10+ Years")</f>
        <v>6-10 Years</v>
      </c>
    </row>
    <row r="170" spans="1:41"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tr">
        <f t="shared" si="4"/>
        <v>Sales</v>
      </c>
      <c r="AK170">
        <f t="shared" si="5"/>
        <v>0</v>
      </c>
      <c r="AL170">
        <f>IF(Table1[[#This Row],[Attrition]]="Yes", Table1[[#This Row],[MonthlyIncome]]*12*1.5, 0)</f>
        <v>0</v>
      </c>
      <c r="AM170" t="str" cm="1">
        <f t="array" ref="AM170">_xlfn.IFS(
Table1[[#This Row],[MonthlyIncome]]&lt;3000,"Under 3K",
Table1[[#This Row],[MonthlyIncome]]&lt;6000,"3K-6K",
Table1[[#This Row],[MonthlyIncome]]&lt;9000,"6K-9K",
Table1[[#This Row],[MonthlyIncome]]&lt;12000,"9K-12K",
TRUE,"12K+")</f>
        <v>6K-9K</v>
      </c>
      <c r="AN170">
        <f>1</f>
        <v>1</v>
      </c>
      <c r="AO170" t="str" cm="1">
        <f t="array" ref="AO170">_xlfn.IFS(
Table1[[#This Row],[YearsAtCompany]]&lt;=2,"0-2 Years",
Table1[[#This Row],[YearsAtCompany]]&lt;=5,"3-5 Years",
Table1[[#This Row],[YearsAtCompany]]&lt;=10,"6-10 Years",
TRUE,"10+ Years")</f>
        <v>6-10 Years</v>
      </c>
    </row>
    <row r="171" spans="1:41"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tr">
        <f t="shared" si="4"/>
        <v>Research</v>
      </c>
      <c r="AK171">
        <f t="shared" si="5"/>
        <v>0</v>
      </c>
      <c r="AL171">
        <f>IF(Table1[[#This Row],[Attrition]]="Yes", Table1[[#This Row],[MonthlyIncome]]*12*1.5, 0)</f>
        <v>0</v>
      </c>
      <c r="AM171" t="str" cm="1">
        <f t="array" ref="AM171">_xlfn.IFS(
Table1[[#This Row],[MonthlyIncome]]&lt;3000,"Under 3K",
Table1[[#This Row],[MonthlyIncome]]&lt;6000,"3K-6K",
Table1[[#This Row],[MonthlyIncome]]&lt;9000,"6K-9K",
Table1[[#This Row],[MonthlyIncome]]&lt;12000,"9K-12K",
TRUE,"12K+")</f>
        <v>3K-6K</v>
      </c>
      <c r="AN171">
        <f>1</f>
        <v>1</v>
      </c>
      <c r="AO171" t="str" cm="1">
        <f t="array" ref="AO171">_xlfn.IFS(
Table1[[#This Row],[YearsAtCompany]]&lt;=2,"0-2 Years",
Table1[[#This Row],[YearsAtCompany]]&lt;=5,"3-5 Years",
Table1[[#This Row],[YearsAtCompany]]&lt;=10,"6-10 Years",
TRUE,"10+ Years")</f>
        <v>3-5 Years</v>
      </c>
    </row>
    <row r="172" spans="1:41"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tr">
        <f t="shared" si="4"/>
        <v>Research</v>
      </c>
      <c r="AK172">
        <f t="shared" si="5"/>
        <v>0</v>
      </c>
      <c r="AL172">
        <f>IF(Table1[[#This Row],[Attrition]]="Yes", Table1[[#This Row],[MonthlyIncome]]*12*1.5, 0)</f>
        <v>0</v>
      </c>
      <c r="AM172" t="str" cm="1">
        <f t="array" ref="AM172">_xlfn.IFS(
Table1[[#This Row],[MonthlyIncome]]&lt;3000,"Under 3K",
Table1[[#This Row],[MonthlyIncome]]&lt;6000,"3K-6K",
Table1[[#This Row],[MonthlyIncome]]&lt;9000,"6K-9K",
Table1[[#This Row],[MonthlyIncome]]&lt;12000,"9K-12K",
TRUE,"12K+")</f>
        <v>3K-6K</v>
      </c>
      <c r="AN172">
        <f>1</f>
        <v>1</v>
      </c>
      <c r="AO172" t="str" cm="1">
        <f t="array" ref="AO172">_xlfn.IFS(
Table1[[#This Row],[YearsAtCompany]]&lt;=2,"0-2 Years",
Table1[[#This Row],[YearsAtCompany]]&lt;=5,"3-5 Years",
Table1[[#This Row],[YearsAtCompany]]&lt;=10,"6-10 Years",
TRUE,"10+ Years")</f>
        <v>3-5 Years</v>
      </c>
    </row>
    <row r="173" spans="1:41"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tr">
        <f t="shared" si="4"/>
        <v>Sales</v>
      </c>
      <c r="AK173">
        <f t="shared" si="5"/>
        <v>1</v>
      </c>
      <c r="AL173">
        <f>IF(Table1[[#This Row],[Attrition]]="Yes", Table1[[#This Row],[MonthlyIncome]]*12*1.5, 0)</f>
        <v>41850</v>
      </c>
      <c r="AM173" t="str" cm="1">
        <f t="array" ref="AM173">_xlfn.IFS(
Table1[[#This Row],[MonthlyIncome]]&lt;3000,"Under 3K",
Table1[[#This Row],[MonthlyIncome]]&lt;6000,"3K-6K",
Table1[[#This Row],[MonthlyIncome]]&lt;9000,"6K-9K",
Table1[[#This Row],[MonthlyIncome]]&lt;12000,"9K-12K",
TRUE,"12K+")</f>
        <v>Under 3K</v>
      </c>
      <c r="AN173">
        <f>1</f>
        <v>1</v>
      </c>
      <c r="AO173" t="str" cm="1">
        <f t="array" ref="AO173">_xlfn.IFS(
Table1[[#This Row],[YearsAtCompany]]&lt;=2,"0-2 Years",
Table1[[#This Row],[YearsAtCompany]]&lt;=5,"3-5 Years",
Table1[[#This Row],[YearsAtCompany]]&lt;=10,"6-10 Years",
TRUE,"10+ Years")</f>
        <v>0-2 Years</v>
      </c>
    </row>
    <row r="174" spans="1:41"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tr">
        <f t="shared" si="4"/>
        <v>Research</v>
      </c>
      <c r="AK174">
        <f t="shared" si="5"/>
        <v>0</v>
      </c>
      <c r="AL174">
        <f>IF(Table1[[#This Row],[Attrition]]="Yes", Table1[[#This Row],[MonthlyIncome]]*12*1.5, 0)</f>
        <v>0</v>
      </c>
      <c r="AM174" t="str" cm="1">
        <f t="array" ref="AM174">_xlfn.IFS(
Table1[[#This Row],[MonthlyIncome]]&lt;3000,"Under 3K",
Table1[[#This Row],[MonthlyIncome]]&lt;6000,"3K-6K",
Table1[[#This Row],[MonthlyIncome]]&lt;9000,"6K-9K",
Table1[[#This Row],[MonthlyIncome]]&lt;12000,"9K-12K",
TRUE,"12K+")</f>
        <v>Under 3K</v>
      </c>
      <c r="AN174">
        <f>1</f>
        <v>1</v>
      </c>
      <c r="AO174" t="str" cm="1">
        <f t="array" ref="AO174">_xlfn.IFS(
Table1[[#This Row],[YearsAtCompany]]&lt;=2,"0-2 Years",
Table1[[#This Row],[YearsAtCompany]]&lt;=5,"3-5 Years",
Table1[[#This Row],[YearsAtCompany]]&lt;=10,"6-10 Years",
TRUE,"10+ Years")</f>
        <v>6-10 Years</v>
      </c>
    </row>
    <row r="175" spans="1:41"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tr">
        <f t="shared" si="4"/>
        <v>Research</v>
      </c>
      <c r="AK175">
        <f t="shared" si="5"/>
        <v>0</v>
      </c>
      <c r="AL175">
        <f>IF(Table1[[#This Row],[Attrition]]="Yes", Table1[[#This Row],[MonthlyIncome]]*12*1.5, 0)</f>
        <v>0</v>
      </c>
      <c r="AM175" t="str" cm="1">
        <f t="array" ref="AM175">_xlfn.IFS(
Table1[[#This Row],[MonthlyIncome]]&lt;3000,"Under 3K",
Table1[[#This Row],[MonthlyIncome]]&lt;6000,"3K-6K",
Table1[[#This Row],[MonthlyIncome]]&lt;9000,"6K-9K",
Table1[[#This Row],[MonthlyIncome]]&lt;12000,"9K-12K",
TRUE,"12K+")</f>
        <v>3K-6K</v>
      </c>
      <c r="AN175">
        <f>1</f>
        <v>1</v>
      </c>
      <c r="AO175" t="str" cm="1">
        <f t="array" ref="AO175">_xlfn.IFS(
Table1[[#This Row],[YearsAtCompany]]&lt;=2,"0-2 Years",
Table1[[#This Row],[YearsAtCompany]]&lt;=5,"3-5 Years",
Table1[[#This Row],[YearsAtCompany]]&lt;=10,"6-10 Years",
TRUE,"10+ Years")</f>
        <v>10+ Years</v>
      </c>
    </row>
    <row r="176" spans="1:41"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tr">
        <f t="shared" si="4"/>
        <v>Sales</v>
      </c>
      <c r="AK176">
        <f t="shared" si="5"/>
        <v>0</v>
      </c>
      <c r="AL176">
        <f>IF(Table1[[#This Row],[Attrition]]="Yes", Table1[[#This Row],[MonthlyIncome]]*12*1.5, 0)</f>
        <v>0</v>
      </c>
      <c r="AM176" t="str" cm="1">
        <f t="array" ref="AM176">_xlfn.IFS(
Table1[[#This Row],[MonthlyIncome]]&lt;3000,"Under 3K",
Table1[[#This Row],[MonthlyIncome]]&lt;6000,"3K-6K",
Table1[[#This Row],[MonthlyIncome]]&lt;9000,"6K-9K",
Table1[[#This Row],[MonthlyIncome]]&lt;12000,"9K-12K",
TRUE,"12K+")</f>
        <v>3K-6K</v>
      </c>
      <c r="AN176">
        <f>1</f>
        <v>1</v>
      </c>
      <c r="AO176" t="str" cm="1">
        <f t="array" ref="AO176">_xlfn.IFS(
Table1[[#This Row],[YearsAtCompany]]&lt;=2,"0-2 Years",
Table1[[#This Row],[YearsAtCompany]]&lt;=5,"3-5 Years",
Table1[[#This Row],[YearsAtCompany]]&lt;=10,"6-10 Years",
TRUE,"10+ Years")</f>
        <v>3-5 Years</v>
      </c>
    </row>
    <row r="177" spans="1:41"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tr">
        <f t="shared" si="4"/>
        <v>Research</v>
      </c>
      <c r="AK177">
        <f t="shared" si="5"/>
        <v>0</v>
      </c>
      <c r="AL177">
        <f>IF(Table1[[#This Row],[Attrition]]="Yes", Table1[[#This Row],[MonthlyIncome]]*12*1.5, 0)</f>
        <v>0</v>
      </c>
      <c r="AM177" t="str" cm="1">
        <f t="array" ref="AM177">_xlfn.IFS(
Table1[[#This Row],[MonthlyIncome]]&lt;3000,"Under 3K",
Table1[[#This Row],[MonthlyIncome]]&lt;6000,"3K-6K",
Table1[[#This Row],[MonthlyIncome]]&lt;9000,"6K-9K",
Table1[[#This Row],[MonthlyIncome]]&lt;12000,"9K-12K",
TRUE,"12K+")</f>
        <v>3K-6K</v>
      </c>
      <c r="AN177">
        <f>1</f>
        <v>1</v>
      </c>
      <c r="AO177" t="str" cm="1">
        <f t="array" ref="AO177">_xlfn.IFS(
Table1[[#This Row],[YearsAtCompany]]&lt;=2,"0-2 Years",
Table1[[#This Row],[YearsAtCompany]]&lt;=5,"3-5 Years",
Table1[[#This Row],[YearsAtCompany]]&lt;=10,"6-10 Years",
TRUE,"10+ Years")</f>
        <v>0-2 Years</v>
      </c>
    </row>
    <row r="178" spans="1:41"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tr">
        <f t="shared" si="4"/>
        <v>Research</v>
      </c>
      <c r="AK178">
        <f t="shared" si="5"/>
        <v>0</v>
      </c>
      <c r="AL178">
        <f>IF(Table1[[#This Row],[Attrition]]="Yes", Table1[[#This Row],[MonthlyIncome]]*12*1.5, 0)</f>
        <v>0</v>
      </c>
      <c r="AM178" t="str" cm="1">
        <f t="array" ref="AM178">_xlfn.IFS(
Table1[[#This Row],[MonthlyIncome]]&lt;3000,"Under 3K",
Table1[[#This Row],[MonthlyIncome]]&lt;6000,"3K-6K",
Table1[[#This Row],[MonthlyIncome]]&lt;9000,"6K-9K",
Table1[[#This Row],[MonthlyIncome]]&lt;12000,"9K-12K",
TRUE,"12K+")</f>
        <v>Under 3K</v>
      </c>
      <c r="AN178">
        <f>1</f>
        <v>1</v>
      </c>
      <c r="AO178" t="str" cm="1">
        <f t="array" ref="AO178">_xlfn.IFS(
Table1[[#This Row],[YearsAtCompany]]&lt;=2,"0-2 Years",
Table1[[#This Row],[YearsAtCompany]]&lt;=5,"3-5 Years",
Table1[[#This Row],[YearsAtCompany]]&lt;=10,"6-10 Years",
TRUE,"10+ Years")</f>
        <v>3-5 Years</v>
      </c>
    </row>
    <row r="179" spans="1:41"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tr">
        <f t="shared" si="4"/>
        <v>Research</v>
      </c>
      <c r="AK179">
        <f t="shared" si="5"/>
        <v>1</v>
      </c>
      <c r="AL179">
        <f>IF(Table1[[#This Row],[Attrition]]="Yes", Table1[[#This Row],[MonthlyIncome]]*12*1.5, 0)</f>
        <v>19836</v>
      </c>
      <c r="AM179" t="str" cm="1">
        <f t="array" ref="AM179">_xlfn.IFS(
Table1[[#This Row],[MonthlyIncome]]&lt;3000,"Under 3K",
Table1[[#This Row],[MonthlyIncome]]&lt;6000,"3K-6K",
Table1[[#This Row],[MonthlyIncome]]&lt;9000,"6K-9K",
Table1[[#This Row],[MonthlyIncome]]&lt;12000,"9K-12K",
TRUE,"12K+")</f>
        <v>Under 3K</v>
      </c>
      <c r="AN179">
        <f>1</f>
        <v>1</v>
      </c>
      <c r="AO179" t="str" cm="1">
        <f t="array" ref="AO179">_xlfn.IFS(
Table1[[#This Row],[YearsAtCompany]]&lt;=2,"0-2 Years",
Table1[[#This Row],[YearsAtCompany]]&lt;=5,"3-5 Years",
Table1[[#This Row],[YearsAtCompany]]&lt;=10,"6-10 Years",
TRUE,"10+ Years")</f>
        <v>0-2 Years</v>
      </c>
    </row>
    <row r="180" spans="1:41"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tr">
        <f t="shared" si="4"/>
        <v>Sales</v>
      </c>
      <c r="AK180">
        <f t="shared" si="5"/>
        <v>0</v>
      </c>
      <c r="AL180">
        <f>IF(Table1[[#This Row],[Attrition]]="Yes", Table1[[#This Row],[MonthlyIncome]]*12*1.5, 0)</f>
        <v>0</v>
      </c>
      <c r="AM180" t="str" cm="1">
        <f t="array" ref="AM180">_xlfn.IFS(
Table1[[#This Row],[MonthlyIncome]]&lt;3000,"Under 3K",
Table1[[#This Row],[MonthlyIncome]]&lt;6000,"3K-6K",
Table1[[#This Row],[MonthlyIncome]]&lt;9000,"6K-9K",
Table1[[#This Row],[MonthlyIncome]]&lt;12000,"9K-12K",
TRUE,"12K+")</f>
        <v>9K-12K</v>
      </c>
      <c r="AN180">
        <f>1</f>
        <v>1</v>
      </c>
      <c r="AO180" t="str" cm="1">
        <f t="array" ref="AO180">_xlfn.IFS(
Table1[[#This Row],[YearsAtCompany]]&lt;=2,"0-2 Years",
Table1[[#This Row],[YearsAtCompany]]&lt;=5,"3-5 Years",
Table1[[#This Row],[YearsAtCompany]]&lt;=10,"6-10 Years",
TRUE,"10+ Years")</f>
        <v>10+ Years</v>
      </c>
    </row>
    <row r="181" spans="1:41"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tr">
        <f t="shared" si="4"/>
        <v>Research</v>
      </c>
      <c r="AK181">
        <f t="shared" si="5"/>
        <v>0</v>
      </c>
      <c r="AL181">
        <f>IF(Table1[[#This Row],[Attrition]]="Yes", Table1[[#This Row],[MonthlyIncome]]*12*1.5, 0)</f>
        <v>0</v>
      </c>
      <c r="AM181" t="str" cm="1">
        <f t="array" ref="AM181">_xlfn.IFS(
Table1[[#This Row],[MonthlyIncome]]&lt;3000,"Under 3K",
Table1[[#This Row],[MonthlyIncome]]&lt;6000,"3K-6K",
Table1[[#This Row],[MonthlyIncome]]&lt;9000,"6K-9K",
Table1[[#This Row],[MonthlyIncome]]&lt;12000,"9K-12K",
TRUE,"12K+")</f>
        <v>Under 3K</v>
      </c>
      <c r="AN181">
        <f>1</f>
        <v>1</v>
      </c>
      <c r="AO181" t="str" cm="1">
        <f t="array" ref="AO181">_xlfn.IFS(
Table1[[#This Row],[YearsAtCompany]]&lt;=2,"0-2 Years",
Table1[[#This Row],[YearsAtCompany]]&lt;=5,"3-5 Years",
Table1[[#This Row],[YearsAtCompany]]&lt;=10,"6-10 Years",
TRUE,"10+ Years")</f>
        <v>0-2 Years</v>
      </c>
    </row>
    <row r="182" spans="1:41"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tr">
        <f t="shared" si="4"/>
        <v>Research</v>
      </c>
      <c r="AK182">
        <f t="shared" si="5"/>
        <v>0</v>
      </c>
      <c r="AL182">
        <f>IF(Table1[[#This Row],[Attrition]]="Yes", Table1[[#This Row],[MonthlyIncome]]*12*1.5, 0)</f>
        <v>0</v>
      </c>
      <c r="AM182" t="str" cm="1">
        <f t="array" ref="AM182">_xlfn.IFS(
Table1[[#This Row],[MonthlyIncome]]&lt;3000,"Under 3K",
Table1[[#This Row],[MonthlyIncome]]&lt;6000,"3K-6K",
Table1[[#This Row],[MonthlyIncome]]&lt;9000,"6K-9K",
Table1[[#This Row],[MonthlyIncome]]&lt;12000,"9K-12K",
TRUE,"12K+")</f>
        <v>3K-6K</v>
      </c>
      <c r="AN182">
        <f>1</f>
        <v>1</v>
      </c>
      <c r="AO182" t="str" cm="1">
        <f t="array" ref="AO182">_xlfn.IFS(
Table1[[#This Row],[YearsAtCompany]]&lt;=2,"0-2 Years",
Table1[[#This Row],[YearsAtCompany]]&lt;=5,"3-5 Years",
Table1[[#This Row],[YearsAtCompany]]&lt;=10,"6-10 Years",
TRUE,"10+ Years")</f>
        <v>3-5 Years</v>
      </c>
    </row>
    <row r="183" spans="1:41"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tr">
        <f t="shared" si="4"/>
        <v>Research</v>
      </c>
      <c r="AK183">
        <f t="shared" si="5"/>
        <v>0</v>
      </c>
      <c r="AL183">
        <f>IF(Table1[[#This Row],[Attrition]]="Yes", Table1[[#This Row],[MonthlyIncome]]*12*1.5, 0)</f>
        <v>0</v>
      </c>
      <c r="AM183" t="str" cm="1">
        <f t="array" ref="AM183">_xlfn.IFS(
Table1[[#This Row],[MonthlyIncome]]&lt;3000,"Under 3K",
Table1[[#This Row],[MonthlyIncome]]&lt;6000,"3K-6K",
Table1[[#This Row],[MonthlyIncome]]&lt;9000,"6K-9K",
Table1[[#This Row],[MonthlyIncome]]&lt;12000,"9K-12K",
TRUE,"12K+")</f>
        <v>Under 3K</v>
      </c>
      <c r="AN183">
        <f>1</f>
        <v>1</v>
      </c>
      <c r="AO183" t="str" cm="1">
        <f t="array" ref="AO183">_xlfn.IFS(
Table1[[#This Row],[YearsAtCompany]]&lt;=2,"0-2 Years",
Table1[[#This Row],[YearsAtCompany]]&lt;=5,"3-5 Years",
Table1[[#This Row],[YearsAtCompany]]&lt;=10,"6-10 Years",
TRUE,"10+ Years")</f>
        <v>3-5 Years</v>
      </c>
    </row>
    <row r="184" spans="1:41"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tr">
        <f t="shared" si="4"/>
        <v>Sales</v>
      </c>
      <c r="AK184">
        <f t="shared" si="5"/>
        <v>1</v>
      </c>
      <c r="AL184">
        <f>IF(Table1[[#This Row],[Attrition]]="Yes", Table1[[#This Row],[MonthlyIncome]]*12*1.5, 0)</f>
        <v>56520</v>
      </c>
      <c r="AM184" t="str" cm="1">
        <f t="array" ref="AM184">_xlfn.IFS(
Table1[[#This Row],[MonthlyIncome]]&lt;3000,"Under 3K",
Table1[[#This Row],[MonthlyIncome]]&lt;6000,"3K-6K",
Table1[[#This Row],[MonthlyIncome]]&lt;9000,"6K-9K",
Table1[[#This Row],[MonthlyIncome]]&lt;12000,"9K-12K",
TRUE,"12K+")</f>
        <v>3K-6K</v>
      </c>
      <c r="AN184">
        <f>1</f>
        <v>1</v>
      </c>
      <c r="AO184" t="str" cm="1">
        <f t="array" ref="AO184">_xlfn.IFS(
Table1[[#This Row],[YearsAtCompany]]&lt;=2,"0-2 Years",
Table1[[#This Row],[YearsAtCompany]]&lt;=5,"3-5 Years",
Table1[[#This Row],[YearsAtCompany]]&lt;=10,"6-10 Years",
TRUE,"10+ Years")</f>
        <v>3-5 Years</v>
      </c>
    </row>
    <row r="185" spans="1:41"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tr">
        <f t="shared" si="4"/>
        <v>Research</v>
      </c>
      <c r="AK185">
        <f t="shared" si="5"/>
        <v>0</v>
      </c>
      <c r="AL185">
        <f>IF(Table1[[#This Row],[Attrition]]="Yes", Table1[[#This Row],[MonthlyIncome]]*12*1.5, 0)</f>
        <v>0</v>
      </c>
      <c r="AM185" t="str" cm="1">
        <f t="array" ref="AM185">_xlfn.IFS(
Table1[[#This Row],[MonthlyIncome]]&lt;3000,"Under 3K",
Table1[[#This Row],[MonthlyIncome]]&lt;6000,"3K-6K",
Table1[[#This Row],[MonthlyIncome]]&lt;9000,"6K-9K",
Table1[[#This Row],[MonthlyIncome]]&lt;12000,"9K-12K",
TRUE,"12K+")</f>
        <v>3K-6K</v>
      </c>
      <c r="AN185">
        <f>1</f>
        <v>1</v>
      </c>
      <c r="AO185" t="str" cm="1">
        <f t="array" ref="AO185">_xlfn.IFS(
Table1[[#This Row],[YearsAtCompany]]&lt;=2,"0-2 Years",
Table1[[#This Row],[YearsAtCompany]]&lt;=5,"3-5 Years",
Table1[[#This Row],[YearsAtCompany]]&lt;=10,"6-10 Years",
TRUE,"10+ Years")</f>
        <v>3-5 Years</v>
      </c>
    </row>
    <row r="186" spans="1:41"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tr">
        <f t="shared" si="4"/>
        <v>Operations</v>
      </c>
      <c r="AK186">
        <f t="shared" si="5"/>
        <v>0</v>
      </c>
      <c r="AL186">
        <f>IF(Table1[[#This Row],[Attrition]]="Yes", Table1[[#This Row],[MonthlyIncome]]*12*1.5, 0)</f>
        <v>0</v>
      </c>
      <c r="AM186" t="str" cm="1">
        <f t="array" ref="AM186">_xlfn.IFS(
Table1[[#This Row],[MonthlyIncome]]&lt;3000,"Under 3K",
Table1[[#This Row],[MonthlyIncome]]&lt;6000,"3K-6K",
Table1[[#This Row],[MonthlyIncome]]&lt;9000,"6K-9K",
Table1[[#This Row],[MonthlyIncome]]&lt;12000,"9K-12K",
TRUE,"12K+")</f>
        <v>3K-6K</v>
      </c>
      <c r="AN186">
        <f>1</f>
        <v>1</v>
      </c>
      <c r="AO186" t="str" cm="1">
        <f t="array" ref="AO186">_xlfn.IFS(
Table1[[#This Row],[YearsAtCompany]]&lt;=2,"0-2 Years",
Table1[[#This Row],[YearsAtCompany]]&lt;=5,"3-5 Years",
Table1[[#This Row],[YearsAtCompany]]&lt;=10,"6-10 Years",
TRUE,"10+ Years")</f>
        <v>3-5 Years</v>
      </c>
    </row>
    <row r="187" spans="1:41"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tr">
        <f t="shared" si="4"/>
        <v>Research</v>
      </c>
      <c r="AK187">
        <f t="shared" si="5"/>
        <v>0</v>
      </c>
      <c r="AL187">
        <f>IF(Table1[[#This Row],[Attrition]]="Yes", Table1[[#This Row],[MonthlyIncome]]*12*1.5, 0)</f>
        <v>0</v>
      </c>
      <c r="AM187" t="str" cm="1">
        <f t="array" ref="AM187">_xlfn.IFS(
Table1[[#This Row],[MonthlyIncome]]&lt;3000,"Under 3K",
Table1[[#This Row],[MonthlyIncome]]&lt;6000,"3K-6K",
Table1[[#This Row],[MonthlyIncome]]&lt;9000,"6K-9K",
Table1[[#This Row],[MonthlyIncome]]&lt;12000,"9K-12K",
TRUE,"12K+")</f>
        <v>Under 3K</v>
      </c>
      <c r="AN187">
        <f>1</f>
        <v>1</v>
      </c>
      <c r="AO187" t="str" cm="1">
        <f t="array" ref="AO187">_xlfn.IFS(
Table1[[#This Row],[YearsAtCompany]]&lt;=2,"0-2 Years",
Table1[[#This Row],[YearsAtCompany]]&lt;=5,"3-5 Years",
Table1[[#This Row],[YearsAtCompany]]&lt;=10,"6-10 Years",
TRUE,"10+ Years")</f>
        <v>6-10 Years</v>
      </c>
    </row>
    <row r="188" spans="1:41"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tr">
        <f t="shared" si="4"/>
        <v>Management</v>
      </c>
      <c r="AK188">
        <f t="shared" si="5"/>
        <v>0</v>
      </c>
      <c r="AL188">
        <f>IF(Table1[[#This Row],[Attrition]]="Yes", Table1[[#This Row],[MonthlyIncome]]*12*1.5, 0)</f>
        <v>0</v>
      </c>
      <c r="AM188" t="str" cm="1">
        <f t="array" ref="AM188">_xlfn.IFS(
Table1[[#This Row],[MonthlyIncome]]&lt;3000,"Under 3K",
Table1[[#This Row],[MonthlyIncome]]&lt;6000,"3K-6K",
Table1[[#This Row],[MonthlyIncome]]&lt;9000,"6K-9K",
Table1[[#This Row],[MonthlyIncome]]&lt;12000,"9K-12K",
TRUE,"12K+")</f>
        <v>12K+</v>
      </c>
      <c r="AN188">
        <f>1</f>
        <v>1</v>
      </c>
      <c r="AO188" t="str" cm="1">
        <f t="array" ref="AO188">_xlfn.IFS(
Table1[[#This Row],[YearsAtCompany]]&lt;=2,"0-2 Years",
Table1[[#This Row],[YearsAtCompany]]&lt;=5,"3-5 Years",
Table1[[#This Row],[YearsAtCompany]]&lt;=10,"6-10 Years",
TRUE,"10+ Years")</f>
        <v>10+ Years</v>
      </c>
    </row>
    <row r="189" spans="1:41"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tr">
        <f t="shared" si="4"/>
        <v>Research</v>
      </c>
      <c r="AK189">
        <f t="shared" si="5"/>
        <v>0</v>
      </c>
      <c r="AL189">
        <f>IF(Table1[[#This Row],[Attrition]]="Yes", Table1[[#This Row],[MonthlyIncome]]*12*1.5, 0)</f>
        <v>0</v>
      </c>
      <c r="AM189" t="str" cm="1">
        <f t="array" ref="AM189">_xlfn.IFS(
Table1[[#This Row],[MonthlyIncome]]&lt;3000,"Under 3K",
Table1[[#This Row],[MonthlyIncome]]&lt;6000,"3K-6K",
Table1[[#This Row],[MonthlyIncome]]&lt;9000,"6K-9K",
Table1[[#This Row],[MonthlyIncome]]&lt;12000,"9K-12K",
TRUE,"12K+")</f>
        <v>12K+</v>
      </c>
      <c r="AN189">
        <f>1</f>
        <v>1</v>
      </c>
      <c r="AO189" t="str" cm="1">
        <f t="array" ref="AO189">_xlfn.IFS(
Table1[[#This Row],[YearsAtCompany]]&lt;=2,"0-2 Years",
Table1[[#This Row],[YearsAtCompany]]&lt;=5,"3-5 Years",
Table1[[#This Row],[YearsAtCompany]]&lt;=10,"6-10 Years",
TRUE,"10+ Years")</f>
        <v>10+ Years</v>
      </c>
    </row>
    <row r="190" spans="1:41"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tr">
        <f t="shared" si="4"/>
        <v>Operations</v>
      </c>
      <c r="AK190">
        <f t="shared" si="5"/>
        <v>0</v>
      </c>
      <c r="AL190">
        <f>IF(Table1[[#This Row],[Attrition]]="Yes", Table1[[#This Row],[MonthlyIncome]]*12*1.5, 0)</f>
        <v>0</v>
      </c>
      <c r="AM190" t="str" cm="1">
        <f t="array" ref="AM190">_xlfn.IFS(
Table1[[#This Row],[MonthlyIncome]]&lt;3000,"Under 3K",
Table1[[#This Row],[MonthlyIncome]]&lt;6000,"3K-6K",
Table1[[#This Row],[MonthlyIncome]]&lt;9000,"6K-9K",
Table1[[#This Row],[MonthlyIncome]]&lt;12000,"9K-12K",
TRUE,"12K+")</f>
        <v>9K-12K</v>
      </c>
      <c r="AN190">
        <f>1</f>
        <v>1</v>
      </c>
      <c r="AO190" t="str" cm="1">
        <f t="array" ref="AO190">_xlfn.IFS(
Table1[[#This Row],[YearsAtCompany]]&lt;=2,"0-2 Years",
Table1[[#This Row],[YearsAtCompany]]&lt;=5,"3-5 Years",
Table1[[#This Row],[YearsAtCompany]]&lt;=10,"6-10 Years",
TRUE,"10+ Years")</f>
        <v>6-10 Years</v>
      </c>
    </row>
    <row r="191" spans="1:41"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tr">
        <f t="shared" si="4"/>
        <v>Healthcare</v>
      </c>
      <c r="AK191">
        <f t="shared" si="5"/>
        <v>0</v>
      </c>
      <c r="AL191">
        <f>IF(Table1[[#This Row],[Attrition]]="Yes", Table1[[#This Row],[MonthlyIncome]]*12*1.5, 0)</f>
        <v>0</v>
      </c>
      <c r="AM191" t="str" cm="1">
        <f t="array" ref="AM191">_xlfn.IFS(
Table1[[#This Row],[MonthlyIncome]]&lt;3000,"Under 3K",
Table1[[#This Row],[MonthlyIncome]]&lt;6000,"3K-6K",
Table1[[#This Row],[MonthlyIncome]]&lt;9000,"6K-9K",
Table1[[#This Row],[MonthlyIncome]]&lt;12000,"9K-12K",
TRUE,"12K+")</f>
        <v>12K+</v>
      </c>
      <c r="AN191">
        <f>1</f>
        <v>1</v>
      </c>
      <c r="AO191" t="str" cm="1">
        <f t="array" ref="AO191">_xlfn.IFS(
Table1[[#This Row],[YearsAtCompany]]&lt;=2,"0-2 Years",
Table1[[#This Row],[YearsAtCompany]]&lt;=5,"3-5 Years",
Table1[[#This Row],[YearsAtCompany]]&lt;=10,"6-10 Years",
TRUE,"10+ Years")</f>
        <v>6-10 Years</v>
      </c>
    </row>
    <row r="192" spans="1:41"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tr">
        <f t="shared" si="4"/>
        <v>Management</v>
      </c>
      <c r="AK192">
        <f t="shared" si="5"/>
        <v>0</v>
      </c>
      <c r="AL192">
        <f>IF(Table1[[#This Row],[Attrition]]="Yes", Table1[[#This Row],[MonthlyIncome]]*12*1.5, 0)</f>
        <v>0</v>
      </c>
      <c r="AM192" t="str" cm="1">
        <f t="array" ref="AM192">_xlfn.IFS(
Table1[[#This Row],[MonthlyIncome]]&lt;3000,"Under 3K",
Table1[[#This Row],[MonthlyIncome]]&lt;6000,"3K-6K",
Table1[[#This Row],[MonthlyIncome]]&lt;9000,"6K-9K",
Table1[[#This Row],[MonthlyIncome]]&lt;12000,"9K-12K",
TRUE,"12K+")</f>
        <v>12K+</v>
      </c>
      <c r="AN192">
        <f>1</f>
        <v>1</v>
      </c>
      <c r="AO192" t="str" cm="1">
        <f t="array" ref="AO192">_xlfn.IFS(
Table1[[#This Row],[YearsAtCompany]]&lt;=2,"0-2 Years",
Table1[[#This Row],[YearsAtCompany]]&lt;=5,"3-5 Years",
Table1[[#This Row],[YearsAtCompany]]&lt;=10,"6-10 Years",
TRUE,"10+ Years")</f>
        <v>10+ Years</v>
      </c>
    </row>
    <row r="193" spans="1:41"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tr">
        <f t="shared" si="4"/>
        <v>Research</v>
      </c>
      <c r="AK193">
        <f t="shared" si="5"/>
        <v>0</v>
      </c>
      <c r="AL193">
        <f>IF(Table1[[#This Row],[Attrition]]="Yes", Table1[[#This Row],[MonthlyIncome]]*12*1.5, 0)</f>
        <v>0</v>
      </c>
      <c r="AM193" t="str" cm="1">
        <f t="array" ref="AM193">_xlfn.IFS(
Table1[[#This Row],[MonthlyIncome]]&lt;3000,"Under 3K",
Table1[[#This Row],[MonthlyIncome]]&lt;6000,"3K-6K",
Table1[[#This Row],[MonthlyIncome]]&lt;9000,"6K-9K",
Table1[[#This Row],[MonthlyIncome]]&lt;12000,"9K-12K",
TRUE,"12K+")</f>
        <v>Under 3K</v>
      </c>
      <c r="AN193">
        <f>1</f>
        <v>1</v>
      </c>
      <c r="AO193" t="str" cm="1">
        <f t="array" ref="AO193">_xlfn.IFS(
Table1[[#This Row],[YearsAtCompany]]&lt;=2,"0-2 Years",
Table1[[#This Row],[YearsAtCompany]]&lt;=5,"3-5 Years",
Table1[[#This Row],[YearsAtCompany]]&lt;=10,"6-10 Years",
TRUE,"10+ Years")</f>
        <v>6-10 Years</v>
      </c>
    </row>
    <row r="194" spans="1:41"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tr">
        <f t="shared" si="4"/>
        <v>Operations</v>
      </c>
      <c r="AK194">
        <f t="shared" si="5"/>
        <v>1</v>
      </c>
      <c r="AL194">
        <f>IF(Table1[[#This Row],[Attrition]]="Yes", Table1[[#This Row],[MonthlyIncome]]*12*1.5, 0)</f>
        <v>106488</v>
      </c>
      <c r="AM194" t="str" cm="1">
        <f t="array" ref="AM194">_xlfn.IFS(
Table1[[#This Row],[MonthlyIncome]]&lt;3000,"Under 3K",
Table1[[#This Row],[MonthlyIncome]]&lt;6000,"3K-6K",
Table1[[#This Row],[MonthlyIncome]]&lt;9000,"6K-9K",
Table1[[#This Row],[MonthlyIncome]]&lt;12000,"9K-12K",
TRUE,"12K+")</f>
        <v>3K-6K</v>
      </c>
      <c r="AN194">
        <f>1</f>
        <v>1</v>
      </c>
      <c r="AO194" t="str" cm="1">
        <f t="array" ref="AO194">_xlfn.IFS(
Table1[[#This Row],[YearsAtCompany]]&lt;=2,"0-2 Years",
Table1[[#This Row],[YearsAtCompany]]&lt;=5,"3-5 Years",
Table1[[#This Row],[YearsAtCompany]]&lt;=10,"6-10 Years",
TRUE,"10+ Years")</f>
        <v>0-2 Years</v>
      </c>
    </row>
    <row r="195" spans="1:41"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tr">
        <f t="shared" ref="AJ195:AJ258" si="6">_xlfn.XLOOKUP(P195, $AP$2:$AP$10,$AQ$2:$AQ$10)</f>
        <v>Research</v>
      </c>
      <c r="AK195">
        <f t="shared" ref="AK195:AK258" si="7">IF(B195 ="Yes",1,0)</f>
        <v>0</v>
      </c>
      <c r="AL195">
        <f>IF(Table1[[#This Row],[Attrition]]="Yes", Table1[[#This Row],[MonthlyIncome]]*12*1.5, 0)</f>
        <v>0</v>
      </c>
      <c r="AM195" t="str" cm="1">
        <f t="array" ref="AM195">_xlfn.IFS(
Table1[[#This Row],[MonthlyIncome]]&lt;3000,"Under 3K",
Table1[[#This Row],[MonthlyIncome]]&lt;6000,"3K-6K",
Table1[[#This Row],[MonthlyIncome]]&lt;9000,"6K-9K",
Table1[[#This Row],[MonthlyIncome]]&lt;12000,"9K-12K",
TRUE,"12K+")</f>
        <v>Under 3K</v>
      </c>
      <c r="AN195">
        <f>1</f>
        <v>1</v>
      </c>
      <c r="AO195" t="str" cm="1">
        <f t="array" ref="AO195">_xlfn.IFS(
Table1[[#This Row],[YearsAtCompany]]&lt;=2,"0-2 Years",
Table1[[#This Row],[YearsAtCompany]]&lt;=5,"3-5 Years",
Table1[[#This Row],[YearsAtCompany]]&lt;=10,"6-10 Years",
TRUE,"10+ Years")</f>
        <v>3-5 Years</v>
      </c>
    </row>
    <row r="196" spans="1:41"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tr">
        <f t="shared" si="6"/>
        <v>Management</v>
      </c>
      <c r="AK196">
        <f t="shared" si="7"/>
        <v>0</v>
      </c>
      <c r="AL196">
        <f>IF(Table1[[#This Row],[Attrition]]="Yes", Table1[[#This Row],[MonthlyIncome]]*12*1.5, 0)</f>
        <v>0</v>
      </c>
      <c r="AM196" t="str" cm="1">
        <f t="array" ref="AM196">_xlfn.IFS(
Table1[[#This Row],[MonthlyIncome]]&lt;3000,"Under 3K",
Table1[[#This Row],[MonthlyIncome]]&lt;6000,"3K-6K",
Table1[[#This Row],[MonthlyIncome]]&lt;9000,"6K-9K",
Table1[[#This Row],[MonthlyIncome]]&lt;12000,"9K-12K",
TRUE,"12K+")</f>
        <v>12K+</v>
      </c>
      <c r="AN196">
        <f>1</f>
        <v>1</v>
      </c>
      <c r="AO196" t="str" cm="1">
        <f t="array" ref="AO196">_xlfn.IFS(
Table1[[#This Row],[YearsAtCompany]]&lt;=2,"0-2 Years",
Table1[[#This Row],[YearsAtCompany]]&lt;=5,"3-5 Years",
Table1[[#This Row],[YearsAtCompany]]&lt;=10,"6-10 Years",
TRUE,"10+ Years")</f>
        <v>10+ Years</v>
      </c>
    </row>
    <row r="197" spans="1:41"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tr">
        <f t="shared" si="6"/>
        <v>Research</v>
      </c>
      <c r="AK197">
        <f t="shared" si="7"/>
        <v>0</v>
      </c>
      <c r="AL197">
        <f>IF(Table1[[#This Row],[Attrition]]="Yes", Table1[[#This Row],[MonthlyIncome]]*12*1.5, 0)</f>
        <v>0</v>
      </c>
      <c r="AM197" t="str" cm="1">
        <f t="array" ref="AM197">_xlfn.IFS(
Table1[[#This Row],[MonthlyIncome]]&lt;3000,"Under 3K",
Table1[[#This Row],[MonthlyIncome]]&lt;6000,"3K-6K",
Table1[[#This Row],[MonthlyIncome]]&lt;9000,"6K-9K",
Table1[[#This Row],[MonthlyIncome]]&lt;12000,"9K-12K",
TRUE,"12K+")</f>
        <v>3K-6K</v>
      </c>
      <c r="AN197">
        <f>1</f>
        <v>1</v>
      </c>
      <c r="AO197" t="str" cm="1">
        <f t="array" ref="AO197">_xlfn.IFS(
Table1[[#This Row],[YearsAtCompany]]&lt;=2,"0-2 Years",
Table1[[#This Row],[YearsAtCompany]]&lt;=5,"3-5 Years",
Table1[[#This Row],[YearsAtCompany]]&lt;=10,"6-10 Years",
TRUE,"10+ Years")</f>
        <v>6-10 Years</v>
      </c>
    </row>
    <row r="198" spans="1:41"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tr">
        <f t="shared" si="6"/>
        <v>Research</v>
      </c>
      <c r="AK198">
        <f t="shared" si="7"/>
        <v>0</v>
      </c>
      <c r="AL198">
        <f>IF(Table1[[#This Row],[Attrition]]="Yes", Table1[[#This Row],[MonthlyIncome]]*12*1.5, 0)</f>
        <v>0</v>
      </c>
      <c r="AM198" t="str" cm="1">
        <f t="array" ref="AM198">_xlfn.IFS(
Table1[[#This Row],[MonthlyIncome]]&lt;3000,"Under 3K",
Table1[[#This Row],[MonthlyIncome]]&lt;6000,"3K-6K",
Table1[[#This Row],[MonthlyIncome]]&lt;9000,"6K-9K",
Table1[[#This Row],[MonthlyIncome]]&lt;12000,"9K-12K",
TRUE,"12K+")</f>
        <v>3K-6K</v>
      </c>
      <c r="AN198">
        <f>1</f>
        <v>1</v>
      </c>
      <c r="AO198" t="str" cm="1">
        <f t="array" ref="AO198">_xlfn.IFS(
Table1[[#This Row],[YearsAtCompany]]&lt;=2,"0-2 Years",
Table1[[#This Row],[YearsAtCompany]]&lt;=5,"3-5 Years",
Table1[[#This Row],[YearsAtCompany]]&lt;=10,"6-10 Years",
TRUE,"10+ Years")</f>
        <v>6-10 Years</v>
      </c>
    </row>
    <row r="199" spans="1:41"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tr">
        <f t="shared" si="6"/>
        <v>Operations</v>
      </c>
      <c r="AK199">
        <f t="shared" si="7"/>
        <v>0</v>
      </c>
      <c r="AL199">
        <f>IF(Table1[[#This Row],[Attrition]]="Yes", Table1[[#This Row],[MonthlyIncome]]*12*1.5, 0)</f>
        <v>0</v>
      </c>
      <c r="AM199" t="str" cm="1">
        <f t="array" ref="AM199">_xlfn.IFS(
Table1[[#This Row],[MonthlyIncome]]&lt;3000,"Under 3K",
Table1[[#This Row],[MonthlyIncome]]&lt;6000,"3K-6K",
Table1[[#This Row],[MonthlyIncome]]&lt;9000,"6K-9K",
Table1[[#This Row],[MonthlyIncome]]&lt;12000,"9K-12K",
TRUE,"12K+")</f>
        <v>3K-6K</v>
      </c>
      <c r="AN199">
        <f>1</f>
        <v>1</v>
      </c>
      <c r="AO199" t="str" cm="1">
        <f t="array" ref="AO199">_xlfn.IFS(
Table1[[#This Row],[YearsAtCompany]]&lt;=2,"0-2 Years",
Table1[[#This Row],[YearsAtCompany]]&lt;=5,"3-5 Years",
Table1[[#This Row],[YearsAtCompany]]&lt;=10,"6-10 Years",
TRUE,"10+ Years")</f>
        <v>3-5 Years</v>
      </c>
    </row>
    <row r="200" spans="1:41"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tr">
        <f t="shared" si="6"/>
        <v>Operations</v>
      </c>
      <c r="AK200">
        <f t="shared" si="7"/>
        <v>0</v>
      </c>
      <c r="AL200">
        <f>IF(Table1[[#This Row],[Attrition]]="Yes", Table1[[#This Row],[MonthlyIncome]]*12*1.5, 0)</f>
        <v>0</v>
      </c>
      <c r="AM200" t="str" cm="1">
        <f t="array" ref="AM200">_xlfn.IFS(
Table1[[#This Row],[MonthlyIncome]]&lt;3000,"Under 3K",
Table1[[#This Row],[MonthlyIncome]]&lt;6000,"3K-6K",
Table1[[#This Row],[MonthlyIncome]]&lt;9000,"6K-9K",
Table1[[#This Row],[MonthlyIncome]]&lt;12000,"9K-12K",
TRUE,"12K+")</f>
        <v>6K-9K</v>
      </c>
      <c r="AN200">
        <f>1</f>
        <v>1</v>
      </c>
      <c r="AO200" t="str" cm="1">
        <f t="array" ref="AO200">_xlfn.IFS(
Table1[[#This Row],[YearsAtCompany]]&lt;=2,"0-2 Years",
Table1[[#This Row],[YearsAtCompany]]&lt;=5,"3-5 Years",
Table1[[#This Row],[YearsAtCompany]]&lt;=10,"6-10 Years",
TRUE,"10+ Years")</f>
        <v>0-2 Years</v>
      </c>
    </row>
    <row r="201" spans="1:41"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tr">
        <f t="shared" si="6"/>
        <v>Operations</v>
      </c>
      <c r="AK201">
        <f t="shared" si="7"/>
        <v>0</v>
      </c>
      <c r="AL201">
        <f>IF(Table1[[#This Row],[Attrition]]="Yes", Table1[[#This Row],[MonthlyIncome]]*12*1.5, 0)</f>
        <v>0</v>
      </c>
      <c r="AM201" t="str" cm="1">
        <f t="array" ref="AM201">_xlfn.IFS(
Table1[[#This Row],[MonthlyIncome]]&lt;3000,"Under 3K",
Table1[[#This Row],[MonthlyIncome]]&lt;6000,"3K-6K",
Table1[[#This Row],[MonthlyIncome]]&lt;9000,"6K-9K",
Table1[[#This Row],[MonthlyIncome]]&lt;12000,"9K-12K",
TRUE,"12K+")</f>
        <v>6K-9K</v>
      </c>
      <c r="AN201">
        <f>1</f>
        <v>1</v>
      </c>
      <c r="AO201" t="str" cm="1">
        <f t="array" ref="AO201">_xlfn.IFS(
Table1[[#This Row],[YearsAtCompany]]&lt;=2,"0-2 Years",
Table1[[#This Row],[YearsAtCompany]]&lt;=5,"3-5 Years",
Table1[[#This Row],[YearsAtCompany]]&lt;=10,"6-10 Years",
TRUE,"10+ Years")</f>
        <v>6-10 Years</v>
      </c>
    </row>
    <row r="202" spans="1:41"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tr">
        <f t="shared" si="6"/>
        <v>Operations</v>
      </c>
      <c r="AK202">
        <f t="shared" si="7"/>
        <v>0</v>
      </c>
      <c r="AL202">
        <f>IF(Table1[[#This Row],[Attrition]]="Yes", Table1[[#This Row],[MonthlyIncome]]*12*1.5, 0)</f>
        <v>0</v>
      </c>
      <c r="AM202" t="str" cm="1">
        <f t="array" ref="AM202">_xlfn.IFS(
Table1[[#This Row],[MonthlyIncome]]&lt;3000,"Under 3K",
Table1[[#This Row],[MonthlyIncome]]&lt;6000,"3K-6K",
Table1[[#This Row],[MonthlyIncome]]&lt;9000,"6K-9K",
Table1[[#This Row],[MonthlyIncome]]&lt;12000,"9K-12K",
TRUE,"12K+")</f>
        <v>3K-6K</v>
      </c>
      <c r="AN202">
        <f>1</f>
        <v>1</v>
      </c>
      <c r="AO202" t="str" cm="1">
        <f t="array" ref="AO202">_xlfn.IFS(
Table1[[#This Row],[YearsAtCompany]]&lt;=2,"0-2 Years",
Table1[[#This Row],[YearsAtCompany]]&lt;=5,"3-5 Years",
Table1[[#This Row],[YearsAtCompany]]&lt;=10,"6-10 Years",
TRUE,"10+ Years")</f>
        <v>0-2 Years</v>
      </c>
    </row>
    <row r="203" spans="1:41"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tr">
        <f t="shared" si="6"/>
        <v>Operations</v>
      </c>
      <c r="AK203">
        <f t="shared" si="7"/>
        <v>0</v>
      </c>
      <c r="AL203">
        <f>IF(Table1[[#This Row],[Attrition]]="Yes", Table1[[#This Row],[MonthlyIncome]]*12*1.5, 0)</f>
        <v>0</v>
      </c>
      <c r="AM203" t="str" cm="1">
        <f t="array" ref="AM203">_xlfn.IFS(
Table1[[#This Row],[MonthlyIncome]]&lt;3000,"Under 3K",
Table1[[#This Row],[MonthlyIncome]]&lt;6000,"3K-6K",
Table1[[#This Row],[MonthlyIncome]]&lt;9000,"6K-9K",
Table1[[#This Row],[MonthlyIncome]]&lt;12000,"9K-12K",
TRUE,"12K+")</f>
        <v>6K-9K</v>
      </c>
      <c r="AN203">
        <f>1</f>
        <v>1</v>
      </c>
      <c r="AO203" t="str" cm="1">
        <f t="array" ref="AO203">_xlfn.IFS(
Table1[[#This Row],[YearsAtCompany]]&lt;=2,"0-2 Years",
Table1[[#This Row],[YearsAtCompany]]&lt;=5,"3-5 Years",
Table1[[#This Row],[YearsAtCompany]]&lt;=10,"6-10 Years",
TRUE,"10+ Years")</f>
        <v>6-10 Years</v>
      </c>
    </row>
    <row r="204" spans="1:41"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tr">
        <f t="shared" si="6"/>
        <v>Research</v>
      </c>
      <c r="AK204">
        <f t="shared" si="7"/>
        <v>0</v>
      </c>
      <c r="AL204">
        <f>IF(Table1[[#This Row],[Attrition]]="Yes", Table1[[#This Row],[MonthlyIncome]]*12*1.5, 0)</f>
        <v>0</v>
      </c>
      <c r="AM204" t="str" cm="1">
        <f t="array" ref="AM204">_xlfn.IFS(
Table1[[#This Row],[MonthlyIncome]]&lt;3000,"Under 3K",
Table1[[#This Row],[MonthlyIncome]]&lt;6000,"3K-6K",
Table1[[#This Row],[MonthlyIncome]]&lt;9000,"6K-9K",
Table1[[#This Row],[MonthlyIncome]]&lt;12000,"9K-12K",
TRUE,"12K+")</f>
        <v>3K-6K</v>
      </c>
      <c r="AN204">
        <f>1</f>
        <v>1</v>
      </c>
      <c r="AO204" t="str" cm="1">
        <f t="array" ref="AO204">_xlfn.IFS(
Table1[[#This Row],[YearsAtCompany]]&lt;=2,"0-2 Years",
Table1[[#This Row],[YearsAtCompany]]&lt;=5,"3-5 Years",
Table1[[#This Row],[YearsAtCompany]]&lt;=10,"6-10 Years",
TRUE,"10+ Years")</f>
        <v>3-5 Years</v>
      </c>
    </row>
    <row r="205" spans="1:41"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tr">
        <f t="shared" si="6"/>
        <v>Research</v>
      </c>
      <c r="AK205">
        <f t="shared" si="7"/>
        <v>0</v>
      </c>
      <c r="AL205">
        <f>IF(Table1[[#This Row],[Attrition]]="Yes", Table1[[#This Row],[MonthlyIncome]]*12*1.5, 0)</f>
        <v>0</v>
      </c>
      <c r="AM205" t="str" cm="1">
        <f t="array" ref="AM205">_xlfn.IFS(
Table1[[#This Row],[MonthlyIncome]]&lt;3000,"Under 3K",
Table1[[#This Row],[MonthlyIncome]]&lt;6000,"3K-6K",
Table1[[#This Row],[MonthlyIncome]]&lt;9000,"6K-9K",
Table1[[#This Row],[MonthlyIncome]]&lt;12000,"9K-12K",
TRUE,"12K+")</f>
        <v>Under 3K</v>
      </c>
      <c r="AN205">
        <f>1</f>
        <v>1</v>
      </c>
      <c r="AO205" t="str" cm="1">
        <f t="array" ref="AO205">_xlfn.IFS(
Table1[[#This Row],[YearsAtCompany]]&lt;=2,"0-2 Years",
Table1[[#This Row],[YearsAtCompany]]&lt;=5,"3-5 Years",
Table1[[#This Row],[YearsAtCompany]]&lt;=10,"6-10 Years",
TRUE,"10+ Years")</f>
        <v>6-10 Years</v>
      </c>
    </row>
    <row r="206" spans="1:41"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tr">
        <f t="shared" si="6"/>
        <v>Healthcare</v>
      </c>
      <c r="AK206">
        <f t="shared" si="7"/>
        <v>1</v>
      </c>
      <c r="AL206">
        <f>IF(Table1[[#This Row],[Attrition]]="Yes", Table1[[#This Row],[MonthlyIncome]]*12*1.5, 0)</f>
        <v>120114</v>
      </c>
      <c r="AM206" t="str" cm="1">
        <f t="array" ref="AM206">_xlfn.IFS(
Table1[[#This Row],[MonthlyIncome]]&lt;3000,"Under 3K",
Table1[[#This Row],[MonthlyIncome]]&lt;6000,"3K-6K",
Table1[[#This Row],[MonthlyIncome]]&lt;9000,"6K-9K",
Table1[[#This Row],[MonthlyIncome]]&lt;12000,"9K-12K",
TRUE,"12K+")</f>
        <v>6K-9K</v>
      </c>
      <c r="AN206">
        <f>1</f>
        <v>1</v>
      </c>
      <c r="AO206" t="str" cm="1">
        <f t="array" ref="AO206">_xlfn.IFS(
Table1[[#This Row],[YearsAtCompany]]&lt;=2,"0-2 Years",
Table1[[#This Row],[YearsAtCompany]]&lt;=5,"3-5 Years",
Table1[[#This Row],[YearsAtCompany]]&lt;=10,"6-10 Years",
TRUE,"10+ Years")</f>
        <v>0-2 Years</v>
      </c>
    </row>
    <row r="207" spans="1:41"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tr">
        <f t="shared" si="6"/>
        <v>Sales</v>
      </c>
      <c r="AK207">
        <f t="shared" si="7"/>
        <v>1</v>
      </c>
      <c r="AL207">
        <f>IF(Table1[[#This Row],[Attrition]]="Yes", Table1[[#This Row],[MonthlyIncome]]*12*1.5, 0)</f>
        <v>137502</v>
      </c>
      <c r="AM207" t="str" cm="1">
        <f t="array" ref="AM207">_xlfn.IFS(
Table1[[#This Row],[MonthlyIncome]]&lt;3000,"Under 3K",
Table1[[#This Row],[MonthlyIncome]]&lt;6000,"3K-6K",
Table1[[#This Row],[MonthlyIncome]]&lt;9000,"6K-9K",
Table1[[#This Row],[MonthlyIncome]]&lt;12000,"9K-12K",
TRUE,"12K+")</f>
        <v>6K-9K</v>
      </c>
      <c r="AN207">
        <f>1</f>
        <v>1</v>
      </c>
      <c r="AO207" t="str" cm="1">
        <f t="array" ref="AO207">_xlfn.IFS(
Table1[[#This Row],[YearsAtCompany]]&lt;=2,"0-2 Years",
Table1[[#This Row],[YearsAtCompany]]&lt;=5,"3-5 Years",
Table1[[#This Row],[YearsAtCompany]]&lt;=10,"6-10 Years",
TRUE,"10+ Years")</f>
        <v>6-10 Years</v>
      </c>
    </row>
    <row r="208" spans="1:41"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tr">
        <f t="shared" si="6"/>
        <v>Research</v>
      </c>
      <c r="AK208">
        <f t="shared" si="7"/>
        <v>0</v>
      </c>
      <c r="AL208">
        <f>IF(Table1[[#This Row],[Attrition]]="Yes", Table1[[#This Row],[MonthlyIncome]]*12*1.5, 0)</f>
        <v>0</v>
      </c>
      <c r="AM208" t="str" cm="1">
        <f t="array" ref="AM208">_xlfn.IFS(
Table1[[#This Row],[MonthlyIncome]]&lt;3000,"Under 3K",
Table1[[#This Row],[MonthlyIncome]]&lt;6000,"3K-6K",
Table1[[#This Row],[MonthlyIncome]]&lt;9000,"6K-9K",
Table1[[#This Row],[MonthlyIncome]]&lt;12000,"9K-12K",
TRUE,"12K+")</f>
        <v>Under 3K</v>
      </c>
      <c r="AN208">
        <f>1</f>
        <v>1</v>
      </c>
      <c r="AO208" t="str" cm="1">
        <f t="array" ref="AO208">_xlfn.IFS(
Table1[[#This Row],[YearsAtCompany]]&lt;=2,"0-2 Years",
Table1[[#This Row],[YearsAtCompany]]&lt;=5,"3-5 Years",
Table1[[#This Row],[YearsAtCompany]]&lt;=10,"6-10 Years",
TRUE,"10+ Years")</f>
        <v>3-5 Years</v>
      </c>
    </row>
    <row r="209" spans="1:41"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tr">
        <f t="shared" si="6"/>
        <v>Research</v>
      </c>
      <c r="AK209">
        <f t="shared" si="7"/>
        <v>0</v>
      </c>
      <c r="AL209">
        <f>IF(Table1[[#This Row],[Attrition]]="Yes", Table1[[#This Row],[MonthlyIncome]]*12*1.5, 0)</f>
        <v>0</v>
      </c>
      <c r="AM209" t="str" cm="1">
        <f t="array" ref="AM209">_xlfn.IFS(
Table1[[#This Row],[MonthlyIncome]]&lt;3000,"Under 3K",
Table1[[#This Row],[MonthlyIncome]]&lt;6000,"3K-6K",
Table1[[#This Row],[MonthlyIncome]]&lt;9000,"6K-9K",
Table1[[#This Row],[MonthlyIncome]]&lt;12000,"9K-12K",
TRUE,"12K+")</f>
        <v>Under 3K</v>
      </c>
      <c r="AN209">
        <f>1</f>
        <v>1</v>
      </c>
      <c r="AO209" t="str" cm="1">
        <f t="array" ref="AO209">_xlfn.IFS(
Table1[[#This Row],[YearsAtCompany]]&lt;=2,"0-2 Years",
Table1[[#This Row],[YearsAtCompany]]&lt;=5,"3-5 Years",
Table1[[#This Row],[YearsAtCompany]]&lt;=10,"6-10 Years",
TRUE,"10+ Years")</f>
        <v>6-10 Years</v>
      </c>
    </row>
    <row r="210" spans="1:41"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tr">
        <f t="shared" si="6"/>
        <v>Healthcare</v>
      </c>
      <c r="AK210">
        <f t="shared" si="7"/>
        <v>0</v>
      </c>
      <c r="AL210">
        <f>IF(Table1[[#This Row],[Attrition]]="Yes", Table1[[#This Row],[MonthlyIncome]]*12*1.5, 0)</f>
        <v>0</v>
      </c>
      <c r="AM210" t="str" cm="1">
        <f t="array" ref="AM210">_xlfn.IFS(
Table1[[#This Row],[MonthlyIncome]]&lt;3000,"Under 3K",
Table1[[#This Row],[MonthlyIncome]]&lt;6000,"3K-6K",
Table1[[#This Row],[MonthlyIncome]]&lt;9000,"6K-9K",
Table1[[#This Row],[MonthlyIncome]]&lt;12000,"9K-12K",
TRUE,"12K+")</f>
        <v>3K-6K</v>
      </c>
      <c r="AN210">
        <f>1</f>
        <v>1</v>
      </c>
      <c r="AO210" t="str" cm="1">
        <f t="array" ref="AO210">_xlfn.IFS(
Table1[[#This Row],[YearsAtCompany]]&lt;=2,"0-2 Years",
Table1[[#This Row],[YearsAtCompany]]&lt;=5,"3-5 Years",
Table1[[#This Row],[YearsAtCompany]]&lt;=10,"6-10 Years",
TRUE,"10+ Years")</f>
        <v>3-5 Years</v>
      </c>
    </row>
    <row r="211" spans="1:41"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tr">
        <f t="shared" si="6"/>
        <v>Healthcare</v>
      </c>
      <c r="AK211">
        <f t="shared" si="7"/>
        <v>0</v>
      </c>
      <c r="AL211">
        <f>IF(Table1[[#This Row],[Attrition]]="Yes", Table1[[#This Row],[MonthlyIncome]]*12*1.5, 0)</f>
        <v>0</v>
      </c>
      <c r="AM211" t="str" cm="1">
        <f t="array" ref="AM211">_xlfn.IFS(
Table1[[#This Row],[MonthlyIncome]]&lt;3000,"Under 3K",
Table1[[#This Row],[MonthlyIncome]]&lt;6000,"3K-6K",
Table1[[#This Row],[MonthlyIncome]]&lt;9000,"6K-9K",
Table1[[#This Row],[MonthlyIncome]]&lt;12000,"9K-12K",
TRUE,"12K+")</f>
        <v>9K-12K</v>
      </c>
      <c r="AN211">
        <f>1</f>
        <v>1</v>
      </c>
      <c r="AO211" t="str" cm="1">
        <f t="array" ref="AO211">_xlfn.IFS(
Table1[[#This Row],[YearsAtCompany]]&lt;=2,"0-2 Years",
Table1[[#This Row],[YearsAtCompany]]&lt;=5,"3-5 Years",
Table1[[#This Row],[YearsAtCompany]]&lt;=10,"6-10 Years",
TRUE,"10+ Years")</f>
        <v>3-5 Years</v>
      </c>
    </row>
    <row r="212" spans="1:41"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tr">
        <f t="shared" si="6"/>
        <v>Sales</v>
      </c>
      <c r="AK212">
        <f t="shared" si="7"/>
        <v>1</v>
      </c>
      <c r="AL212">
        <f>IF(Table1[[#This Row],[Attrition]]="Yes", Table1[[#This Row],[MonthlyIncome]]*12*1.5, 0)</f>
        <v>187200</v>
      </c>
      <c r="AM212" t="str" cm="1">
        <f t="array" ref="AM212">_xlfn.IFS(
Table1[[#This Row],[MonthlyIncome]]&lt;3000,"Under 3K",
Table1[[#This Row],[MonthlyIncome]]&lt;6000,"3K-6K",
Table1[[#This Row],[MonthlyIncome]]&lt;9000,"6K-9K",
Table1[[#This Row],[MonthlyIncome]]&lt;12000,"9K-12K",
TRUE,"12K+")</f>
        <v>9K-12K</v>
      </c>
      <c r="AN212">
        <f>1</f>
        <v>1</v>
      </c>
      <c r="AO212" t="str" cm="1">
        <f t="array" ref="AO212">_xlfn.IFS(
Table1[[#This Row],[YearsAtCompany]]&lt;=2,"0-2 Years",
Table1[[#This Row],[YearsAtCompany]]&lt;=5,"3-5 Years",
Table1[[#This Row],[YearsAtCompany]]&lt;=10,"6-10 Years",
TRUE,"10+ Years")</f>
        <v>10+ Years</v>
      </c>
    </row>
    <row r="213" spans="1:41"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tr">
        <f t="shared" si="6"/>
        <v>Operations</v>
      </c>
      <c r="AK213">
        <f t="shared" si="7"/>
        <v>0</v>
      </c>
      <c r="AL213">
        <f>IF(Table1[[#This Row],[Attrition]]="Yes", Table1[[#This Row],[MonthlyIncome]]*12*1.5, 0)</f>
        <v>0</v>
      </c>
      <c r="AM213" t="str" cm="1">
        <f t="array" ref="AM213">_xlfn.IFS(
Table1[[#This Row],[MonthlyIncome]]&lt;3000,"Under 3K",
Table1[[#This Row],[MonthlyIncome]]&lt;6000,"3K-6K",
Table1[[#This Row],[MonthlyIncome]]&lt;9000,"6K-9K",
Table1[[#This Row],[MonthlyIncome]]&lt;12000,"9K-12K",
TRUE,"12K+")</f>
        <v>6K-9K</v>
      </c>
      <c r="AN213">
        <f>1</f>
        <v>1</v>
      </c>
      <c r="AO213" t="str" cm="1">
        <f t="array" ref="AO213">_xlfn.IFS(
Table1[[#This Row],[YearsAtCompany]]&lt;=2,"0-2 Years",
Table1[[#This Row],[YearsAtCompany]]&lt;=5,"3-5 Years",
Table1[[#This Row],[YearsAtCompany]]&lt;=10,"6-10 Years",
TRUE,"10+ Years")</f>
        <v>10+ Years</v>
      </c>
    </row>
    <row r="214" spans="1:41"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tr">
        <f t="shared" si="6"/>
        <v>Sales</v>
      </c>
      <c r="AK214">
        <f t="shared" si="7"/>
        <v>0</v>
      </c>
      <c r="AL214">
        <f>IF(Table1[[#This Row],[Attrition]]="Yes", Table1[[#This Row],[MonthlyIncome]]*12*1.5, 0)</f>
        <v>0</v>
      </c>
      <c r="AM214" t="str" cm="1">
        <f t="array" ref="AM214">_xlfn.IFS(
Table1[[#This Row],[MonthlyIncome]]&lt;3000,"Under 3K",
Table1[[#This Row],[MonthlyIncome]]&lt;6000,"3K-6K",
Table1[[#This Row],[MonthlyIncome]]&lt;9000,"6K-9K",
Table1[[#This Row],[MonthlyIncome]]&lt;12000,"9K-12K",
TRUE,"12K+")</f>
        <v>9K-12K</v>
      </c>
      <c r="AN214">
        <f>1</f>
        <v>1</v>
      </c>
      <c r="AO214" t="str" cm="1">
        <f t="array" ref="AO214">_xlfn.IFS(
Table1[[#This Row],[YearsAtCompany]]&lt;=2,"0-2 Years",
Table1[[#This Row],[YearsAtCompany]]&lt;=5,"3-5 Years",
Table1[[#This Row],[YearsAtCompany]]&lt;=10,"6-10 Years",
TRUE,"10+ Years")</f>
        <v>6-10 Years</v>
      </c>
    </row>
    <row r="215" spans="1:41"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tr">
        <f t="shared" si="6"/>
        <v>Research</v>
      </c>
      <c r="AK215">
        <f t="shared" si="7"/>
        <v>0</v>
      </c>
      <c r="AL215">
        <f>IF(Table1[[#This Row],[Attrition]]="Yes", Table1[[#This Row],[MonthlyIncome]]*12*1.5, 0)</f>
        <v>0</v>
      </c>
      <c r="AM215" t="str" cm="1">
        <f t="array" ref="AM215">_xlfn.IFS(
Table1[[#This Row],[MonthlyIncome]]&lt;3000,"Under 3K",
Table1[[#This Row],[MonthlyIncome]]&lt;6000,"3K-6K",
Table1[[#This Row],[MonthlyIncome]]&lt;9000,"6K-9K",
Table1[[#This Row],[MonthlyIncome]]&lt;12000,"9K-12K",
TRUE,"12K+")</f>
        <v>12K+</v>
      </c>
      <c r="AN215">
        <f>1</f>
        <v>1</v>
      </c>
      <c r="AO215" t="str" cm="1">
        <f t="array" ref="AO215">_xlfn.IFS(
Table1[[#This Row],[YearsAtCompany]]&lt;=2,"0-2 Years",
Table1[[#This Row],[YearsAtCompany]]&lt;=5,"3-5 Years",
Table1[[#This Row],[YearsAtCompany]]&lt;=10,"6-10 Years",
TRUE,"10+ Years")</f>
        <v>6-10 Years</v>
      </c>
    </row>
    <row r="216" spans="1:41"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tr">
        <f t="shared" si="6"/>
        <v>Research</v>
      </c>
      <c r="AK216">
        <f t="shared" si="7"/>
        <v>1</v>
      </c>
      <c r="AL216">
        <f>IF(Table1[[#This Row],[Attrition]]="Yes", Table1[[#This Row],[MonthlyIncome]]*12*1.5, 0)</f>
        <v>47826</v>
      </c>
      <c r="AM216" t="str" cm="1">
        <f t="array" ref="AM216">_xlfn.IFS(
Table1[[#This Row],[MonthlyIncome]]&lt;3000,"Under 3K",
Table1[[#This Row],[MonthlyIncome]]&lt;6000,"3K-6K",
Table1[[#This Row],[MonthlyIncome]]&lt;9000,"6K-9K",
Table1[[#This Row],[MonthlyIncome]]&lt;12000,"9K-12K",
TRUE,"12K+")</f>
        <v>Under 3K</v>
      </c>
      <c r="AN216">
        <f>1</f>
        <v>1</v>
      </c>
      <c r="AO216" t="str" cm="1">
        <f t="array" ref="AO216">_xlfn.IFS(
Table1[[#This Row],[YearsAtCompany]]&lt;=2,"0-2 Years",
Table1[[#This Row],[YearsAtCompany]]&lt;=5,"3-5 Years",
Table1[[#This Row],[YearsAtCompany]]&lt;=10,"6-10 Years",
TRUE,"10+ Years")</f>
        <v>3-5 Years</v>
      </c>
    </row>
    <row r="217" spans="1:41"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tr">
        <f t="shared" si="6"/>
        <v>Management</v>
      </c>
      <c r="AK217">
        <f t="shared" si="7"/>
        <v>0</v>
      </c>
      <c r="AL217">
        <f>IF(Table1[[#This Row],[Attrition]]="Yes", Table1[[#This Row],[MonthlyIncome]]*12*1.5, 0)</f>
        <v>0</v>
      </c>
      <c r="AM217" t="str" cm="1">
        <f t="array" ref="AM217">_xlfn.IFS(
Table1[[#This Row],[MonthlyIncome]]&lt;3000,"Under 3K",
Table1[[#This Row],[MonthlyIncome]]&lt;6000,"3K-6K",
Table1[[#This Row],[MonthlyIncome]]&lt;9000,"6K-9K",
Table1[[#This Row],[MonthlyIncome]]&lt;12000,"9K-12K",
TRUE,"12K+")</f>
        <v>12K+</v>
      </c>
      <c r="AN217">
        <f>1</f>
        <v>1</v>
      </c>
      <c r="AO217" t="str" cm="1">
        <f t="array" ref="AO217">_xlfn.IFS(
Table1[[#This Row],[YearsAtCompany]]&lt;=2,"0-2 Years",
Table1[[#This Row],[YearsAtCompany]]&lt;=5,"3-5 Years",
Table1[[#This Row],[YearsAtCompany]]&lt;=10,"6-10 Years",
TRUE,"10+ Years")</f>
        <v>0-2 Years</v>
      </c>
    </row>
    <row r="218" spans="1:41"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tr">
        <f t="shared" si="6"/>
        <v>Sales</v>
      </c>
      <c r="AK218">
        <f t="shared" si="7"/>
        <v>1</v>
      </c>
      <c r="AL218">
        <f>IF(Table1[[#This Row],[Attrition]]="Yes", Table1[[#This Row],[MonthlyIncome]]*12*1.5, 0)</f>
        <v>120528</v>
      </c>
      <c r="AM218" t="str" cm="1">
        <f t="array" ref="AM218">_xlfn.IFS(
Table1[[#This Row],[MonthlyIncome]]&lt;3000,"Under 3K",
Table1[[#This Row],[MonthlyIncome]]&lt;6000,"3K-6K",
Table1[[#This Row],[MonthlyIncome]]&lt;9000,"6K-9K",
Table1[[#This Row],[MonthlyIncome]]&lt;12000,"9K-12K",
TRUE,"12K+")</f>
        <v>6K-9K</v>
      </c>
      <c r="AN218">
        <f>1</f>
        <v>1</v>
      </c>
      <c r="AO218" t="str" cm="1">
        <f t="array" ref="AO218">_xlfn.IFS(
Table1[[#This Row],[YearsAtCompany]]&lt;=2,"0-2 Years",
Table1[[#This Row],[YearsAtCompany]]&lt;=5,"3-5 Years",
Table1[[#This Row],[YearsAtCompany]]&lt;=10,"6-10 Years",
TRUE,"10+ Years")</f>
        <v>6-10 Years</v>
      </c>
    </row>
    <row r="219" spans="1:41"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tr">
        <f t="shared" si="6"/>
        <v>Research</v>
      </c>
      <c r="AK219">
        <f t="shared" si="7"/>
        <v>1</v>
      </c>
      <c r="AL219">
        <f>IF(Table1[[#This Row],[Attrition]]="Yes", Table1[[#This Row],[MonthlyIncome]]*12*1.5, 0)</f>
        <v>37044</v>
      </c>
      <c r="AM219" t="str" cm="1">
        <f t="array" ref="AM219">_xlfn.IFS(
Table1[[#This Row],[MonthlyIncome]]&lt;3000,"Under 3K",
Table1[[#This Row],[MonthlyIncome]]&lt;6000,"3K-6K",
Table1[[#This Row],[MonthlyIncome]]&lt;9000,"6K-9K",
Table1[[#This Row],[MonthlyIncome]]&lt;12000,"9K-12K",
TRUE,"12K+")</f>
        <v>Under 3K</v>
      </c>
      <c r="AN219">
        <f>1</f>
        <v>1</v>
      </c>
      <c r="AO219" t="str" cm="1">
        <f t="array" ref="AO219">_xlfn.IFS(
Table1[[#This Row],[YearsAtCompany]]&lt;=2,"0-2 Years",
Table1[[#This Row],[YearsAtCompany]]&lt;=5,"3-5 Years",
Table1[[#This Row],[YearsAtCompany]]&lt;=10,"6-10 Years",
TRUE,"10+ Years")</f>
        <v>6-10 Years</v>
      </c>
    </row>
    <row r="220" spans="1:41"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tr">
        <f t="shared" si="6"/>
        <v>Sales</v>
      </c>
      <c r="AK220">
        <f t="shared" si="7"/>
        <v>0</v>
      </c>
      <c r="AL220">
        <f>IF(Table1[[#This Row],[Attrition]]="Yes", Table1[[#This Row],[MonthlyIncome]]*12*1.5, 0)</f>
        <v>0</v>
      </c>
      <c r="AM220" t="str" cm="1">
        <f t="array" ref="AM220">_xlfn.IFS(
Table1[[#This Row],[MonthlyIncome]]&lt;3000,"Under 3K",
Table1[[#This Row],[MonthlyIncome]]&lt;6000,"3K-6K",
Table1[[#This Row],[MonthlyIncome]]&lt;9000,"6K-9K",
Table1[[#This Row],[MonthlyIncome]]&lt;12000,"9K-12K",
TRUE,"12K+")</f>
        <v>6K-9K</v>
      </c>
      <c r="AN220">
        <f>1</f>
        <v>1</v>
      </c>
      <c r="AO220" t="str" cm="1">
        <f t="array" ref="AO220">_xlfn.IFS(
Table1[[#This Row],[YearsAtCompany]]&lt;=2,"0-2 Years",
Table1[[#This Row],[YearsAtCompany]]&lt;=5,"3-5 Years",
Table1[[#This Row],[YearsAtCompany]]&lt;=10,"6-10 Years",
TRUE,"10+ Years")</f>
        <v>10+ Years</v>
      </c>
    </row>
    <row r="221" spans="1:41"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tr">
        <f t="shared" si="6"/>
        <v>Sales</v>
      </c>
      <c r="AK221">
        <f t="shared" si="7"/>
        <v>0</v>
      </c>
      <c r="AL221">
        <f>IF(Table1[[#This Row],[Attrition]]="Yes", Table1[[#This Row],[MonthlyIncome]]*12*1.5, 0)</f>
        <v>0</v>
      </c>
      <c r="AM221" t="str" cm="1">
        <f t="array" ref="AM221">_xlfn.IFS(
Table1[[#This Row],[MonthlyIncome]]&lt;3000,"Under 3K",
Table1[[#This Row],[MonthlyIncome]]&lt;6000,"3K-6K",
Table1[[#This Row],[MonthlyIncome]]&lt;9000,"6K-9K",
Table1[[#This Row],[MonthlyIncome]]&lt;12000,"9K-12K",
TRUE,"12K+")</f>
        <v>3K-6K</v>
      </c>
      <c r="AN221">
        <f>1</f>
        <v>1</v>
      </c>
      <c r="AO221" t="str" cm="1">
        <f t="array" ref="AO221">_xlfn.IFS(
Table1[[#This Row],[YearsAtCompany]]&lt;=2,"0-2 Years",
Table1[[#This Row],[YearsAtCompany]]&lt;=5,"3-5 Years",
Table1[[#This Row],[YearsAtCompany]]&lt;=10,"6-10 Years",
TRUE,"10+ Years")</f>
        <v>6-10 Years</v>
      </c>
    </row>
    <row r="222" spans="1:41"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tr">
        <f t="shared" si="6"/>
        <v>Research</v>
      </c>
      <c r="AK222">
        <f t="shared" si="7"/>
        <v>0</v>
      </c>
      <c r="AL222">
        <f>IF(Table1[[#This Row],[Attrition]]="Yes", Table1[[#This Row],[MonthlyIncome]]*12*1.5, 0)</f>
        <v>0</v>
      </c>
      <c r="AM222" t="str" cm="1">
        <f t="array" ref="AM222">_xlfn.IFS(
Table1[[#This Row],[MonthlyIncome]]&lt;3000,"Under 3K",
Table1[[#This Row],[MonthlyIncome]]&lt;6000,"3K-6K",
Table1[[#This Row],[MonthlyIncome]]&lt;9000,"6K-9K",
Table1[[#This Row],[MonthlyIncome]]&lt;12000,"9K-12K",
TRUE,"12K+")</f>
        <v>3K-6K</v>
      </c>
      <c r="AN222">
        <f>1</f>
        <v>1</v>
      </c>
      <c r="AO222" t="str" cm="1">
        <f t="array" ref="AO222">_xlfn.IFS(
Table1[[#This Row],[YearsAtCompany]]&lt;=2,"0-2 Years",
Table1[[#This Row],[YearsAtCompany]]&lt;=5,"3-5 Years",
Table1[[#This Row],[YearsAtCompany]]&lt;=10,"6-10 Years",
TRUE,"10+ Years")</f>
        <v>10+ Years</v>
      </c>
    </row>
    <row r="223" spans="1:41"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tr">
        <f t="shared" si="6"/>
        <v>Research</v>
      </c>
      <c r="AK223">
        <f t="shared" si="7"/>
        <v>0</v>
      </c>
      <c r="AL223">
        <f>IF(Table1[[#This Row],[Attrition]]="Yes", Table1[[#This Row],[MonthlyIncome]]*12*1.5, 0)</f>
        <v>0</v>
      </c>
      <c r="AM223" t="str" cm="1">
        <f t="array" ref="AM223">_xlfn.IFS(
Table1[[#This Row],[MonthlyIncome]]&lt;3000,"Under 3K",
Table1[[#This Row],[MonthlyIncome]]&lt;6000,"3K-6K",
Table1[[#This Row],[MonthlyIncome]]&lt;9000,"6K-9K",
Table1[[#This Row],[MonthlyIncome]]&lt;12000,"9K-12K",
TRUE,"12K+")</f>
        <v>Under 3K</v>
      </c>
      <c r="AN223">
        <f>1</f>
        <v>1</v>
      </c>
      <c r="AO223" t="str" cm="1">
        <f t="array" ref="AO223">_xlfn.IFS(
Table1[[#This Row],[YearsAtCompany]]&lt;=2,"0-2 Years",
Table1[[#This Row],[YearsAtCompany]]&lt;=5,"3-5 Years",
Table1[[#This Row],[YearsAtCompany]]&lt;=10,"6-10 Years",
TRUE,"10+ Years")</f>
        <v>3-5 Years</v>
      </c>
    </row>
    <row r="224" spans="1:41"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tr">
        <f t="shared" si="6"/>
        <v>Research</v>
      </c>
      <c r="AK224">
        <f t="shared" si="7"/>
        <v>0</v>
      </c>
      <c r="AL224">
        <f>IF(Table1[[#This Row],[Attrition]]="Yes", Table1[[#This Row],[MonthlyIncome]]*12*1.5, 0)</f>
        <v>0</v>
      </c>
      <c r="AM224" t="str" cm="1">
        <f t="array" ref="AM224">_xlfn.IFS(
Table1[[#This Row],[MonthlyIncome]]&lt;3000,"Under 3K",
Table1[[#This Row],[MonthlyIncome]]&lt;6000,"3K-6K",
Table1[[#This Row],[MonthlyIncome]]&lt;9000,"6K-9K",
Table1[[#This Row],[MonthlyIncome]]&lt;12000,"9K-12K",
TRUE,"12K+")</f>
        <v>12K+</v>
      </c>
      <c r="AN224">
        <f>1</f>
        <v>1</v>
      </c>
      <c r="AO224" t="str" cm="1">
        <f t="array" ref="AO224">_xlfn.IFS(
Table1[[#This Row],[YearsAtCompany]]&lt;=2,"0-2 Years",
Table1[[#This Row],[YearsAtCompany]]&lt;=5,"3-5 Years",
Table1[[#This Row],[YearsAtCompany]]&lt;=10,"6-10 Years",
TRUE,"10+ Years")</f>
        <v>6-10 Years</v>
      </c>
    </row>
    <row r="225" spans="1:41"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tr">
        <f t="shared" si="6"/>
        <v>Sales</v>
      </c>
      <c r="AK225">
        <f t="shared" si="7"/>
        <v>0</v>
      </c>
      <c r="AL225">
        <f>IF(Table1[[#This Row],[Attrition]]="Yes", Table1[[#This Row],[MonthlyIncome]]*12*1.5, 0)</f>
        <v>0</v>
      </c>
      <c r="AM225" t="str" cm="1">
        <f t="array" ref="AM225">_xlfn.IFS(
Table1[[#This Row],[MonthlyIncome]]&lt;3000,"Under 3K",
Table1[[#This Row],[MonthlyIncome]]&lt;6000,"3K-6K",
Table1[[#This Row],[MonthlyIncome]]&lt;9000,"6K-9K",
Table1[[#This Row],[MonthlyIncome]]&lt;12000,"9K-12K",
TRUE,"12K+")</f>
        <v>9K-12K</v>
      </c>
      <c r="AN225">
        <f>1</f>
        <v>1</v>
      </c>
      <c r="AO225" t="str" cm="1">
        <f t="array" ref="AO225">_xlfn.IFS(
Table1[[#This Row],[YearsAtCompany]]&lt;=2,"0-2 Years",
Table1[[#This Row],[YearsAtCompany]]&lt;=5,"3-5 Years",
Table1[[#This Row],[YearsAtCompany]]&lt;=10,"6-10 Years",
TRUE,"10+ Years")</f>
        <v>10+ Years</v>
      </c>
    </row>
    <row r="226" spans="1:41"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tr">
        <f t="shared" si="6"/>
        <v>Operations</v>
      </c>
      <c r="AK226">
        <f t="shared" si="7"/>
        <v>0</v>
      </c>
      <c r="AL226">
        <f>IF(Table1[[#This Row],[Attrition]]="Yes", Table1[[#This Row],[MonthlyIncome]]*12*1.5, 0)</f>
        <v>0</v>
      </c>
      <c r="AM226" t="str" cm="1">
        <f t="array" ref="AM226">_xlfn.IFS(
Table1[[#This Row],[MonthlyIncome]]&lt;3000,"Under 3K",
Table1[[#This Row],[MonthlyIncome]]&lt;6000,"3K-6K",
Table1[[#This Row],[MonthlyIncome]]&lt;9000,"6K-9K",
Table1[[#This Row],[MonthlyIncome]]&lt;12000,"9K-12K",
TRUE,"12K+")</f>
        <v>3K-6K</v>
      </c>
      <c r="AN226">
        <f>1</f>
        <v>1</v>
      </c>
      <c r="AO226" t="str" cm="1">
        <f t="array" ref="AO226">_xlfn.IFS(
Table1[[#This Row],[YearsAtCompany]]&lt;=2,"0-2 Years",
Table1[[#This Row],[YearsAtCompany]]&lt;=5,"3-5 Years",
Table1[[#This Row],[YearsAtCompany]]&lt;=10,"6-10 Years",
TRUE,"10+ Years")</f>
        <v>3-5 Years</v>
      </c>
    </row>
    <row r="227" spans="1:41"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tr">
        <f t="shared" si="6"/>
        <v>Research</v>
      </c>
      <c r="AK227">
        <f t="shared" si="7"/>
        <v>0</v>
      </c>
      <c r="AL227">
        <f>IF(Table1[[#This Row],[Attrition]]="Yes", Table1[[#This Row],[MonthlyIncome]]*12*1.5, 0)</f>
        <v>0</v>
      </c>
      <c r="AM227" t="str" cm="1">
        <f t="array" ref="AM227">_xlfn.IFS(
Table1[[#This Row],[MonthlyIncome]]&lt;3000,"Under 3K",
Table1[[#This Row],[MonthlyIncome]]&lt;6000,"3K-6K",
Table1[[#This Row],[MonthlyIncome]]&lt;9000,"6K-9K",
Table1[[#This Row],[MonthlyIncome]]&lt;12000,"9K-12K",
TRUE,"12K+")</f>
        <v>Under 3K</v>
      </c>
      <c r="AN227">
        <f>1</f>
        <v>1</v>
      </c>
      <c r="AO227" t="str" cm="1">
        <f t="array" ref="AO227">_xlfn.IFS(
Table1[[#This Row],[YearsAtCompany]]&lt;=2,"0-2 Years",
Table1[[#This Row],[YearsAtCompany]]&lt;=5,"3-5 Years",
Table1[[#This Row],[YearsAtCompany]]&lt;=10,"6-10 Years",
TRUE,"10+ Years")</f>
        <v>0-2 Years</v>
      </c>
    </row>
    <row r="228" spans="1:41"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tr">
        <f t="shared" si="6"/>
        <v>Sales</v>
      </c>
      <c r="AK228">
        <f t="shared" si="7"/>
        <v>0</v>
      </c>
      <c r="AL228">
        <f>IF(Table1[[#This Row],[Attrition]]="Yes", Table1[[#This Row],[MonthlyIncome]]*12*1.5, 0)</f>
        <v>0</v>
      </c>
      <c r="AM228" t="str" cm="1">
        <f t="array" ref="AM228">_xlfn.IFS(
Table1[[#This Row],[MonthlyIncome]]&lt;3000,"Under 3K",
Table1[[#This Row],[MonthlyIncome]]&lt;6000,"3K-6K",
Table1[[#This Row],[MonthlyIncome]]&lt;9000,"6K-9K",
Table1[[#This Row],[MonthlyIncome]]&lt;12000,"9K-12K",
TRUE,"12K+")</f>
        <v>Under 3K</v>
      </c>
      <c r="AN228">
        <f>1</f>
        <v>1</v>
      </c>
      <c r="AO228" t="str" cm="1">
        <f t="array" ref="AO228">_xlfn.IFS(
Table1[[#This Row],[YearsAtCompany]]&lt;=2,"0-2 Years",
Table1[[#This Row],[YearsAtCompany]]&lt;=5,"3-5 Years",
Table1[[#This Row],[YearsAtCompany]]&lt;=10,"6-10 Years",
TRUE,"10+ Years")</f>
        <v>6-10 Years</v>
      </c>
    </row>
    <row r="229" spans="1:41"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tr">
        <f t="shared" si="6"/>
        <v>Sales</v>
      </c>
      <c r="AK229">
        <f t="shared" si="7"/>
        <v>0</v>
      </c>
      <c r="AL229">
        <f>IF(Table1[[#This Row],[Attrition]]="Yes", Table1[[#This Row],[MonthlyIncome]]*12*1.5, 0)</f>
        <v>0</v>
      </c>
      <c r="AM229" t="str" cm="1">
        <f t="array" ref="AM229">_xlfn.IFS(
Table1[[#This Row],[MonthlyIncome]]&lt;3000,"Under 3K",
Table1[[#This Row],[MonthlyIncome]]&lt;6000,"3K-6K",
Table1[[#This Row],[MonthlyIncome]]&lt;9000,"6K-9K",
Table1[[#This Row],[MonthlyIncome]]&lt;12000,"9K-12K",
TRUE,"12K+")</f>
        <v>6K-9K</v>
      </c>
      <c r="AN229">
        <f>1</f>
        <v>1</v>
      </c>
      <c r="AO229" t="str" cm="1">
        <f t="array" ref="AO229">_xlfn.IFS(
Table1[[#This Row],[YearsAtCompany]]&lt;=2,"0-2 Years",
Table1[[#This Row],[YearsAtCompany]]&lt;=5,"3-5 Years",
Table1[[#This Row],[YearsAtCompany]]&lt;=10,"6-10 Years",
TRUE,"10+ Years")</f>
        <v>10+ Years</v>
      </c>
    </row>
    <row r="230" spans="1:41"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tr">
        <f t="shared" si="6"/>
        <v>Sales</v>
      </c>
      <c r="AK230">
        <f t="shared" si="7"/>
        <v>0</v>
      </c>
      <c r="AL230">
        <f>IF(Table1[[#This Row],[Attrition]]="Yes", Table1[[#This Row],[MonthlyIncome]]*12*1.5, 0)</f>
        <v>0</v>
      </c>
      <c r="AM230" t="str" cm="1">
        <f t="array" ref="AM230">_xlfn.IFS(
Table1[[#This Row],[MonthlyIncome]]&lt;3000,"Under 3K",
Table1[[#This Row],[MonthlyIncome]]&lt;6000,"3K-6K",
Table1[[#This Row],[MonthlyIncome]]&lt;9000,"6K-9K",
Table1[[#This Row],[MonthlyIncome]]&lt;12000,"9K-12K",
TRUE,"12K+")</f>
        <v>6K-9K</v>
      </c>
      <c r="AN230">
        <f>1</f>
        <v>1</v>
      </c>
      <c r="AO230" t="str" cm="1">
        <f t="array" ref="AO230">_xlfn.IFS(
Table1[[#This Row],[YearsAtCompany]]&lt;=2,"0-2 Years",
Table1[[#This Row],[YearsAtCompany]]&lt;=5,"3-5 Years",
Table1[[#This Row],[YearsAtCompany]]&lt;=10,"6-10 Years",
TRUE,"10+ Years")</f>
        <v>6-10 Years</v>
      </c>
    </row>
    <row r="231" spans="1:41"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tr">
        <f t="shared" si="6"/>
        <v>Research</v>
      </c>
      <c r="AK231">
        <f t="shared" si="7"/>
        <v>1</v>
      </c>
      <c r="AL231">
        <f>IF(Table1[[#This Row],[Attrition]]="Yes", Table1[[#This Row],[MonthlyIncome]]*12*1.5, 0)</f>
        <v>43002</v>
      </c>
      <c r="AM231" t="str" cm="1">
        <f t="array" ref="AM231">_xlfn.IFS(
Table1[[#This Row],[MonthlyIncome]]&lt;3000,"Under 3K",
Table1[[#This Row],[MonthlyIncome]]&lt;6000,"3K-6K",
Table1[[#This Row],[MonthlyIncome]]&lt;9000,"6K-9K",
Table1[[#This Row],[MonthlyIncome]]&lt;12000,"9K-12K",
TRUE,"12K+")</f>
        <v>Under 3K</v>
      </c>
      <c r="AN231">
        <f>1</f>
        <v>1</v>
      </c>
      <c r="AO231" t="str" cm="1">
        <f t="array" ref="AO231">_xlfn.IFS(
Table1[[#This Row],[YearsAtCompany]]&lt;=2,"0-2 Years",
Table1[[#This Row],[YearsAtCompany]]&lt;=5,"3-5 Years",
Table1[[#This Row],[YearsAtCompany]]&lt;=10,"6-10 Years",
TRUE,"10+ Years")</f>
        <v>3-5 Years</v>
      </c>
    </row>
    <row r="232" spans="1:41"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tr">
        <f t="shared" si="6"/>
        <v>Research</v>
      </c>
      <c r="AK232">
        <f t="shared" si="7"/>
        <v>0</v>
      </c>
      <c r="AL232">
        <f>IF(Table1[[#This Row],[Attrition]]="Yes", Table1[[#This Row],[MonthlyIncome]]*12*1.5, 0)</f>
        <v>0</v>
      </c>
      <c r="AM232" t="str" cm="1">
        <f t="array" ref="AM232">_xlfn.IFS(
Table1[[#This Row],[MonthlyIncome]]&lt;3000,"Under 3K",
Table1[[#This Row],[MonthlyIncome]]&lt;6000,"3K-6K",
Table1[[#This Row],[MonthlyIncome]]&lt;9000,"6K-9K",
Table1[[#This Row],[MonthlyIncome]]&lt;12000,"9K-12K",
TRUE,"12K+")</f>
        <v>3K-6K</v>
      </c>
      <c r="AN232">
        <f>1</f>
        <v>1</v>
      </c>
      <c r="AO232" t="str" cm="1">
        <f t="array" ref="AO232">_xlfn.IFS(
Table1[[#This Row],[YearsAtCompany]]&lt;=2,"0-2 Years",
Table1[[#This Row],[YearsAtCompany]]&lt;=5,"3-5 Years",
Table1[[#This Row],[YearsAtCompany]]&lt;=10,"6-10 Years",
TRUE,"10+ Years")</f>
        <v>0-2 Years</v>
      </c>
    </row>
    <row r="233" spans="1:41"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tr">
        <f t="shared" si="6"/>
        <v>Management</v>
      </c>
      <c r="AK233">
        <f t="shared" si="7"/>
        <v>0</v>
      </c>
      <c r="AL233">
        <f>IF(Table1[[#This Row],[Attrition]]="Yes", Table1[[#This Row],[MonthlyIncome]]*12*1.5, 0)</f>
        <v>0</v>
      </c>
      <c r="AM233" t="str" cm="1">
        <f t="array" ref="AM233">_xlfn.IFS(
Table1[[#This Row],[MonthlyIncome]]&lt;3000,"Under 3K",
Table1[[#This Row],[MonthlyIncome]]&lt;6000,"3K-6K",
Table1[[#This Row],[MonthlyIncome]]&lt;9000,"6K-9K",
Table1[[#This Row],[MonthlyIncome]]&lt;12000,"9K-12K",
TRUE,"12K+")</f>
        <v>12K+</v>
      </c>
      <c r="AN233">
        <f>1</f>
        <v>1</v>
      </c>
      <c r="AO233" t="str" cm="1">
        <f t="array" ref="AO233">_xlfn.IFS(
Table1[[#This Row],[YearsAtCompany]]&lt;=2,"0-2 Years",
Table1[[#This Row],[YearsAtCompany]]&lt;=5,"3-5 Years",
Table1[[#This Row],[YearsAtCompany]]&lt;=10,"6-10 Years",
TRUE,"10+ Years")</f>
        <v>10+ Years</v>
      </c>
    </row>
    <row r="234" spans="1:41"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tr">
        <f t="shared" si="6"/>
        <v>Human Resources</v>
      </c>
      <c r="AK234">
        <f t="shared" si="7"/>
        <v>0</v>
      </c>
      <c r="AL234">
        <f>IF(Table1[[#This Row],[Attrition]]="Yes", Table1[[#This Row],[MonthlyIncome]]*12*1.5, 0)</f>
        <v>0</v>
      </c>
      <c r="AM234" t="str" cm="1">
        <f t="array" ref="AM234">_xlfn.IFS(
Table1[[#This Row],[MonthlyIncome]]&lt;3000,"Under 3K",
Table1[[#This Row],[MonthlyIncome]]&lt;6000,"3K-6K",
Table1[[#This Row],[MonthlyIncome]]&lt;9000,"6K-9K",
Table1[[#This Row],[MonthlyIncome]]&lt;12000,"9K-12K",
TRUE,"12K+")</f>
        <v>Under 3K</v>
      </c>
      <c r="AN234">
        <f>1</f>
        <v>1</v>
      </c>
      <c r="AO234" t="str" cm="1">
        <f t="array" ref="AO234">_xlfn.IFS(
Table1[[#This Row],[YearsAtCompany]]&lt;=2,"0-2 Years",
Table1[[#This Row],[YearsAtCompany]]&lt;=5,"3-5 Years",
Table1[[#This Row],[YearsAtCompany]]&lt;=10,"6-10 Years",
TRUE,"10+ Years")</f>
        <v>0-2 Years</v>
      </c>
    </row>
    <row r="235" spans="1:41"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tr">
        <f t="shared" si="6"/>
        <v>Management</v>
      </c>
      <c r="AK235">
        <f t="shared" si="7"/>
        <v>0</v>
      </c>
      <c r="AL235">
        <f>IF(Table1[[#This Row],[Attrition]]="Yes", Table1[[#This Row],[MonthlyIncome]]*12*1.5, 0)</f>
        <v>0</v>
      </c>
      <c r="AM235" t="str" cm="1">
        <f t="array" ref="AM235">_xlfn.IFS(
Table1[[#This Row],[MonthlyIncome]]&lt;3000,"Under 3K",
Table1[[#This Row],[MonthlyIncome]]&lt;6000,"3K-6K",
Table1[[#This Row],[MonthlyIncome]]&lt;9000,"6K-9K",
Table1[[#This Row],[MonthlyIncome]]&lt;12000,"9K-12K",
TRUE,"12K+")</f>
        <v>12K+</v>
      </c>
      <c r="AN235">
        <f>1</f>
        <v>1</v>
      </c>
      <c r="AO235" t="str" cm="1">
        <f t="array" ref="AO235">_xlfn.IFS(
Table1[[#This Row],[YearsAtCompany]]&lt;=2,"0-2 Years",
Table1[[#This Row],[YearsAtCompany]]&lt;=5,"3-5 Years",
Table1[[#This Row],[YearsAtCompany]]&lt;=10,"6-10 Years",
TRUE,"10+ Years")</f>
        <v>6-10 Years</v>
      </c>
    </row>
    <row r="236" spans="1:41"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tr">
        <f t="shared" si="6"/>
        <v>Research</v>
      </c>
      <c r="AK236">
        <f t="shared" si="7"/>
        <v>1</v>
      </c>
      <c r="AL236">
        <f>IF(Table1[[#This Row],[Attrition]]="Yes", Table1[[#This Row],[MonthlyIncome]]*12*1.5, 0)</f>
        <v>43848</v>
      </c>
      <c r="AM236" t="str" cm="1">
        <f t="array" ref="AM236">_xlfn.IFS(
Table1[[#This Row],[MonthlyIncome]]&lt;3000,"Under 3K",
Table1[[#This Row],[MonthlyIncome]]&lt;6000,"3K-6K",
Table1[[#This Row],[MonthlyIncome]]&lt;9000,"6K-9K",
Table1[[#This Row],[MonthlyIncome]]&lt;12000,"9K-12K",
TRUE,"12K+")</f>
        <v>Under 3K</v>
      </c>
      <c r="AN236">
        <f>1</f>
        <v>1</v>
      </c>
      <c r="AO236" t="str" cm="1">
        <f t="array" ref="AO236">_xlfn.IFS(
Table1[[#This Row],[YearsAtCompany]]&lt;=2,"0-2 Years",
Table1[[#This Row],[YearsAtCompany]]&lt;=5,"3-5 Years",
Table1[[#This Row],[YearsAtCompany]]&lt;=10,"6-10 Years",
TRUE,"10+ Years")</f>
        <v>3-5 Years</v>
      </c>
    </row>
    <row r="237" spans="1:41"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tr">
        <f t="shared" si="6"/>
        <v>Management</v>
      </c>
      <c r="AK237">
        <f t="shared" si="7"/>
        <v>0</v>
      </c>
      <c r="AL237">
        <f>IF(Table1[[#This Row],[Attrition]]="Yes", Table1[[#This Row],[MonthlyIncome]]*12*1.5, 0)</f>
        <v>0</v>
      </c>
      <c r="AM237" t="str" cm="1">
        <f t="array" ref="AM237">_xlfn.IFS(
Table1[[#This Row],[MonthlyIncome]]&lt;3000,"Under 3K",
Table1[[#This Row],[MonthlyIncome]]&lt;6000,"3K-6K",
Table1[[#This Row],[MonthlyIncome]]&lt;9000,"6K-9K",
Table1[[#This Row],[MonthlyIncome]]&lt;12000,"9K-12K",
TRUE,"12K+")</f>
        <v>12K+</v>
      </c>
      <c r="AN237">
        <f>1</f>
        <v>1</v>
      </c>
      <c r="AO237" t="str" cm="1">
        <f t="array" ref="AO237">_xlfn.IFS(
Table1[[#This Row],[YearsAtCompany]]&lt;=2,"0-2 Years",
Table1[[#This Row],[YearsAtCompany]]&lt;=5,"3-5 Years",
Table1[[#This Row],[YearsAtCompany]]&lt;=10,"6-10 Years",
TRUE,"10+ Years")</f>
        <v>10+ Years</v>
      </c>
    </row>
    <row r="238" spans="1:41"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tr">
        <f t="shared" si="6"/>
        <v>Research</v>
      </c>
      <c r="AK238">
        <f t="shared" si="7"/>
        <v>1</v>
      </c>
      <c r="AL238">
        <f>IF(Table1[[#This Row],[Attrition]]="Yes", Table1[[#This Row],[MonthlyIncome]]*12*1.5, 0)</f>
        <v>48726</v>
      </c>
      <c r="AM238" t="str" cm="1">
        <f t="array" ref="AM238">_xlfn.IFS(
Table1[[#This Row],[MonthlyIncome]]&lt;3000,"Under 3K",
Table1[[#This Row],[MonthlyIncome]]&lt;6000,"3K-6K",
Table1[[#This Row],[MonthlyIncome]]&lt;9000,"6K-9K",
Table1[[#This Row],[MonthlyIncome]]&lt;12000,"9K-12K",
TRUE,"12K+")</f>
        <v>Under 3K</v>
      </c>
      <c r="AN238">
        <f>1</f>
        <v>1</v>
      </c>
      <c r="AO238" t="str" cm="1">
        <f t="array" ref="AO238">_xlfn.IFS(
Table1[[#This Row],[YearsAtCompany]]&lt;=2,"0-2 Years",
Table1[[#This Row],[YearsAtCompany]]&lt;=5,"3-5 Years",
Table1[[#This Row],[YearsAtCompany]]&lt;=10,"6-10 Years",
TRUE,"10+ Years")</f>
        <v>6-10 Years</v>
      </c>
    </row>
    <row r="239" spans="1:41"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tr">
        <f t="shared" si="6"/>
        <v>Management</v>
      </c>
      <c r="AK239">
        <f t="shared" si="7"/>
        <v>0</v>
      </c>
      <c r="AL239">
        <f>IF(Table1[[#This Row],[Attrition]]="Yes", Table1[[#This Row],[MonthlyIncome]]*12*1.5, 0)</f>
        <v>0</v>
      </c>
      <c r="AM239" t="str" cm="1">
        <f t="array" ref="AM239">_xlfn.IFS(
Table1[[#This Row],[MonthlyIncome]]&lt;3000,"Under 3K",
Table1[[#This Row],[MonthlyIncome]]&lt;6000,"3K-6K",
Table1[[#This Row],[MonthlyIncome]]&lt;9000,"6K-9K",
Table1[[#This Row],[MonthlyIncome]]&lt;12000,"9K-12K",
TRUE,"12K+")</f>
        <v>12K+</v>
      </c>
      <c r="AN239">
        <f>1</f>
        <v>1</v>
      </c>
      <c r="AO239" t="str" cm="1">
        <f t="array" ref="AO239">_xlfn.IFS(
Table1[[#This Row],[YearsAtCompany]]&lt;=2,"0-2 Years",
Table1[[#This Row],[YearsAtCompany]]&lt;=5,"3-5 Years",
Table1[[#This Row],[YearsAtCompany]]&lt;=10,"6-10 Years",
TRUE,"10+ Years")</f>
        <v>10+ Years</v>
      </c>
    </row>
    <row r="240" spans="1:41"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tr">
        <f t="shared" si="6"/>
        <v>Sales</v>
      </c>
      <c r="AK240">
        <f t="shared" si="7"/>
        <v>0</v>
      </c>
      <c r="AL240">
        <f>IF(Table1[[#This Row],[Attrition]]="Yes", Table1[[#This Row],[MonthlyIncome]]*12*1.5, 0)</f>
        <v>0</v>
      </c>
      <c r="AM240" t="str" cm="1">
        <f t="array" ref="AM240">_xlfn.IFS(
Table1[[#This Row],[MonthlyIncome]]&lt;3000,"Under 3K",
Table1[[#This Row],[MonthlyIncome]]&lt;6000,"3K-6K",
Table1[[#This Row],[MonthlyIncome]]&lt;9000,"6K-9K",
Table1[[#This Row],[MonthlyIncome]]&lt;12000,"9K-12K",
TRUE,"12K+")</f>
        <v>3K-6K</v>
      </c>
      <c r="AN240">
        <f>1</f>
        <v>1</v>
      </c>
      <c r="AO240" t="str" cm="1">
        <f t="array" ref="AO240">_xlfn.IFS(
Table1[[#This Row],[YearsAtCompany]]&lt;=2,"0-2 Years",
Table1[[#This Row],[YearsAtCompany]]&lt;=5,"3-5 Years",
Table1[[#This Row],[YearsAtCompany]]&lt;=10,"6-10 Years",
TRUE,"10+ Years")</f>
        <v>3-5 Years</v>
      </c>
    </row>
    <row r="241" spans="1:41"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tr">
        <f t="shared" si="6"/>
        <v>Research</v>
      </c>
      <c r="AK241">
        <f t="shared" si="7"/>
        <v>1</v>
      </c>
      <c r="AL241">
        <f>IF(Table1[[#This Row],[Attrition]]="Yes", Table1[[#This Row],[MonthlyIncome]]*12*1.5, 0)</f>
        <v>67140</v>
      </c>
      <c r="AM241" t="str" cm="1">
        <f t="array" ref="AM241">_xlfn.IFS(
Table1[[#This Row],[MonthlyIncome]]&lt;3000,"Under 3K",
Table1[[#This Row],[MonthlyIncome]]&lt;6000,"3K-6K",
Table1[[#This Row],[MonthlyIncome]]&lt;9000,"6K-9K",
Table1[[#This Row],[MonthlyIncome]]&lt;12000,"9K-12K",
TRUE,"12K+")</f>
        <v>3K-6K</v>
      </c>
      <c r="AN241">
        <f>1</f>
        <v>1</v>
      </c>
      <c r="AO241" t="str" cm="1">
        <f t="array" ref="AO241">_xlfn.IFS(
Table1[[#This Row],[YearsAtCompany]]&lt;=2,"0-2 Years",
Table1[[#This Row],[YearsAtCompany]]&lt;=5,"3-5 Years",
Table1[[#This Row],[YearsAtCompany]]&lt;=10,"6-10 Years",
TRUE,"10+ Years")</f>
        <v>3-5 Years</v>
      </c>
    </row>
    <row r="242" spans="1:41"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tr">
        <f t="shared" si="6"/>
        <v>Research</v>
      </c>
      <c r="AK242">
        <f t="shared" si="7"/>
        <v>0</v>
      </c>
      <c r="AL242">
        <f>IF(Table1[[#This Row],[Attrition]]="Yes", Table1[[#This Row],[MonthlyIncome]]*12*1.5, 0)</f>
        <v>0</v>
      </c>
      <c r="AM242" t="str" cm="1">
        <f t="array" ref="AM242">_xlfn.IFS(
Table1[[#This Row],[MonthlyIncome]]&lt;3000,"Under 3K",
Table1[[#This Row],[MonthlyIncome]]&lt;6000,"3K-6K",
Table1[[#This Row],[MonthlyIncome]]&lt;9000,"6K-9K",
Table1[[#This Row],[MonthlyIncome]]&lt;12000,"9K-12K",
TRUE,"12K+")</f>
        <v>Under 3K</v>
      </c>
      <c r="AN242">
        <f>1</f>
        <v>1</v>
      </c>
      <c r="AO242" t="str" cm="1">
        <f t="array" ref="AO242">_xlfn.IFS(
Table1[[#This Row],[YearsAtCompany]]&lt;=2,"0-2 Years",
Table1[[#This Row],[YearsAtCompany]]&lt;=5,"3-5 Years",
Table1[[#This Row],[YearsAtCompany]]&lt;=10,"6-10 Years",
TRUE,"10+ Years")</f>
        <v>3-5 Years</v>
      </c>
    </row>
    <row r="243" spans="1:41"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tr">
        <f t="shared" si="6"/>
        <v>Sales</v>
      </c>
      <c r="AK243">
        <f t="shared" si="7"/>
        <v>0</v>
      </c>
      <c r="AL243">
        <f>IF(Table1[[#This Row],[Attrition]]="Yes", Table1[[#This Row],[MonthlyIncome]]*12*1.5, 0)</f>
        <v>0</v>
      </c>
      <c r="AM243" t="str" cm="1">
        <f t="array" ref="AM243">_xlfn.IFS(
Table1[[#This Row],[MonthlyIncome]]&lt;3000,"Under 3K",
Table1[[#This Row],[MonthlyIncome]]&lt;6000,"3K-6K",
Table1[[#This Row],[MonthlyIncome]]&lt;9000,"6K-9K",
Table1[[#This Row],[MonthlyIncome]]&lt;12000,"9K-12K",
TRUE,"12K+")</f>
        <v>3K-6K</v>
      </c>
      <c r="AN243">
        <f>1</f>
        <v>1</v>
      </c>
      <c r="AO243" t="str" cm="1">
        <f t="array" ref="AO243">_xlfn.IFS(
Table1[[#This Row],[YearsAtCompany]]&lt;=2,"0-2 Years",
Table1[[#This Row],[YearsAtCompany]]&lt;=5,"3-5 Years",
Table1[[#This Row],[YearsAtCompany]]&lt;=10,"6-10 Years",
TRUE,"10+ Years")</f>
        <v>3-5 Years</v>
      </c>
    </row>
    <row r="244" spans="1:41"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tr">
        <f t="shared" si="6"/>
        <v>Research</v>
      </c>
      <c r="AK244">
        <f t="shared" si="7"/>
        <v>0</v>
      </c>
      <c r="AL244">
        <f>IF(Table1[[#This Row],[Attrition]]="Yes", Table1[[#This Row],[MonthlyIncome]]*12*1.5, 0)</f>
        <v>0</v>
      </c>
      <c r="AM244" t="str" cm="1">
        <f t="array" ref="AM244">_xlfn.IFS(
Table1[[#This Row],[MonthlyIncome]]&lt;3000,"Under 3K",
Table1[[#This Row],[MonthlyIncome]]&lt;6000,"3K-6K",
Table1[[#This Row],[MonthlyIncome]]&lt;9000,"6K-9K",
Table1[[#This Row],[MonthlyIncome]]&lt;12000,"9K-12K",
TRUE,"12K+")</f>
        <v>3K-6K</v>
      </c>
      <c r="AN244">
        <f>1</f>
        <v>1</v>
      </c>
      <c r="AO244" t="str" cm="1">
        <f t="array" ref="AO244">_xlfn.IFS(
Table1[[#This Row],[YearsAtCompany]]&lt;=2,"0-2 Years",
Table1[[#This Row],[YearsAtCompany]]&lt;=5,"3-5 Years",
Table1[[#This Row],[YearsAtCompany]]&lt;=10,"6-10 Years",
TRUE,"10+ Years")</f>
        <v>0-2 Years</v>
      </c>
    </row>
    <row r="245" spans="1:41"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tr">
        <f t="shared" si="6"/>
        <v>Research</v>
      </c>
      <c r="AK245">
        <f t="shared" si="7"/>
        <v>0</v>
      </c>
      <c r="AL245">
        <f>IF(Table1[[#This Row],[Attrition]]="Yes", Table1[[#This Row],[MonthlyIncome]]*12*1.5, 0)</f>
        <v>0</v>
      </c>
      <c r="AM245" t="str" cm="1">
        <f t="array" ref="AM245">_xlfn.IFS(
Table1[[#This Row],[MonthlyIncome]]&lt;3000,"Under 3K",
Table1[[#This Row],[MonthlyIncome]]&lt;6000,"3K-6K",
Table1[[#This Row],[MonthlyIncome]]&lt;9000,"6K-9K",
Table1[[#This Row],[MonthlyIncome]]&lt;12000,"9K-12K",
TRUE,"12K+")</f>
        <v>3K-6K</v>
      </c>
      <c r="AN245">
        <f>1</f>
        <v>1</v>
      </c>
      <c r="AO245" t="str" cm="1">
        <f t="array" ref="AO245">_xlfn.IFS(
Table1[[#This Row],[YearsAtCompany]]&lt;=2,"0-2 Years",
Table1[[#This Row],[YearsAtCompany]]&lt;=5,"3-5 Years",
Table1[[#This Row],[YearsAtCompany]]&lt;=10,"6-10 Years",
TRUE,"10+ Years")</f>
        <v>6-10 Years</v>
      </c>
    </row>
    <row r="246" spans="1:41"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tr">
        <f t="shared" si="6"/>
        <v>Management</v>
      </c>
      <c r="AK246">
        <f t="shared" si="7"/>
        <v>0</v>
      </c>
      <c r="AL246">
        <f>IF(Table1[[#This Row],[Attrition]]="Yes", Table1[[#This Row],[MonthlyIncome]]*12*1.5, 0)</f>
        <v>0</v>
      </c>
      <c r="AM246" t="str" cm="1">
        <f t="array" ref="AM246">_xlfn.IFS(
Table1[[#This Row],[MonthlyIncome]]&lt;3000,"Under 3K",
Table1[[#This Row],[MonthlyIncome]]&lt;6000,"3K-6K",
Table1[[#This Row],[MonthlyIncome]]&lt;9000,"6K-9K",
Table1[[#This Row],[MonthlyIncome]]&lt;12000,"9K-12K",
TRUE,"12K+")</f>
        <v>12K+</v>
      </c>
      <c r="AN246">
        <f>1</f>
        <v>1</v>
      </c>
      <c r="AO246" t="str" cm="1">
        <f t="array" ref="AO246">_xlfn.IFS(
Table1[[#This Row],[YearsAtCompany]]&lt;=2,"0-2 Years",
Table1[[#This Row],[YearsAtCompany]]&lt;=5,"3-5 Years",
Table1[[#This Row],[YearsAtCompany]]&lt;=10,"6-10 Years",
TRUE,"10+ Years")</f>
        <v>10+ Years</v>
      </c>
    </row>
    <row r="247" spans="1:41"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tr">
        <f t="shared" si="6"/>
        <v>Research</v>
      </c>
      <c r="AK247">
        <f t="shared" si="7"/>
        <v>0</v>
      </c>
      <c r="AL247">
        <f>IF(Table1[[#This Row],[Attrition]]="Yes", Table1[[#This Row],[MonthlyIncome]]*12*1.5, 0)</f>
        <v>0</v>
      </c>
      <c r="AM247" t="str" cm="1">
        <f t="array" ref="AM247">_xlfn.IFS(
Table1[[#This Row],[MonthlyIncome]]&lt;3000,"Under 3K",
Table1[[#This Row],[MonthlyIncome]]&lt;6000,"3K-6K",
Table1[[#This Row],[MonthlyIncome]]&lt;9000,"6K-9K",
Table1[[#This Row],[MonthlyIncome]]&lt;12000,"9K-12K",
TRUE,"12K+")</f>
        <v>12K+</v>
      </c>
      <c r="AN247">
        <f>1</f>
        <v>1</v>
      </c>
      <c r="AO247" t="str" cm="1">
        <f t="array" ref="AO247">_xlfn.IFS(
Table1[[#This Row],[YearsAtCompany]]&lt;=2,"0-2 Years",
Table1[[#This Row],[YearsAtCompany]]&lt;=5,"3-5 Years",
Table1[[#This Row],[YearsAtCompany]]&lt;=10,"6-10 Years",
TRUE,"10+ Years")</f>
        <v>0-2 Years</v>
      </c>
    </row>
    <row r="248" spans="1:41"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tr">
        <f t="shared" si="6"/>
        <v>Research</v>
      </c>
      <c r="AK248">
        <f t="shared" si="7"/>
        <v>0</v>
      </c>
      <c r="AL248">
        <f>IF(Table1[[#This Row],[Attrition]]="Yes", Table1[[#This Row],[MonthlyIncome]]*12*1.5, 0)</f>
        <v>0</v>
      </c>
      <c r="AM248" t="str" cm="1">
        <f t="array" ref="AM248">_xlfn.IFS(
Table1[[#This Row],[MonthlyIncome]]&lt;3000,"Under 3K",
Table1[[#This Row],[MonthlyIncome]]&lt;6000,"3K-6K",
Table1[[#This Row],[MonthlyIncome]]&lt;9000,"6K-9K",
Table1[[#This Row],[MonthlyIncome]]&lt;12000,"9K-12K",
TRUE,"12K+")</f>
        <v>Under 3K</v>
      </c>
      <c r="AN248">
        <f>1</f>
        <v>1</v>
      </c>
      <c r="AO248" t="str" cm="1">
        <f t="array" ref="AO248">_xlfn.IFS(
Table1[[#This Row],[YearsAtCompany]]&lt;=2,"0-2 Years",
Table1[[#This Row],[YearsAtCompany]]&lt;=5,"3-5 Years",
Table1[[#This Row],[YearsAtCompany]]&lt;=10,"6-10 Years",
TRUE,"10+ Years")</f>
        <v>0-2 Years</v>
      </c>
    </row>
    <row r="249" spans="1:41"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tr">
        <f t="shared" si="6"/>
        <v>Operations</v>
      </c>
      <c r="AK249">
        <f t="shared" si="7"/>
        <v>0</v>
      </c>
      <c r="AL249">
        <f>IF(Table1[[#This Row],[Attrition]]="Yes", Table1[[#This Row],[MonthlyIncome]]*12*1.5, 0)</f>
        <v>0</v>
      </c>
      <c r="AM249" t="str" cm="1">
        <f t="array" ref="AM249">_xlfn.IFS(
Table1[[#This Row],[MonthlyIncome]]&lt;3000,"Under 3K",
Table1[[#This Row],[MonthlyIncome]]&lt;6000,"3K-6K",
Table1[[#This Row],[MonthlyIncome]]&lt;9000,"6K-9K",
Table1[[#This Row],[MonthlyIncome]]&lt;12000,"9K-12K",
TRUE,"12K+")</f>
        <v>3K-6K</v>
      </c>
      <c r="AN249">
        <f>1</f>
        <v>1</v>
      </c>
      <c r="AO249" t="str" cm="1">
        <f t="array" ref="AO249">_xlfn.IFS(
Table1[[#This Row],[YearsAtCompany]]&lt;=2,"0-2 Years",
Table1[[#This Row],[YearsAtCompany]]&lt;=5,"3-5 Years",
Table1[[#This Row],[YearsAtCompany]]&lt;=10,"6-10 Years",
TRUE,"10+ Years")</f>
        <v>10+ Years</v>
      </c>
    </row>
    <row r="250" spans="1:41"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tr">
        <f t="shared" si="6"/>
        <v>Research</v>
      </c>
      <c r="AK250">
        <f t="shared" si="7"/>
        <v>0</v>
      </c>
      <c r="AL250">
        <f>IF(Table1[[#This Row],[Attrition]]="Yes", Table1[[#This Row],[MonthlyIncome]]*12*1.5, 0)</f>
        <v>0</v>
      </c>
      <c r="AM250" t="str" cm="1">
        <f t="array" ref="AM250">_xlfn.IFS(
Table1[[#This Row],[MonthlyIncome]]&lt;3000,"Under 3K",
Table1[[#This Row],[MonthlyIncome]]&lt;6000,"3K-6K",
Table1[[#This Row],[MonthlyIncome]]&lt;9000,"6K-9K",
Table1[[#This Row],[MonthlyIncome]]&lt;12000,"9K-12K",
TRUE,"12K+")</f>
        <v>3K-6K</v>
      </c>
      <c r="AN250">
        <f>1</f>
        <v>1</v>
      </c>
      <c r="AO250" t="str" cm="1">
        <f t="array" ref="AO250">_xlfn.IFS(
Table1[[#This Row],[YearsAtCompany]]&lt;=2,"0-2 Years",
Table1[[#This Row],[YearsAtCompany]]&lt;=5,"3-5 Years",
Table1[[#This Row],[YearsAtCompany]]&lt;=10,"6-10 Years",
TRUE,"10+ Years")</f>
        <v>3-5 Years</v>
      </c>
    </row>
    <row r="251" spans="1:41"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tr">
        <f t="shared" si="6"/>
        <v>Operations</v>
      </c>
      <c r="AK251">
        <f t="shared" si="7"/>
        <v>0</v>
      </c>
      <c r="AL251">
        <f>IF(Table1[[#This Row],[Attrition]]="Yes", Table1[[#This Row],[MonthlyIncome]]*12*1.5, 0)</f>
        <v>0</v>
      </c>
      <c r="AM251" t="str" cm="1">
        <f t="array" ref="AM251">_xlfn.IFS(
Table1[[#This Row],[MonthlyIncome]]&lt;3000,"Under 3K",
Table1[[#This Row],[MonthlyIncome]]&lt;6000,"3K-6K",
Table1[[#This Row],[MonthlyIncome]]&lt;9000,"6K-9K",
Table1[[#This Row],[MonthlyIncome]]&lt;12000,"9K-12K",
TRUE,"12K+")</f>
        <v>6K-9K</v>
      </c>
      <c r="AN251">
        <f>1</f>
        <v>1</v>
      </c>
      <c r="AO251" t="str" cm="1">
        <f t="array" ref="AO251">_xlfn.IFS(
Table1[[#This Row],[YearsAtCompany]]&lt;=2,"0-2 Years",
Table1[[#This Row],[YearsAtCompany]]&lt;=5,"3-5 Years",
Table1[[#This Row],[YearsAtCompany]]&lt;=10,"6-10 Years",
TRUE,"10+ Years")</f>
        <v>3-5 Years</v>
      </c>
    </row>
    <row r="252" spans="1:41"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tr">
        <f t="shared" si="6"/>
        <v>Operations</v>
      </c>
      <c r="AK252">
        <f t="shared" si="7"/>
        <v>1</v>
      </c>
      <c r="AL252">
        <f>IF(Table1[[#This Row],[Attrition]]="Yes", Table1[[#This Row],[MonthlyIncome]]*12*1.5, 0)</f>
        <v>180864</v>
      </c>
      <c r="AM252" t="str" cm="1">
        <f t="array" ref="AM252">_xlfn.IFS(
Table1[[#This Row],[MonthlyIncome]]&lt;3000,"Under 3K",
Table1[[#This Row],[MonthlyIncome]]&lt;6000,"3K-6K",
Table1[[#This Row],[MonthlyIncome]]&lt;9000,"6K-9K",
Table1[[#This Row],[MonthlyIncome]]&lt;12000,"9K-12K",
TRUE,"12K+")</f>
        <v>9K-12K</v>
      </c>
      <c r="AN252">
        <f>1</f>
        <v>1</v>
      </c>
      <c r="AO252" t="str" cm="1">
        <f t="array" ref="AO252">_xlfn.IFS(
Table1[[#This Row],[YearsAtCompany]]&lt;=2,"0-2 Years",
Table1[[#This Row],[YearsAtCompany]]&lt;=5,"3-5 Years",
Table1[[#This Row],[YearsAtCompany]]&lt;=10,"6-10 Years",
TRUE,"10+ Years")</f>
        <v>0-2 Years</v>
      </c>
    </row>
    <row r="253" spans="1:41"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tr">
        <f t="shared" si="6"/>
        <v>Healthcare</v>
      </c>
      <c r="AK253">
        <f t="shared" si="7"/>
        <v>0</v>
      </c>
      <c r="AL253">
        <f>IF(Table1[[#This Row],[Attrition]]="Yes", Table1[[#This Row],[MonthlyIncome]]*12*1.5, 0)</f>
        <v>0</v>
      </c>
      <c r="AM253" t="str" cm="1">
        <f t="array" ref="AM253">_xlfn.IFS(
Table1[[#This Row],[MonthlyIncome]]&lt;3000,"Under 3K",
Table1[[#This Row],[MonthlyIncome]]&lt;6000,"3K-6K",
Table1[[#This Row],[MonthlyIncome]]&lt;9000,"6K-9K",
Table1[[#This Row],[MonthlyIncome]]&lt;12000,"9K-12K",
TRUE,"12K+")</f>
        <v>9K-12K</v>
      </c>
      <c r="AN253">
        <f>1</f>
        <v>1</v>
      </c>
      <c r="AO253" t="str" cm="1">
        <f t="array" ref="AO253">_xlfn.IFS(
Table1[[#This Row],[YearsAtCompany]]&lt;=2,"0-2 Years",
Table1[[#This Row],[YearsAtCompany]]&lt;=5,"3-5 Years",
Table1[[#This Row],[YearsAtCompany]]&lt;=10,"6-10 Years",
TRUE,"10+ Years")</f>
        <v>10+ Years</v>
      </c>
    </row>
    <row r="254" spans="1:41"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tr">
        <f t="shared" si="6"/>
        <v>Research</v>
      </c>
      <c r="AK254">
        <f t="shared" si="7"/>
        <v>0</v>
      </c>
      <c r="AL254">
        <f>IF(Table1[[#This Row],[Attrition]]="Yes", Table1[[#This Row],[MonthlyIncome]]*12*1.5, 0)</f>
        <v>0</v>
      </c>
      <c r="AM254" t="str" cm="1">
        <f t="array" ref="AM254">_xlfn.IFS(
Table1[[#This Row],[MonthlyIncome]]&lt;3000,"Under 3K",
Table1[[#This Row],[MonthlyIncome]]&lt;6000,"3K-6K",
Table1[[#This Row],[MonthlyIncome]]&lt;9000,"6K-9K",
Table1[[#This Row],[MonthlyIncome]]&lt;12000,"9K-12K",
TRUE,"12K+")</f>
        <v>Under 3K</v>
      </c>
      <c r="AN254">
        <f>1</f>
        <v>1</v>
      </c>
      <c r="AO254" t="str" cm="1">
        <f t="array" ref="AO254">_xlfn.IFS(
Table1[[#This Row],[YearsAtCompany]]&lt;=2,"0-2 Years",
Table1[[#This Row],[YearsAtCompany]]&lt;=5,"3-5 Years",
Table1[[#This Row],[YearsAtCompany]]&lt;=10,"6-10 Years",
TRUE,"10+ Years")</f>
        <v>6-10 Years</v>
      </c>
    </row>
    <row r="255" spans="1:41"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tr">
        <f t="shared" si="6"/>
        <v>Research</v>
      </c>
      <c r="AK255">
        <f t="shared" si="7"/>
        <v>0</v>
      </c>
      <c r="AL255">
        <f>IF(Table1[[#This Row],[Attrition]]="Yes", Table1[[#This Row],[MonthlyIncome]]*12*1.5, 0)</f>
        <v>0</v>
      </c>
      <c r="AM255" t="str" cm="1">
        <f t="array" ref="AM255">_xlfn.IFS(
Table1[[#This Row],[MonthlyIncome]]&lt;3000,"Under 3K",
Table1[[#This Row],[MonthlyIncome]]&lt;6000,"3K-6K",
Table1[[#This Row],[MonthlyIncome]]&lt;9000,"6K-9K",
Table1[[#This Row],[MonthlyIncome]]&lt;12000,"9K-12K",
TRUE,"12K+")</f>
        <v>6K-9K</v>
      </c>
      <c r="AN255">
        <f>1</f>
        <v>1</v>
      </c>
      <c r="AO255" t="str" cm="1">
        <f t="array" ref="AO255">_xlfn.IFS(
Table1[[#This Row],[YearsAtCompany]]&lt;=2,"0-2 Years",
Table1[[#This Row],[YearsAtCompany]]&lt;=5,"3-5 Years",
Table1[[#This Row],[YearsAtCompany]]&lt;=10,"6-10 Years",
TRUE,"10+ Years")</f>
        <v>3-5 Years</v>
      </c>
    </row>
    <row r="256" spans="1:41"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tr">
        <f t="shared" si="6"/>
        <v>Sales</v>
      </c>
      <c r="AK256">
        <f t="shared" si="7"/>
        <v>0</v>
      </c>
      <c r="AL256">
        <f>IF(Table1[[#This Row],[Attrition]]="Yes", Table1[[#This Row],[MonthlyIncome]]*12*1.5, 0)</f>
        <v>0</v>
      </c>
      <c r="AM256" t="str" cm="1">
        <f t="array" ref="AM256">_xlfn.IFS(
Table1[[#This Row],[MonthlyIncome]]&lt;3000,"Under 3K",
Table1[[#This Row],[MonthlyIncome]]&lt;6000,"3K-6K",
Table1[[#This Row],[MonthlyIncome]]&lt;9000,"6K-9K",
Table1[[#This Row],[MonthlyIncome]]&lt;12000,"9K-12K",
TRUE,"12K+")</f>
        <v>6K-9K</v>
      </c>
      <c r="AN256">
        <f>1</f>
        <v>1</v>
      </c>
      <c r="AO256" t="str" cm="1">
        <f t="array" ref="AO256">_xlfn.IFS(
Table1[[#This Row],[YearsAtCompany]]&lt;=2,"0-2 Years",
Table1[[#This Row],[YearsAtCompany]]&lt;=5,"3-5 Years",
Table1[[#This Row],[YearsAtCompany]]&lt;=10,"6-10 Years",
TRUE,"10+ Years")</f>
        <v>3-5 Years</v>
      </c>
    </row>
    <row r="257" spans="1:41"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tr">
        <f t="shared" si="6"/>
        <v>Operations</v>
      </c>
      <c r="AK257">
        <f t="shared" si="7"/>
        <v>0</v>
      </c>
      <c r="AL257">
        <f>IF(Table1[[#This Row],[Attrition]]="Yes", Table1[[#This Row],[MonthlyIncome]]*12*1.5, 0)</f>
        <v>0</v>
      </c>
      <c r="AM257" t="str" cm="1">
        <f t="array" ref="AM257">_xlfn.IFS(
Table1[[#This Row],[MonthlyIncome]]&lt;3000,"Under 3K",
Table1[[#This Row],[MonthlyIncome]]&lt;6000,"3K-6K",
Table1[[#This Row],[MonthlyIncome]]&lt;9000,"6K-9K",
Table1[[#This Row],[MonthlyIncome]]&lt;12000,"9K-12K",
TRUE,"12K+")</f>
        <v>3K-6K</v>
      </c>
      <c r="AN257">
        <f>1</f>
        <v>1</v>
      </c>
      <c r="AO257" t="str" cm="1">
        <f t="array" ref="AO257">_xlfn.IFS(
Table1[[#This Row],[YearsAtCompany]]&lt;=2,"0-2 Years",
Table1[[#This Row],[YearsAtCompany]]&lt;=5,"3-5 Years",
Table1[[#This Row],[YearsAtCompany]]&lt;=10,"6-10 Years",
TRUE,"10+ Years")</f>
        <v>3-5 Years</v>
      </c>
    </row>
    <row r="258" spans="1:41"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tr">
        <f t="shared" si="6"/>
        <v>Research</v>
      </c>
      <c r="AK258">
        <f t="shared" si="7"/>
        <v>0</v>
      </c>
      <c r="AL258">
        <f>IF(Table1[[#This Row],[Attrition]]="Yes", Table1[[#This Row],[MonthlyIncome]]*12*1.5, 0)</f>
        <v>0</v>
      </c>
      <c r="AM258" t="str" cm="1">
        <f t="array" ref="AM258">_xlfn.IFS(
Table1[[#This Row],[MonthlyIncome]]&lt;3000,"Under 3K",
Table1[[#This Row],[MonthlyIncome]]&lt;6000,"3K-6K",
Table1[[#This Row],[MonthlyIncome]]&lt;9000,"6K-9K",
Table1[[#This Row],[MonthlyIncome]]&lt;12000,"9K-12K",
TRUE,"12K+")</f>
        <v>Under 3K</v>
      </c>
      <c r="AN258">
        <f>1</f>
        <v>1</v>
      </c>
      <c r="AO258" t="str" cm="1">
        <f t="array" ref="AO258">_xlfn.IFS(
Table1[[#This Row],[YearsAtCompany]]&lt;=2,"0-2 Years",
Table1[[#This Row],[YearsAtCompany]]&lt;=5,"3-5 Years",
Table1[[#This Row],[YearsAtCompany]]&lt;=10,"6-10 Years",
TRUE,"10+ Years")</f>
        <v>6-10 Years</v>
      </c>
    </row>
    <row r="259" spans="1:41"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tr">
        <f t="shared" ref="AJ259:AJ322" si="8">_xlfn.XLOOKUP(P259, $AP$2:$AP$10,$AQ$2:$AQ$10)</f>
        <v>Research</v>
      </c>
      <c r="AK259">
        <f t="shared" ref="AK259:AK322" si="9">IF(B259 ="Yes",1,0)</f>
        <v>0</v>
      </c>
      <c r="AL259">
        <f>IF(Table1[[#This Row],[Attrition]]="Yes", Table1[[#This Row],[MonthlyIncome]]*12*1.5, 0)</f>
        <v>0</v>
      </c>
      <c r="AM259" t="str" cm="1">
        <f t="array" ref="AM259">_xlfn.IFS(
Table1[[#This Row],[MonthlyIncome]]&lt;3000,"Under 3K",
Table1[[#This Row],[MonthlyIncome]]&lt;6000,"3K-6K",
Table1[[#This Row],[MonthlyIncome]]&lt;9000,"6K-9K",
Table1[[#This Row],[MonthlyIncome]]&lt;12000,"9K-12K",
TRUE,"12K+")</f>
        <v>12K+</v>
      </c>
      <c r="AN259">
        <f>1</f>
        <v>1</v>
      </c>
      <c r="AO259" t="str" cm="1">
        <f t="array" ref="AO259">_xlfn.IFS(
Table1[[#This Row],[YearsAtCompany]]&lt;=2,"0-2 Years",
Table1[[#This Row],[YearsAtCompany]]&lt;=5,"3-5 Years",
Table1[[#This Row],[YearsAtCompany]]&lt;=10,"6-10 Years",
TRUE,"10+ Years")</f>
        <v>10+ Years</v>
      </c>
    </row>
    <row r="260" spans="1:41"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tr">
        <f t="shared" si="8"/>
        <v>Research</v>
      </c>
      <c r="AK260">
        <f t="shared" si="9"/>
        <v>0</v>
      </c>
      <c r="AL260">
        <f>IF(Table1[[#This Row],[Attrition]]="Yes", Table1[[#This Row],[MonthlyIncome]]*12*1.5, 0)</f>
        <v>0</v>
      </c>
      <c r="AM260" t="str" cm="1">
        <f t="array" ref="AM260">_xlfn.IFS(
Table1[[#This Row],[MonthlyIncome]]&lt;3000,"Under 3K",
Table1[[#This Row],[MonthlyIncome]]&lt;6000,"3K-6K",
Table1[[#This Row],[MonthlyIncome]]&lt;9000,"6K-9K",
Table1[[#This Row],[MonthlyIncome]]&lt;12000,"9K-12K",
TRUE,"12K+")</f>
        <v>Under 3K</v>
      </c>
      <c r="AN260">
        <f>1</f>
        <v>1</v>
      </c>
      <c r="AO260" t="str" cm="1">
        <f t="array" ref="AO260">_xlfn.IFS(
Table1[[#This Row],[YearsAtCompany]]&lt;=2,"0-2 Years",
Table1[[#This Row],[YearsAtCompany]]&lt;=5,"3-5 Years",
Table1[[#This Row],[YearsAtCompany]]&lt;=10,"6-10 Years",
TRUE,"10+ Years")</f>
        <v>0-2 Years</v>
      </c>
    </row>
    <row r="261" spans="1:41"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tr">
        <f t="shared" si="8"/>
        <v>Research</v>
      </c>
      <c r="AK261">
        <f t="shared" si="9"/>
        <v>1</v>
      </c>
      <c r="AL261">
        <f>IF(Table1[[#This Row],[Attrition]]="Yes", Table1[[#This Row],[MonthlyIncome]]*12*1.5, 0)</f>
        <v>62622</v>
      </c>
      <c r="AM261" t="str" cm="1">
        <f t="array" ref="AM261">_xlfn.IFS(
Table1[[#This Row],[MonthlyIncome]]&lt;3000,"Under 3K",
Table1[[#This Row],[MonthlyIncome]]&lt;6000,"3K-6K",
Table1[[#This Row],[MonthlyIncome]]&lt;9000,"6K-9K",
Table1[[#This Row],[MonthlyIncome]]&lt;12000,"9K-12K",
TRUE,"12K+")</f>
        <v>3K-6K</v>
      </c>
      <c r="AN261">
        <f>1</f>
        <v>1</v>
      </c>
      <c r="AO261" t="str" cm="1">
        <f t="array" ref="AO261">_xlfn.IFS(
Table1[[#This Row],[YearsAtCompany]]&lt;=2,"0-2 Years",
Table1[[#This Row],[YearsAtCompany]]&lt;=5,"3-5 Years",
Table1[[#This Row],[YearsAtCompany]]&lt;=10,"6-10 Years",
TRUE,"10+ Years")</f>
        <v>3-5 Years</v>
      </c>
    </row>
    <row r="262" spans="1:41"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tr">
        <f t="shared" si="8"/>
        <v>Research</v>
      </c>
      <c r="AK262">
        <f t="shared" si="9"/>
        <v>0</v>
      </c>
      <c r="AL262">
        <f>IF(Table1[[#This Row],[Attrition]]="Yes", Table1[[#This Row],[MonthlyIncome]]*12*1.5, 0)</f>
        <v>0</v>
      </c>
      <c r="AM262" t="str" cm="1">
        <f t="array" ref="AM262">_xlfn.IFS(
Table1[[#This Row],[MonthlyIncome]]&lt;3000,"Under 3K",
Table1[[#This Row],[MonthlyIncome]]&lt;6000,"3K-6K",
Table1[[#This Row],[MonthlyIncome]]&lt;9000,"6K-9K",
Table1[[#This Row],[MonthlyIncome]]&lt;12000,"9K-12K",
TRUE,"12K+")</f>
        <v>Under 3K</v>
      </c>
      <c r="AN262">
        <f>1</f>
        <v>1</v>
      </c>
      <c r="AO262" t="str" cm="1">
        <f t="array" ref="AO262">_xlfn.IFS(
Table1[[#This Row],[YearsAtCompany]]&lt;=2,"0-2 Years",
Table1[[#This Row],[YearsAtCompany]]&lt;=5,"3-5 Years",
Table1[[#This Row],[YearsAtCompany]]&lt;=10,"6-10 Years",
TRUE,"10+ Years")</f>
        <v>3-5 Years</v>
      </c>
    </row>
    <row r="263" spans="1:41"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tr">
        <f t="shared" si="8"/>
        <v>Sales</v>
      </c>
      <c r="AK263">
        <f t="shared" si="9"/>
        <v>0</v>
      </c>
      <c r="AL263">
        <f>IF(Table1[[#This Row],[Attrition]]="Yes", Table1[[#This Row],[MonthlyIncome]]*12*1.5, 0)</f>
        <v>0</v>
      </c>
      <c r="AM263" t="str" cm="1">
        <f t="array" ref="AM263">_xlfn.IFS(
Table1[[#This Row],[MonthlyIncome]]&lt;3000,"Under 3K",
Table1[[#This Row],[MonthlyIncome]]&lt;6000,"3K-6K",
Table1[[#This Row],[MonthlyIncome]]&lt;9000,"6K-9K",
Table1[[#This Row],[MonthlyIncome]]&lt;12000,"9K-12K",
TRUE,"12K+")</f>
        <v>3K-6K</v>
      </c>
      <c r="AN263">
        <f>1</f>
        <v>1</v>
      </c>
      <c r="AO263" t="str" cm="1">
        <f t="array" ref="AO263">_xlfn.IFS(
Table1[[#This Row],[YearsAtCompany]]&lt;=2,"0-2 Years",
Table1[[#This Row],[YearsAtCompany]]&lt;=5,"3-5 Years",
Table1[[#This Row],[YearsAtCompany]]&lt;=10,"6-10 Years",
TRUE,"10+ Years")</f>
        <v>6-10 Years</v>
      </c>
    </row>
    <row r="264" spans="1:41"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tr">
        <f t="shared" si="8"/>
        <v>Research</v>
      </c>
      <c r="AK264">
        <f t="shared" si="9"/>
        <v>0</v>
      </c>
      <c r="AL264">
        <f>IF(Table1[[#This Row],[Attrition]]="Yes", Table1[[#This Row],[MonthlyIncome]]*12*1.5, 0)</f>
        <v>0</v>
      </c>
      <c r="AM264" t="str" cm="1">
        <f t="array" ref="AM264">_xlfn.IFS(
Table1[[#This Row],[MonthlyIncome]]&lt;3000,"Under 3K",
Table1[[#This Row],[MonthlyIncome]]&lt;6000,"3K-6K",
Table1[[#This Row],[MonthlyIncome]]&lt;9000,"6K-9K",
Table1[[#This Row],[MonthlyIncome]]&lt;12000,"9K-12K",
TRUE,"12K+")</f>
        <v>Under 3K</v>
      </c>
      <c r="AN264">
        <f>1</f>
        <v>1</v>
      </c>
      <c r="AO264" t="str" cm="1">
        <f t="array" ref="AO264">_xlfn.IFS(
Table1[[#This Row],[YearsAtCompany]]&lt;=2,"0-2 Years",
Table1[[#This Row],[YearsAtCompany]]&lt;=5,"3-5 Years",
Table1[[#This Row],[YearsAtCompany]]&lt;=10,"6-10 Years",
TRUE,"10+ Years")</f>
        <v>6-10 Years</v>
      </c>
    </row>
    <row r="265" spans="1:41"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tr">
        <f t="shared" si="8"/>
        <v>Management</v>
      </c>
      <c r="AK265">
        <f t="shared" si="9"/>
        <v>0</v>
      </c>
      <c r="AL265">
        <f>IF(Table1[[#This Row],[Attrition]]="Yes", Table1[[#This Row],[MonthlyIncome]]*12*1.5, 0)</f>
        <v>0</v>
      </c>
      <c r="AM265" t="str" cm="1">
        <f t="array" ref="AM265">_xlfn.IFS(
Table1[[#This Row],[MonthlyIncome]]&lt;3000,"Under 3K",
Table1[[#This Row],[MonthlyIncome]]&lt;6000,"3K-6K",
Table1[[#This Row],[MonthlyIncome]]&lt;9000,"6K-9K",
Table1[[#This Row],[MonthlyIncome]]&lt;12000,"9K-12K",
TRUE,"12K+")</f>
        <v>12K+</v>
      </c>
      <c r="AN265">
        <f>1</f>
        <v>1</v>
      </c>
      <c r="AO265" t="str" cm="1">
        <f t="array" ref="AO265">_xlfn.IFS(
Table1[[#This Row],[YearsAtCompany]]&lt;=2,"0-2 Years",
Table1[[#This Row],[YearsAtCompany]]&lt;=5,"3-5 Years",
Table1[[#This Row],[YearsAtCompany]]&lt;=10,"6-10 Years",
TRUE,"10+ Years")</f>
        <v>6-10 Years</v>
      </c>
    </row>
    <row r="266" spans="1:41"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tr">
        <f t="shared" si="8"/>
        <v>Research</v>
      </c>
      <c r="AK266">
        <f t="shared" si="9"/>
        <v>1</v>
      </c>
      <c r="AL266">
        <f>IF(Table1[[#This Row],[Attrition]]="Yes", Table1[[#This Row],[MonthlyIncome]]*12*1.5, 0)</f>
        <v>62730</v>
      </c>
      <c r="AM266" t="str" cm="1">
        <f t="array" ref="AM266">_xlfn.IFS(
Table1[[#This Row],[MonthlyIncome]]&lt;3000,"Under 3K",
Table1[[#This Row],[MonthlyIncome]]&lt;6000,"3K-6K",
Table1[[#This Row],[MonthlyIncome]]&lt;9000,"6K-9K",
Table1[[#This Row],[MonthlyIncome]]&lt;12000,"9K-12K",
TRUE,"12K+")</f>
        <v>3K-6K</v>
      </c>
      <c r="AN266">
        <f>1</f>
        <v>1</v>
      </c>
      <c r="AO266" t="str" cm="1">
        <f t="array" ref="AO266">_xlfn.IFS(
Table1[[#This Row],[YearsAtCompany]]&lt;=2,"0-2 Years",
Table1[[#This Row],[YearsAtCompany]]&lt;=5,"3-5 Years",
Table1[[#This Row],[YearsAtCompany]]&lt;=10,"6-10 Years",
TRUE,"10+ Years")</f>
        <v>0-2 Years</v>
      </c>
    </row>
    <row r="267" spans="1:41"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tr">
        <f t="shared" si="8"/>
        <v>Sales</v>
      </c>
      <c r="AK267">
        <f t="shared" si="9"/>
        <v>0</v>
      </c>
      <c r="AL267">
        <f>IF(Table1[[#This Row],[Attrition]]="Yes", Table1[[#This Row],[MonthlyIncome]]*12*1.5, 0)</f>
        <v>0</v>
      </c>
      <c r="AM267" t="str" cm="1">
        <f t="array" ref="AM267">_xlfn.IFS(
Table1[[#This Row],[MonthlyIncome]]&lt;3000,"Under 3K",
Table1[[#This Row],[MonthlyIncome]]&lt;6000,"3K-6K",
Table1[[#This Row],[MonthlyIncome]]&lt;9000,"6K-9K",
Table1[[#This Row],[MonthlyIncome]]&lt;12000,"9K-12K",
TRUE,"12K+")</f>
        <v>6K-9K</v>
      </c>
      <c r="AN267">
        <f>1</f>
        <v>1</v>
      </c>
      <c r="AO267" t="str" cm="1">
        <f t="array" ref="AO267">_xlfn.IFS(
Table1[[#This Row],[YearsAtCompany]]&lt;=2,"0-2 Years",
Table1[[#This Row],[YearsAtCompany]]&lt;=5,"3-5 Years",
Table1[[#This Row],[YearsAtCompany]]&lt;=10,"6-10 Years",
TRUE,"10+ Years")</f>
        <v>0-2 Years</v>
      </c>
    </row>
    <row r="268" spans="1:41"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tr">
        <f t="shared" si="8"/>
        <v>Healthcare</v>
      </c>
      <c r="AK268">
        <f t="shared" si="9"/>
        <v>0</v>
      </c>
      <c r="AL268">
        <f>IF(Table1[[#This Row],[Attrition]]="Yes", Table1[[#This Row],[MonthlyIncome]]*12*1.5, 0)</f>
        <v>0</v>
      </c>
      <c r="AM268" t="str" cm="1">
        <f t="array" ref="AM268">_xlfn.IFS(
Table1[[#This Row],[MonthlyIncome]]&lt;3000,"Under 3K",
Table1[[#This Row],[MonthlyIncome]]&lt;6000,"3K-6K",
Table1[[#This Row],[MonthlyIncome]]&lt;9000,"6K-9K",
Table1[[#This Row],[MonthlyIncome]]&lt;12000,"9K-12K",
TRUE,"12K+")</f>
        <v>3K-6K</v>
      </c>
      <c r="AN268">
        <f>1</f>
        <v>1</v>
      </c>
      <c r="AO268" t="str" cm="1">
        <f t="array" ref="AO268">_xlfn.IFS(
Table1[[#This Row],[YearsAtCompany]]&lt;=2,"0-2 Years",
Table1[[#This Row],[YearsAtCompany]]&lt;=5,"3-5 Years",
Table1[[#This Row],[YearsAtCompany]]&lt;=10,"6-10 Years",
TRUE,"10+ Years")</f>
        <v>6-10 Years</v>
      </c>
    </row>
    <row r="269" spans="1:41"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tr">
        <f t="shared" si="8"/>
        <v>Healthcare</v>
      </c>
      <c r="AK269">
        <f t="shared" si="9"/>
        <v>0</v>
      </c>
      <c r="AL269">
        <f>IF(Table1[[#This Row],[Attrition]]="Yes", Table1[[#This Row],[MonthlyIncome]]*12*1.5, 0)</f>
        <v>0</v>
      </c>
      <c r="AM269" t="str" cm="1">
        <f t="array" ref="AM269">_xlfn.IFS(
Table1[[#This Row],[MonthlyIncome]]&lt;3000,"Under 3K",
Table1[[#This Row],[MonthlyIncome]]&lt;6000,"3K-6K",
Table1[[#This Row],[MonthlyIncome]]&lt;9000,"6K-9K",
Table1[[#This Row],[MonthlyIncome]]&lt;12000,"9K-12K",
TRUE,"12K+")</f>
        <v>3K-6K</v>
      </c>
      <c r="AN269">
        <f>1</f>
        <v>1</v>
      </c>
      <c r="AO269" t="str" cm="1">
        <f t="array" ref="AO269">_xlfn.IFS(
Table1[[#This Row],[YearsAtCompany]]&lt;=2,"0-2 Years",
Table1[[#This Row],[YearsAtCompany]]&lt;=5,"3-5 Years",
Table1[[#This Row],[YearsAtCompany]]&lt;=10,"6-10 Years",
TRUE,"10+ Years")</f>
        <v>6-10 Years</v>
      </c>
    </row>
    <row r="270" spans="1:41"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tr">
        <f t="shared" si="8"/>
        <v>Healthcare</v>
      </c>
      <c r="AK270">
        <f t="shared" si="9"/>
        <v>0</v>
      </c>
      <c r="AL270">
        <f>IF(Table1[[#This Row],[Attrition]]="Yes", Table1[[#This Row],[MonthlyIncome]]*12*1.5, 0)</f>
        <v>0</v>
      </c>
      <c r="AM270" t="str" cm="1">
        <f t="array" ref="AM270">_xlfn.IFS(
Table1[[#This Row],[MonthlyIncome]]&lt;3000,"Under 3K",
Table1[[#This Row],[MonthlyIncome]]&lt;6000,"3K-6K",
Table1[[#This Row],[MonthlyIncome]]&lt;9000,"6K-9K",
Table1[[#This Row],[MonthlyIncome]]&lt;12000,"9K-12K",
TRUE,"12K+")</f>
        <v>12K+</v>
      </c>
      <c r="AN270">
        <f>1</f>
        <v>1</v>
      </c>
      <c r="AO270" t="str" cm="1">
        <f t="array" ref="AO270">_xlfn.IFS(
Table1[[#This Row],[YearsAtCompany]]&lt;=2,"0-2 Years",
Table1[[#This Row],[YearsAtCompany]]&lt;=5,"3-5 Years",
Table1[[#This Row],[YearsAtCompany]]&lt;=10,"6-10 Years",
TRUE,"10+ Years")</f>
        <v>10+ Years</v>
      </c>
    </row>
    <row r="271" spans="1:41"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tr">
        <f t="shared" si="8"/>
        <v>Research</v>
      </c>
      <c r="AK271">
        <f t="shared" si="9"/>
        <v>0</v>
      </c>
      <c r="AL271">
        <f>IF(Table1[[#This Row],[Attrition]]="Yes", Table1[[#This Row],[MonthlyIncome]]*12*1.5, 0)</f>
        <v>0</v>
      </c>
      <c r="AM271" t="str" cm="1">
        <f t="array" ref="AM271">_xlfn.IFS(
Table1[[#This Row],[MonthlyIncome]]&lt;3000,"Under 3K",
Table1[[#This Row],[MonthlyIncome]]&lt;6000,"3K-6K",
Table1[[#This Row],[MonthlyIncome]]&lt;9000,"6K-9K",
Table1[[#This Row],[MonthlyIncome]]&lt;12000,"9K-12K",
TRUE,"12K+")</f>
        <v>3K-6K</v>
      </c>
      <c r="AN271">
        <f>1</f>
        <v>1</v>
      </c>
      <c r="AO271" t="str" cm="1">
        <f t="array" ref="AO271">_xlfn.IFS(
Table1[[#This Row],[YearsAtCompany]]&lt;=2,"0-2 Years",
Table1[[#This Row],[YearsAtCompany]]&lt;=5,"3-5 Years",
Table1[[#This Row],[YearsAtCompany]]&lt;=10,"6-10 Years",
TRUE,"10+ Years")</f>
        <v>10+ Years</v>
      </c>
    </row>
    <row r="272" spans="1:41"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tr">
        <f t="shared" si="8"/>
        <v>Management</v>
      </c>
      <c r="AK272">
        <f t="shared" si="9"/>
        <v>0</v>
      </c>
      <c r="AL272">
        <f>IF(Table1[[#This Row],[Attrition]]="Yes", Table1[[#This Row],[MonthlyIncome]]*12*1.5, 0)</f>
        <v>0</v>
      </c>
      <c r="AM272" t="str" cm="1">
        <f t="array" ref="AM272">_xlfn.IFS(
Table1[[#This Row],[MonthlyIncome]]&lt;3000,"Under 3K",
Table1[[#This Row],[MonthlyIncome]]&lt;6000,"3K-6K",
Table1[[#This Row],[MonthlyIncome]]&lt;9000,"6K-9K",
Table1[[#This Row],[MonthlyIncome]]&lt;12000,"9K-12K",
TRUE,"12K+")</f>
        <v>12K+</v>
      </c>
      <c r="AN272">
        <f>1</f>
        <v>1</v>
      </c>
      <c r="AO272" t="str" cm="1">
        <f t="array" ref="AO272">_xlfn.IFS(
Table1[[#This Row],[YearsAtCompany]]&lt;=2,"0-2 Years",
Table1[[#This Row],[YearsAtCompany]]&lt;=5,"3-5 Years",
Table1[[#This Row],[YearsAtCompany]]&lt;=10,"6-10 Years",
TRUE,"10+ Years")</f>
        <v>10+ Years</v>
      </c>
    </row>
    <row r="273" spans="1:41"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tr">
        <f t="shared" si="8"/>
        <v>Management</v>
      </c>
      <c r="AK273">
        <f t="shared" si="9"/>
        <v>1</v>
      </c>
      <c r="AL273">
        <f>IF(Table1[[#This Row],[Attrition]]="Yes", Table1[[#This Row],[MonthlyIncome]]*12*1.5, 0)</f>
        <v>213282</v>
      </c>
      <c r="AM273" t="str" cm="1">
        <f t="array" ref="AM273">_xlfn.IFS(
Table1[[#This Row],[MonthlyIncome]]&lt;3000,"Under 3K",
Table1[[#This Row],[MonthlyIncome]]&lt;6000,"3K-6K",
Table1[[#This Row],[MonthlyIncome]]&lt;9000,"6K-9K",
Table1[[#This Row],[MonthlyIncome]]&lt;12000,"9K-12K",
TRUE,"12K+")</f>
        <v>9K-12K</v>
      </c>
      <c r="AN273">
        <f>1</f>
        <v>1</v>
      </c>
      <c r="AO273" t="str" cm="1">
        <f t="array" ref="AO273">_xlfn.IFS(
Table1[[#This Row],[YearsAtCompany]]&lt;=2,"0-2 Years",
Table1[[#This Row],[YearsAtCompany]]&lt;=5,"3-5 Years",
Table1[[#This Row],[YearsAtCompany]]&lt;=10,"6-10 Years",
TRUE,"10+ Years")</f>
        <v>6-10 Years</v>
      </c>
    </row>
    <row r="274" spans="1:41"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tr">
        <f t="shared" si="8"/>
        <v>Research</v>
      </c>
      <c r="AK274">
        <f t="shared" si="9"/>
        <v>0</v>
      </c>
      <c r="AL274">
        <f>IF(Table1[[#This Row],[Attrition]]="Yes", Table1[[#This Row],[MonthlyIncome]]*12*1.5, 0)</f>
        <v>0</v>
      </c>
      <c r="AM274" t="str" cm="1">
        <f t="array" ref="AM274">_xlfn.IFS(
Table1[[#This Row],[MonthlyIncome]]&lt;3000,"Under 3K",
Table1[[#This Row],[MonthlyIncome]]&lt;6000,"3K-6K",
Table1[[#This Row],[MonthlyIncome]]&lt;9000,"6K-9K",
Table1[[#This Row],[MonthlyIncome]]&lt;12000,"9K-12K",
TRUE,"12K+")</f>
        <v>Under 3K</v>
      </c>
      <c r="AN274">
        <f>1</f>
        <v>1</v>
      </c>
      <c r="AO274" t="str" cm="1">
        <f t="array" ref="AO274">_xlfn.IFS(
Table1[[#This Row],[YearsAtCompany]]&lt;=2,"0-2 Years",
Table1[[#This Row],[YearsAtCompany]]&lt;=5,"3-5 Years",
Table1[[#This Row],[YearsAtCompany]]&lt;=10,"6-10 Years",
TRUE,"10+ Years")</f>
        <v>3-5 Years</v>
      </c>
    </row>
    <row r="275" spans="1:41"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tr">
        <f t="shared" si="8"/>
        <v>Sales</v>
      </c>
      <c r="AK275">
        <f t="shared" si="9"/>
        <v>0</v>
      </c>
      <c r="AL275">
        <f>IF(Table1[[#This Row],[Attrition]]="Yes", Table1[[#This Row],[MonthlyIncome]]*12*1.5, 0)</f>
        <v>0</v>
      </c>
      <c r="AM275" t="str" cm="1">
        <f t="array" ref="AM275">_xlfn.IFS(
Table1[[#This Row],[MonthlyIncome]]&lt;3000,"Under 3K",
Table1[[#This Row],[MonthlyIncome]]&lt;6000,"3K-6K",
Table1[[#This Row],[MonthlyIncome]]&lt;9000,"6K-9K",
Table1[[#This Row],[MonthlyIncome]]&lt;12000,"9K-12K",
TRUE,"12K+")</f>
        <v>6K-9K</v>
      </c>
      <c r="AN275">
        <f>1</f>
        <v>1</v>
      </c>
      <c r="AO275" t="str" cm="1">
        <f t="array" ref="AO275">_xlfn.IFS(
Table1[[#This Row],[YearsAtCompany]]&lt;=2,"0-2 Years",
Table1[[#This Row],[YearsAtCompany]]&lt;=5,"3-5 Years",
Table1[[#This Row],[YearsAtCompany]]&lt;=10,"6-10 Years",
TRUE,"10+ Years")</f>
        <v>3-5 Years</v>
      </c>
    </row>
    <row r="276" spans="1:41"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tr">
        <f t="shared" si="8"/>
        <v>Research</v>
      </c>
      <c r="AK276">
        <f t="shared" si="9"/>
        <v>0</v>
      </c>
      <c r="AL276">
        <f>IF(Table1[[#This Row],[Attrition]]="Yes", Table1[[#This Row],[MonthlyIncome]]*12*1.5, 0)</f>
        <v>0</v>
      </c>
      <c r="AM276" t="str" cm="1">
        <f t="array" ref="AM276">_xlfn.IFS(
Table1[[#This Row],[MonthlyIncome]]&lt;3000,"Under 3K",
Table1[[#This Row],[MonthlyIncome]]&lt;6000,"3K-6K",
Table1[[#This Row],[MonthlyIncome]]&lt;9000,"6K-9K",
Table1[[#This Row],[MonthlyIncome]]&lt;12000,"9K-12K",
TRUE,"12K+")</f>
        <v>3K-6K</v>
      </c>
      <c r="AN276">
        <f>1</f>
        <v>1</v>
      </c>
      <c r="AO276" t="str" cm="1">
        <f t="array" ref="AO276">_xlfn.IFS(
Table1[[#This Row],[YearsAtCompany]]&lt;=2,"0-2 Years",
Table1[[#This Row],[YearsAtCompany]]&lt;=5,"3-5 Years",
Table1[[#This Row],[YearsAtCompany]]&lt;=10,"6-10 Years",
TRUE,"10+ Years")</f>
        <v>3-5 Years</v>
      </c>
    </row>
    <row r="277" spans="1:41"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tr">
        <f t="shared" si="8"/>
        <v>Research</v>
      </c>
      <c r="AK277">
        <f t="shared" si="9"/>
        <v>0</v>
      </c>
      <c r="AL277">
        <f>IF(Table1[[#This Row],[Attrition]]="Yes", Table1[[#This Row],[MonthlyIncome]]*12*1.5, 0)</f>
        <v>0</v>
      </c>
      <c r="AM277" t="str" cm="1">
        <f t="array" ref="AM277">_xlfn.IFS(
Table1[[#This Row],[MonthlyIncome]]&lt;3000,"Under 3K",
Table1[[#This Row],[MonthlyIncome]]&lt;6000,"3K-6K",
Table1[[#This Row],[MonthlyIncome]]&lt;9000,"6K-9K",
Table1[[#This Row],[MonthlyIncome]]&lt;12000,"9K-12K",
TRUE,"12K+")</f>
        <v>12K+</v>
      </c>
      <c r="AN277">
        <f>1</f>
        <v>1</v>
      </c>
      <c r="AO277" t="str" cm="1">
        <f t="array" ref="AO277">_xlfn.IFS(
Table1[[#This Row],[YearsAtCompany]]&lt;=2,"0-2 Years",
Table1[[#This Row],[YearsAtCompany]]&lt;=5,"3-5 Years",
Table1[[#This Row],[YearsAtCompany]]&lt;=10,"6-10 Years",
TRUE,"10+ Years")</f>
        <v>3-5 Years</v>
      </c>
    </row>
    <row r="278" spans="1:41"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tr">
        <f t="shared" si="8"/>
        <v>Management</v>
      </c>
      <c r="AK278">
        <f t="shared" si="9"/>
        <v>0</v>
      </c>
      <c r="AL278">
        <f>IF(Table1[[#This Row],[Attrition]]="Yes", Table1[[#This Row],[MonthlyIncome]]*12*1.5, 0)</f>
        <v>0</v>
      </c>
      <c r="AM278" t="str" cm="1">
        <f t="array" ref="AM278">_xlfn.IFS(
Table1[[#This Row],[MonthlyIncome]]&lt;3000,"Under 3K",
Table1[[#This Row],[MonthlyIncome]]&lt;6000,"3K-6K",
Table1[[#This Row],[MonthlyIncome]]&lt;9000,"6K-9K",
Table1[[#This Row],[MonthlyIncome]]&lt;12000,"9K-12K",
TRUE,"12K+")</f>
        <v>9K-12K</v>
      </c>
      <c r="AN278">
        <f>1</f>
        <v>1</v>
      </c>
      <c r="AO278" t="str" cm="1">
        <f t="array" ref="AO278">_xlfn.IFS(
Table1[[#This Row],[YearsAtCompany]]&lt;=2,"0-2 Years",
Table1[[#This Row],[YearsAtCompany]]&lt;=5,"3-5 Years",
Table1[[#This Row],[YearsAtCompany]]&lt;=10,"6-10 Years",
TRUE,"10+ Years")</f>
        <v>6-10 Years</v>
      </c>
    </row>
    <row r="279" spans="1:41"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tr">
        <f t="shared" si="8"/>
        <v>Sales</v>
      </c>
      <c r="AK279">
        <f t="shared" si="9"/>
        <v>0</v>
      </c>
      <c r="AL279">
        <f>IF(Table1[[#This Row],[Attrition]]="Yes", Table1[[#This Row],[MonthlyIncome]]*12*1.5, 0)</f>
        <v>0</v>
      </c>
      <c r="AM279" t="str" cm="1">
        <f t="array" ref="AM279">_xlfn.IFS(
Table1[[#This Row],[MonthlyIncome]]&lt;3000,"Under 3K",
Table1[[#This Row],[MonthlyIncome]]&lt;6000,"3K-6K",
Table1[[#This Row],[MonthlyIncome]]&lt;9000,"6K-9K",
Table1[[#This Row],[MonthlyIncome]]&lt;12000,"9K-12K",
TRUE,"12K+")</f>
        <v>3K-6K</v>
      </c>
      <c r="AN279">
        <f>1</f>
        <v>1</v>
      </c>
      <c r="AO279" t="str" cm="1">
        <f t="array" ref="AO279">_xlfn.IFS(
Table1[[#This Row],[YearsAtCompany]]&lt;=2,"0-2 Years",
Table1[[#This Row],[YearsAtCompany]]&lt;=5,"3-5 Years",
Table1[[#This Row],[YearsAtCompany]]&lt;=10,"6-10 Years",
TRUE,"10+ Years")</f>
        <v>6-10 Years</v>
      </c>
    </row>
    <row r="280" spans="1:41"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tr">
        <f t="shared" si="8"/>
        <v>Operations</v>
      </c>
      <c r="AK280">
        <f t="shared" si="9"/>
        <v>0</v>
      </c>
      <c r="AL280">
        <f>IF(Table1[[#This Row],[Attrition]]="Yes", Table1[[#This Row],[MonthlyIncome]]*12*1.5, 0)</f>
        <v>0</v>
      </c>
      <c r="AM280" t="str" cm="1">
        <f t="array" ref="AM280">_xlfn.IFS(
Table1[[#This Row],[MonthlyIncome]]&lt;3000,"Under 3K",
Table1[[#This Row],[MonthlyIncome]]&lt;6000,"3K-6K",
Table1[[#This Row],[MonthlyIncome]]&lt;9000,"6K-9K",
Table1[[#This Row],[MonthlyIncome]]&lt;12000,"9K-12K",
TRUE,"12K+")</f>
        <v>6K-9K</v>
      </c>
      <c r="AN280">
        <f>1</f>
        <v>1</v>
      </c>
      <c r="AO280" t="str" cm="1">
        <f t="array" ref="AO280">_xlfn.IFS(
Table1[[#This Row],[YearsAtCompany]]&lt;=2,"0-2 Years",
Table1[[#This Row],[YearsAtCompany]]&lt;=5,"3-5 Years",
Table1[[#This Row],[YearsAtCompany]]&lt;=10,"6-10 Years",
TRUE,"10+ Years")</f>
        <v>6-10 Years</v>
      </c>
    </row>
    <row r="281" spans="1:41"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tr">
        <f t="shared" si="8"/>
        <v>Research</v>
      </c>
      <c r="AK281">
        <f t="shared" si="9"/>
        <v>0</v>
      </c>
      <c r="AL281">
        <f>IF(Table1[[#This Row],[Attrition]]="Yes", Table1[[#This Row],[MonthlyIncome]]*12*1.5, 0)</f>
        <v>0</v>
      </c>
      <c r="AM281" t="str" cm="1">
        <f t="array" ref="AM281">_xlfn.IFS(
Table1[[#This Row],[MonthlyIncome]]&lt;3000,"Under 3K",
Table1[[#This Row],[MonthlyIncome]]&lt;6000,"3K-6K",
Table1[[#This Row],[MonthlyIncome]]&lt;9000,"6K-9K",
Table1[[#This Row],[MonthlyIncome]]&lt;12000,"9K-12K",
TRUE,"12K+")</f>
        <v>12K+</v>
      </c>
      <c r="AN281">
        <f>1</f>
        <v>1</v>
      </c>
      <c r="AO281" t="str" cm="1">
        <f t="array" ref="AO281">_xlfn.IFS(
Table1[[#This Row],[YearsAtCompany]]&lt;=2,"0-2 Years",
Table1[[#This Row],[YearsAtCompany]]&lt;=5,"3-5 Years",
Table1[[#This Row],[YearsAtCompany]]&lt;=10,"6-10 Years",
TRUE,"10+ Years")</f>
        <v>6-10 Years</v>
      </c>
    </row>
    <row r="282" spans="1:41"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tr">
        <f t="shared" si="8"/>
        <v>Research</v>
      </c>
      <c r="AK282">
        <f t="shared" si="9"/>
        <v>0</v>
      </c>
      <c r="AL282">
        <f>IF(Table1[[#This Row],[Attrition]]="Yes", Table1[[#This Row],[MonthlyIncome]]*12*1.5, 0)</f>
        <v>0</v>
      </c>
      <c r="AM282" t="str" cm="1">
        <f t="array" ref="AM282">_xlfn.IFS(
Table1[[#This Row],[MonthlyIncome]]&lt;3000,"Under 3K",
Table1[[#This Row],[MonthlyIncome]]&lt;6000,"3K-6K",
Table1[[#This Row],[MonthlyIncome]]&lt;9000,"6K-9K",
Table1[[#This Row],[MonthlyIncome]]&lt;12000,"9K-12K",
TRUE,"12K+")</f>
        <v>12K+</v>
      </c>
      <c r="AN282">
        <f>1</f>
        <v>1</v>
      </c>
      <c r="AO282" t="str" cm="1">
        <f t="array" ref="AO282">_xlfn.IFS(
Table1[[#This Row],[YearsAtCompany]]&lt;=2,"0-2 Years",
Table1[[#This Row],[YearsAtCompany]]&lt;=5,"3-5 Years",
Table1[[#This Row],[YearsAtCompany]]&lt;=10,"6-10 Years",
TRUE,"10+ Years")</f>
        <v>3-5 Years</v>
      </c>
    </row>
    <row r="283" spans="1:41"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tr">
        <f t="shared" si="8"/>
        <v>Sales</v>
      </c>
      <c r="AK283">
        <f t="shared" si="9"/>
        <v>0</v>
      </c>
      <c r="AL283">
        <f>IF(Table1[[#This Row],[Attrition]]="Yes", Table1[[#This Row],[MonthlyIncome]]*12*1.5, 0)</f>
        <v>0</v>
      </c>
      <c r="AM283" t="str" cm="1">
        <f t="array" ref="AM283">_xlfn.IFS(
Table1[[#This Row],[MonthlyIncome]]&lt;3000,"Under 3K",
Table1[[#This Row],[MonthlyIncome]]&lt;6000,"3K-6K",
Table1[[#This Row],[MonthlyIncome]]&lt;9000,"6K-9K",
Table1[[#This Row],[MonthlyIncome]]&lt;12000,"9K-12K",
TRUE,"12K+")</f>
        <v>3K-6K</v>
      </c>
      <c r="AN283">
        <f>1</f>
        <v>1</v>
      </c>
      <c r="AO283" t="str" cm="1">
        <f t="array" ref="AO283">_xlfn.IFS(
Table1[[#This Row],[YearsAtCompany]]&lt;=2,"0-2 Years",
Table1[[#This Row],[YearsAtCompany]]&lt;=5,"3-5 Years",
Table1[[#This Row],[YearsAtCompany]]&lt;=10,"6-10 Years",
TRUE,"10+ Years")</f>
        <v>10+ Years</v>
      </c>
    </row>
    <row r="284" spans="1:41"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tr">
        <f t="shared" si="8"/>
        <v>Sales</v>
      </c>
      <c r="AK284">
        <f t="shared" si="9"/>
        <v>0</v>
      </c>
      <c r="AL284">
        <f>IF(Table1[[#This Row],[Attrition]]="Yes", Table1[[#This Row],[MonthlyIncome]]*12*1.5, 0)</f>
        <v>0</v>
      </c>
      <c r="AM284" t="str" cm="1">
        <f t="array" ref="AM284">_xlfn.IFS(
Table1[[#This Row],[MonthlyIncome]]&lt;3000,"Under 3K",
Table1[[#This Row],[MonthlyIncome]]&lt;6000,"3K-6K",
Table1[[#This Row],[MonthlyIncome]]&lt;9000,"6K-9K",
Table1[[#This Row],[MonthlyIncome]]&lt;12000,"9K-12K",
TRUE,"12K+")</f>
        <v>3K-6K</v>
      </c>
      <c r="AN284">
        <f>1</f>
        <v>1</v>
      </c>
      <c r="AO284" t="str" cm="1">
        <f t="array" ref="AO284">_xlfn.IFS(
Table1[[#This Row],[YearsAtCompany]]&lt;=2,"0-2 Years",
Table1[[#This Row],[YearsAtCompany]]&lt;=5,"3-5 Years",
Table1[[#This Row],[YearsAtCompany]]&lt;=10,"6-10 Years",
TRUE,"10+ Years")</f>
        <v>6-10 Years</v>
      </c>
    </row>
    <row r="285" spans="1:41"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tr">
        <f t="shared" si="8"/>
        <v>Research</v>
      </c>
      <c r="AK285">
        <f t="shared" si="9"/>
        <v>0</v>
      </c>
      <c r="AL285">
        <f>IF(Table1[[#This Row],[Attrition]]="Yes", Table1[[#This Row],[MonthlyIncome]]*12*1.5, 0)</f>
        <v>0</v>
      </c>
      <c r="AM285" t="str" cm="1">
        <f t="array" ref="AM285">_xlfn.IFS(
Table1[[#This Row],[MonthlyIncome]]&lt;3000,"Under 3K",
Table1[[#This Row],[MonthlyIncome]]&lt;6000,"3K-6K",
Table1[[#This Row],[MonthlyIncome]]&lt;9000,"6K-9K",
Table1[[#This Row],[MonthlyIncome]]&lt;12000,"9K-12K",
TRUE,"12K+")</f>
        <v>3K-6K</v>
      </c>
      <c r="AN285">
        <f>1</f>
        <v>1</v>
      </c>
      <c r="AO285" t="str" cm="1">
        <f t="array" ref="AO285">_xlfn.IFS(
Table1[[#This Row],[YearsAtCompany]]&lt;=2,"0-2 Years",
Table1[[#This Row],[YearsAtCompany]]&lt;=5,"3-5 Years",
Table1[[#This Row],[YearsAtCompany]]&lt;=10,"6-10 Years",
TRUE,"10+ Years")</f>
        <v>6-10 Years</v>
      </c>
    </row>
    <row r="286" spans="1:41"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tr">
        <f t="shared" si="8"/>
        <v>Healthcare</v>
      </c>
      <c r="AK286">
        <f t="shared" si="9"/>
        <v>0</v>
      </c>
      <c r="AL286">
        <f>IF(Table1[[#This Row],[Attrition]]="Yes", Table1[[#This Row],[MonthlyIncome]]*12*1.5, 0)</f>
        <v>0</v>
      </c>
      <c r="AM286" t="str" cm="1">
        <f t="array" ref="AM286">_xlfn.IFS(
Table1[[#This Row],[MonthlyIncome]]&lt;3000,"Under 3K",
Table1[[#This Row],[MonthlyIncome]]&lt;6000,"3K-6K",
Table1[[#This Row],[MonthlyIncome]]&lt;9000,"6K-9K",
Table1[[#This Row],[MonthlyIncome]]&lt;12000,"9K-12K",
TRUE,"12K+")</f>
        <v>3K-6K</v>
      </c>
      <c r="AN286">
        <f>1</f>
        <v>1</v>
      </c>
      <c r="AO286" t="str" cm="1">
        <f t="array" ref="AO286">_xlfn.IFS(
Table1[[#This Row],[YearsAtCompany]]&lt;=2,"0-2 Years",
Table1[[#This Row],[YearsAtCompany]]&lt;=5,"3-5 Years",
Table1[[#This Row],[YearsAtCompany]]&lt;=10,"6-10 Years",
TRUE,"10+ Years")</f>
        <v>3-5 Years</v>
      </c>
    </row>
    <row r="287" spans="1:41"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tr">
        <f t="shared" si="8"/>
        <v>Research</v>
      </c>
      <c r="AK287">
        <f t="shared" si="9"/>
        <v>0</v>
      </c>
      <c r="AL287">
        <f>IF(Table1[[#This Row],[Attrition]]="Yes", Table1[[#This Row],[MonthlyIncome]]*12*1.5, 0)</f>
        <v>0</v>
      </c>
      <c r="AM287" t="str" cm="1">
        <f t="array" ref="AM287">_xlfn.IFS(
Table1[[#This Row],[MonthlyIncome]]&lt;3000,"Under 3K",
Table1[[#This Row],[MonthlyIncome]]&lt;6000,"3K-6K",
Table1[[#This Row],[MonthlyIncome]]&lt;9000,"6K-9K",
Table1[[#This Row],[MonthlyIncome]]&lt;12000,"9K-12K",
TRUE,"12K+")</f>
        <v>Under 3K</v>
      </c>
      <c r="AN287">
        <f>1</f>
        <v>1</v>
      </c>
      <c r="AO287" t="str" cm="1">
        <f t="array" ref="AO287">_xlfn.IFS(
Table1[[#This Row],[YearsAtCompany]]&lt;=2,"0-2 Years",
Table1[[#This Row],[YearsAtCompany]]&lt;=5,"3-5 Years",
Table1[[#This Row],[YearsAtCompany]]&lt;=10,"6-10 Years",
TRUE,"10+ Years")</f>
        <v>10+ Years</v>
      </c>
    </row>
    <row r="288" spans="1:41"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tr">
        <f t="shared" si="8"/>
        <v>Research</v>
      </c>
      <c r="AK288">
        <f t="shared" si="9"/>
        <v>1</v>
      </c>
      <c r="AL288">
        <f>IF(Table1[[#This Row],[Attrition]]="Yes", Table1[[#This Row],[MonthlyIncome]]*12*1.5, 0)</f>
        <v>56898</v>
      </c>
      <c r="AM288" t="str" cm="1">
        <f t="array" ref="AM288">_xlfn.IFS(
Table1[[#This Row],[MonthlyIncome]]&lt;3000,"Under 3K",
Table1[[#This Row],[MonthlyIncome]]&lt;6000,"3K-6K",
Table1[[#This Row],[MonthlyIncome]]&lt;9000,"6K-9K",
Table1[[#This Row],[MonthlyIncome]]&lt;12000,"9K-12K",
TRUE,"12K+")</f>
        <v>3K-6K</v>
      </c>
      <c r="AN288">
        <f>1</f>
        <v>1</v>
      </c>
      <c r="AO288" t="str" cm="1">
        <f t="array" ref="AO288">_xlfn.IFS(
Table1[[#This Row],[YearsAtCompany]]&lt;=2,"0-2 Years",
Table1[[#This Row],[YearsAtCompany]]&lt;=5,"3-5 Years",
Table1[[#This Row],[YearsAtCompany]]&lt;=10,"6-10 Years",
TRUE,"10+ Years")</f>
        <v>0-2 Years</v>
      </c>
    </row>
    <row r="289" spans="1:41"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tr">
        <f t="shared" si="8"/>
        <v>Healthcare</v>
      </c>
      <c r="AK289">
        <f t="shared" si="9"/>
        <v>0</v>
      </c>
      <c r="AL289">
        <f>IF(Table1[[#This Row],[Attrition]]="Yes", Table1[[#This Row],[MonthlyIncome]]*12*1.5, 0)</f>
        <v>0</v>
      </c>
      <c r="AM289" t="str" cm="1">
        <f t="array" ref="AM289">_xlfn.IFS(
Table1[[#This Row],[MonthlyIncome]]&lt;3000,"Under 3K",
Table1[[#This Row],[MonthlyIncome]]&lt;6000,"3K-6K",
Table1[[#This Row],[MonthlyIncome]]&lt;9000,"6K-9K",
Table1[[#This Row],[MonthlyIncome]]&lt;12000,"9K-12K",
TRUE,"12K+")</f>
        <v>3K-6K</v>
      </c>
      <c r="AN289">
        <f>1</f>
        <v>1</v>
      </c>
      <c r="AO289" t="str" cm="1">
        <f t="array" ref="AO289">_xlfn.IFS(
Table1[[#This Row],[YearsAtCompany]]&lt;=2,"0-2 Years",
Table1[[#This Row],[YearsAtCompany]]&lt;=5,"3-5 Years",
Table1[[#This Row],[YearsAtCompany]]&lt;=10,"6-10 Years",
TRUE,"10+ Years")</f>
        <v>0-2 Years</v>
      </c>
    </row>
    <row r="290" spans="1:41"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tr">
        <f t="shared" si="8"/>
        <v>Research</v>
      </c>
      <c r="AK290">
        <f t="shared" si="9"/>
        <v>1</v>
      </c>
      <c r="AL290">
        <f>IF(Table1[[#This Row],[Attrition]]="Yes", Table1[[#This Row],[MonthlyIncome]]*12*1.5, 0)</f>
        <v>42714</v>
      </c>
      <c r="AM290" t="str" cm="1">
        <f t="array" ref="AM290">_xlfn.IFS(
Table1[[#This Row],[MonthlyIncome]]&lt;3000,"Under 3K",
Table1[[#This Row],[MonthlyIncome]]&lt;6000,"3K-6K",
Table1[[#This Row],[MonthlyIncome]]&lt;9000,"6K-9K",
Table1[[#This Row],[MonthlyIncome]]&lt;12000,"9K-12K",
TRUE,"12K+")</f>
        <v>Under 3K</v>
      </c>
      <c r="AN290">
        <f>1</f>
        <v>1</v>
      </c>
      <c r="AO290" t="str" cm="1">
        <f t="array" ref="AO290">_xlfn.IFS(
Table1[[#This Row],[YearsAtCompany]]&lt;=2,"0-2 Years",
Table1[[#This Row],[YearsAtCompany]]&lt;=5,"3-5 Years",
Table1[[#This Row],[YearsAtCompany]]&lt;=10,"6-10 Years",
TRUE,"10+ Years")</f>
        <v>3-5 Years</v>
      </c>
    </row>
    <row r="291" spans="1:41"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tr">
        <f t="shared" si="8"/>
        <v>Research</v>
      </c>
      <c r="AK291">
        <f t="shared" si="9"/>
        <v>0</v>
      </c>
      <c r="AL291">
        <f>IF(Table1[[#This Row],[Attrition]]="Yes", Table1[[#This Row],[MonthlyIncome]]*12*1.5, 0)</f>
        <v>0</v>
      </c>
      <c r="AM291" t="str" cm="1">
        <f t="array" ref="AM291">_xlfn.IFS(
Table1[[#This Row],[MonthlyIncome]]&lt;3000,"Under 3K",
Table1[[#This Row],[MonthlyIncome]]&lt;6000,"3K-6K",
Table1[[#This Row],[MonthlyIncome]]&lt;9000,"6K-9K",
Table1[[#This Row],[MonthlyIncome]]&lt;12000,"9K-12K",
TRUE,"12K+")</f>
        <v>3K-6K</v>
      </c>
      <c r="AN291">
        <f>1</f>
        <v>1</v>
      </c>
      <c r="AO291" t="str" cm="1">
        <f t="array" ref="AO291">_xlfn.IFS(
Table1[[#This Row],[YearsAtCompany]]&lt;=2,"0-2 Years",
Table1[[#This Row],[YearsAtCompany]]&lt;=5,"3-5 Years",
Table1[[#This Row],[YearsAtCompany]]&lt;=10,"6-10 Years",
TRUE,"10+ Years")</f>
        <v>3-5 Years</v>
      </c>
    </row>
    <row r="292" spans="1:41"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tr">
        <f t="shared" si="8"/>
        <v>Research</v>
      </c>
      <c r="AK292">
        <f t="shared" si="9"/>
        <v>0</v>
      </c>
      <c r="AL292">
        <f>IF(Table1[[#This Row],[Attrition]]="Yes", Table1[[#This Row],[MonthlyIncome]]*12*1.5, 0)</f>
        <v>0</v>
      </c>
      <c r="AM292" t="str" cm="1">
        <f t="array" ref="AM292">_xlfn.IFS(
Table1[[#This Row],[MonthlyIncome]]&lt;3000,"Under 3K",
Table1[[#This Row],[MonthlyIncome]]&lt;6000,"3K-6K",
Table1[[#This Row],[MonthlyIncome]]&lt;9000,"6K-9K",
Table1[[#This Row],[MonthlyIncome]]&lt;12000,"9K-12K",
TRUE,"12K+")</f>
        <v>12K+</v>
      </c>
      <c r="AN292">
        <f>1</f>
        <v>1</v>
      </c>
      <c r="AO292" t="str" cm="1">
        <f t="array" ref="AO292">_xlfn.IFS(
Table1[[#This Row],[YearsAtCompany]]&lt;=2,"0-2 Years",
Table1[[#This Row],[YearsAtCompany]]&lt;=5,"3-5 Years",
Table1[[#This Row],[YearsAtCompany]]&lt;=10,"6-10 Years",
TRUE,"10+ Years")</f>
        <v>3-5 Years</v>
      </c>
    </row>
    <row r="293" spans="1:41"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tr">
        <f t="shared" si="8"/>
        <v>Research</v>
      </c>
      <c r="AK293">
        <f t="shared" si="9"/>
        <v>0</v>
      </c>
      <c r="AL293">
        <f>IF(Table1[[#This Row],[Attrition]]="Yes", Table1[[#This Row],[MonthlyIncome]]*12*1.5, 0)</f>
        <v>0</v>
      </c>
      <c r="AM293" t="str" cm="1">
        <f t="array" ref="AM293">_xlfn.IFS(
Table1[[#This Row],[MonthlyIncome]]&lt;3000,"Under 3K",
Table1[[#This Row],[MonthlyIncome]]&lt;6000,"3K-6K",
Table1[[#This Row],[MonthlyIncome]]&lt;9000,"6K-9K",
Table1[[#This Row],[MonthlyIncome]]&lt;12000,"9K-12K",
TRUE,"12K+")</f>
        <v>3K-6K</v>
      </c>
      <c r="AN293">
        <f>1</f>
        <v>1</v>
      </c>
      <c r="AO293" t="str" cm="1">
        <f t="array" ref="AO293">_xlfn.IFS(
Table1[[#This Row],[YearsAtCompany]]&lt;=2,"0-2 Years",
Table1[[#This Row],[YearsAtCompany]]&lt;=5,"3-5 Years",
Table1[[#This Row],[YearsAtCompany]]&lt;=10,"6-10 Years",
TRUE,"10+ Years")</f>
        <v>6-10 Years</v>
      </c>
    </row>
    <row r="294" spans="1:41"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tr">
        <f t="shared" si="8"/>
        <v>Sales</v>
      </c>
      <c r="AK294">
        <f t="shared" si="9"/>
        <v>0</v>
      </c>
      <c r="AL294">
        <f>IF(Table1[[#This Row],[Attrition]]="Yes", Table1[[#This Row],[MonthlyIncome]]*12*1.5, 0)</f>
        <v>0</v>
      </c>
      <c r="AM294" t="str" cm="1">
        <f t="array" ref="AM294">_xlfn.IFS(
Table1[[#This Row],[MonthlyIncome]]&lt;3000,"Under 3K",
Table1[[#This Row],[MonthlyIncome]]&lt;6000,"3K-6K",
Table1[[#This Row],[MonthlyIncome]]&lt;9000,"6K-9K",
Table1[[#This Row],[MonthlyIncome]]&lt;12000,"9K-12K",
TRUE,"12K+")</f>
        <v>Under 3K</v>
      </c>
      <c r="AN294">
        <f>1</f>
        <v>1</v>
      </c>
      <c r="AO294" t="str" cm="1">
        <f t="array" ref="AO294">_xlfn.IFS(
Table1[[#This Row],[YearsAtCompany]]&lt;=2,"0-2 Years",
Table1[[#This Row],[YearsAtCompany]]&lt;=5,"3-5 Years",
Table1[[#This Row],[YearsAtCompany]]&lt;=10,"6-10 Years",
TRUE,"10+ Years")</f>
        <v>0-2 Years</v>
      </c>
    </row>
    <row r="295" spans="1:41"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tr">
        <f t="shared" si="8"/>
        <v>Sales</v>
      </c>
      <c r="AK295">
        <f t="shared" si="9"/>
        <v>1</v>
      </c>
      <c r="AL295">
        <f>IF(Table1[[#This Row],[Attrition]]="Yes", Table1[[#This Row],[MonthlyIncome]]*12*1.5, 0)</f>
        <v>104904</v>
      </c>
      <c r="AM295" t="str" cm="1">
        <f t="array" ref="AM295">_xlfn.IFS(
Table1[[#This Row],[MonthlyIncome]]&lt;3000,"Under 3K",
Table1[[#This Row],[MonthlyIncome]]&lt;6000,"3K-6K",
Table1[[#This Row],[MonthlyIncome]]&lt;9000,"6K-9K",
Table1[[#This Row],[MonthlyIncome]]&lt;12000,"9K-12K",
TRUE,"12K+")</f>
        <v>3K-6K</v>
      </c>
      <c r="AN295">
        <f>1</f>
        <v>1</v>
      </c>
      <c r="AO295" t="str" cm="1">
        <f t="array" ref="AO295">_xlfn.IFS(
Table1[[#This Row],[YearsAtCompany]]&lt;=2,"0-2 Years",
Table1[[#This Row],[YearsAtCompany]]&lt;=5,"3-5 Years",
Table1[[#This Row],[YearsAtCompany]]&lt;=10,"6-10 Years",
TRUE,"10+ Years")</f>
        <v>6-10 Years</v>
      </c>
    </row>
    <row r="296" spans="1:41"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tr">
        <f t="shared" si="8"/>
        <v>Research</v>
      </c>
      <c r="AK296">
        <f t="shared" si="9"/>
        <v>0</v>
      </c>
      <c r="AL296">
        <f>IF(Table1[[#This Row],[Attrition]]="Yes", Table1[[#This Row],[MonthlyIncome]]*12*1.5, 0)</f>
        <v>0</v>
      </c>
      <c r="AM296" t="str" cm="1">
        <f t="array" ref="AM296">_xlfn.IFS(
Table1[[#This Row],[MonthlyIncome]]&lt;3000,"Under 3K",
Table1[[#This Row],[MonthlyIncome]]&lt;6000,"3K-6K",
Table1[[#This Row],[MonthlyIncome]]&lt;9000,"6K-9K",
Table1[[#This Row],[MonthlyIncome]]&lt;12000,"9K-12K",
TRUE,"12K+")</f>
        <v>Under 3K</v>
      </c>
      <c r="AN296">
        <f>1</f>
        <v>1</v>
      </c>
      <c r="AO296" t="str" cm="1">
        <f t="array" ref="AO296">_xlfn.IFS(
Table1[[#This Row],[YearsAtCompany]]&lt;=2,"0-2 Years",
Table1[[#This Row],[YearsAtCompany]]&lt;=5,"3-5 Years",
Table1[[#This Row],[YearsAtCompany]]&lt;=10,"6-10 Years",
TRUE,"10+ Years")</f>
        <v>3-5 Years</v>
      </c>
    </row>
    <row r="297" spans="1:41"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tr">
        <f t="shared" si="8"/>
        <v>Sales</v>
      </c>
      <c r="AK297">
        <f t="shared" si="9"/>
        <v>0</v>
      </c>
      <c r="AL297">
        <f>IF(Table1[[#This Row],[Attrition]]="Yes", Table1[[#This Row],[MonthlyIncome]]*12*1.5, 0)</f>
        <v>0</v>
      </c>
      <c r="AM297" t="str" cm="1">
        <f t="array" ref="AM297">_xlfn.IFS(
Table1[[#This Row],[MonthlyIncome]]&lt;3000,"Under 3K",
Table1[[#This Row],[MonthlyIncome]]&lt;6000,"3K-6K",
Table1[[#This Row],[MonthlyIncome]]&lt;9000,"6K-9K",
Table1[[#This Row],[MonthlyIncome]]&lt;12000,"9K-12K",
TRUE,"12K+")</f>
        <v>12K+</v>
      </c>
      <c r="AN297">
        <f>1</f>
        <v>1</v>
      </c>
      <c r="AO297" t="str" cm="1">
        <f t="array" ref="AO297">_xlfn.IFS(
Table1[[#This Row],[YearsAtCompany]]&lt;=2,"0-2 Years",
Table1[[#This Row],[YearsAtCompany]]&lt;=5,"3-5 Years",
Table1[[#This Row],[YearsAtCompany]]&lt;=10,"6-10 Years",
TRUE,"10+ Years")</f>
        <v>10+ Years</v>
      </c>
    </row>
    <row r="298" spans="1:41"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tr">
        <f t="shared" si="8"/>
        <v>Research</v>
      </c>
      <c r="AK298">
        <f t="shared" si="9"/>
        <v>1</v>
      </c>
      <c r="AL298">
        <f>IF(Table1[[#This Row],[Attrition]]="Yes", Table1[[#This Row],[MonthlyIncome]]*12*1.5, 0)</f>
        <v>25560</v>
      </c>
      <c r="AM298" t="str" cm="1">
        <f t="array" ref="AM298">_xlfn.IFS(
Table1[[#This Row],[MonthlyIncome]]&lt;3000,"Under 3K",
Table1[[#This Row],[MonthlyIncome]]&lt;6000,"3K-6K",
Table1[[#This Row],[MonthlyIncome]]&lt;9000,"6K-9K",
Table1[[#This Row],[MonthlyIncome]]&lt;12000,"9K-12K",
TRUE,"12K+")</f>
        <v>Under 3K</v>
      </c>
      <c r="AN298">
        <f>1</f>
        <v>1</v>
      </c>
      <c r="AO298" t="str" cm="1">
        <f t="array" ref="AO298">_xlfn.IFS(
Table1[[#This Row],[YearsAtCompany]]&lt;=2,"0-2 Years",
Table1[[#This Row],[YearsAtCompany]]&lt;=5,"3-5 Years",
Table1[[#This Row],[YearsAtCompany]]&lt;=10,"6-10 Years",
TRUE,"10+ Years")</f>
        <v>0-2 Years</v>
      </c>
    </row>
    <row r="299" spans="1:41"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tr">
        <f t="shared" si="8"/>
        <v>Sales</v>
      </c>
      <c r="AK299">
        <f t="shared" si="9"/>
        <v>0</v>
      </c>
      <c r="AL299">
        <f>IF(Table1[[#This Row],[Attrition]]="Yes", Table1[[#This Row],[MonthlyIncome]]*12*1.5, 0)</f>
        <v>0</v>
      </c>
      <c r="AM299" t="str" cm="1">
        <f t="array" ref="AM299">_xlfn.IFS(
Table1[[#This Row],[MonthlyIncome]]&lt;3000,"Under 3K",
Table1[[#This Row],[MonthlyIncome]]&lt;6000,"3K-6K",
Table1[[#This Row],[MonthlyIncome]]&lt;9000,"6K-9K",
Table1[[#This Row],[MonthlyIncome]]&lt;12000,"9K-12K",
TRUE,"12K+")</f>
        <v>6K-9K</v>
      </c>
      <c r="AN299">
        <f>1</f>
        <v>1</v>
      </c>
      <c r="AO299" t="str" cm="1">
        <f t="array" ref="AO299">_xlfn.IFS(
Table1[[#This Row],[YearsAtCompany]]&lt;=2,"0-2 Years",
Table1[[#This Row],[YearsAtCompany]]&lt;=5,"3-5 Years",
Table1[[#This Row],[YearsAtCompany]]&lt;=10,"6-10 Years",
TRUE,"10+ Years")</f>
        <v>10+ Years</v>
      </c>
    </row>
    <row r="300" spans="1:41"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tr">
        <f t="shared" si="8"/>
        <v>Research</v>
      </c>
      <c r="AK300">
        <f t="shared" si="9"/>
        <v>0</v>
      </c>
      <c r="AL300">
        <f>IF(Table1[[#This Row],[Attrition]]="Yes", Table1[[#This Row],[MonthlyIncome]]*12*1.5, 0)</f>
        <v>0</v>
      </c>
      <c r="AM300" t="str" cm="1">
        <f t="array" ref="AM300">_xlfn.IFS(
Table1[[#This Row],[MonthlyIncome]]&lt;3000,"Under 3K",
Table1[[#This Row],[MonthlyIncome]]&lt;6000,"3K-6K",
Table1[[#This Row],[MonthlyIncome]]&lt;9000,"6K-9K",
Table1[[#This Row],[MonthlyIncome]]&lt;12000,"9K-12K",
TRUE,"12K+")</f>
        <v>3K-6K</v>
      </c>
      <c r="AN300">
        <f>1</f>
        <v>1</v>
      </c>
      <c r="AO300" t="str" cm="1">
        <f t="array" ref="AO300">_xlfn.IFS(
Table1[[#This Row],[YearsAtCompany]]&lt;=2,"0-2 Years",
Table1[[#This Row],[YearsAtCompany]]&lt;=5,"3-5 Years",
Table1[[#This Row],[YearsAtCompany]]&lt;=10,"6-10 Years",
TRUE,"10+ Years")</f>
        <v>0-2 Years</v>
      </c>
    </row>
    <row r="301" spans="1:41"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tr">
        <f t="shared" si="8"/>
        <v>Operations</v>
      </c>
      <c r="AK301">
        <f t="shared" si="9"/>
        <v>0</v>
      </c>
      <c r="AL301">
        <f>IF(Table1[[#This Row],[Attrition]]="Yes", Table1[[#This Row],[MonthlyIncome]]*12*1.5, 0)</f>
        <v>0</v>
      </c>
      <c r="AM301" t="str" cm="1">
        <f t="array" ref="AM301">_xlfn.IFS(
Table1[[#This Row],[MonthlyIncome]]&lt;3000,"Under 3K",
Table1[[#This Row],[MonthlyIncome]]&lt;6000,"3K-6K",
Table1[[#This Row],[MonthlyIncome]]&lt;9000,"6K-9K",
Table1[[#This Row],[MonthlyIncome]]&lt;12000,"9K-12K",
TRUE,"12K+")</f>
        <v>3K-6K</v>
      </c>
      <c r="AN301">
        <f>1</f>
        <v>1</v>
      </c>
      <c r="AO301" t="str" cm="1">
        <f t="array" ref="AO301">_xlfn.IFS(
Table1[[#This Row],[YearsAtCompany]]&lt;=2,"0-2 Years",
Table1[[#This Row],[YearsAtCompany]]&lt;=5,"3-5 Years",
Table1[[#This Row],[YearsAtCompany]]&lt;=10,"6-10 Years",
TRUE,"10+ Years")</f>
        <v>3-5 Years</v>
      </c>
    </row>
    <row r="302" spans="1:41"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tr">
        <f t="shared" si="8"/>
        <v>Management</v>
      </c>
      <c r="AK302">
        <f t="shared" si="9"/>
        <v>0</v>
      </c>
      <c r="AL302">
        <f>IF(Table1[[#This Row],[Attrition]]="Yes", Table1[[#This Row],[MonthlyIncome]]*12*1.5, 0)</f>
        <v>0</v>
      </c>
      <c r="AM302" t="str" cm="1">
        <f t="array" ref="AM302">_xlfn.IFS(
Table1[[#This Row],[MonthlyIncome]]&lt;3000,"Under 3K",
Table1[[#This Row],[MonthlyIncome]]&lt;6000,"3K-6K",
Table1[[#This Row],[MonthlyIncome]]&lt;9000,"6K-9K",
Table1[[#This Row],[MonthlyIncome]]&lt;12000,"9K-12K",
TRUE,"12K+")</f>
        <v>12K+</v>
      </c>
      <c r="AN302">
        <f>1</f>
        <v>1</v>
      </c>
      <c r="AO302" t="str" cm="1">
        <f t="array" ref="AO302">_xlfn.IFS(
Table1[[#This Row],[YearsAtCompany]]&lt;=2,"0-2 Years",
Table1[[#This Row],[YearsAtCompany]]&lt;=5,"3-5 Years",
Table1[[#This Row],[YearsAtCompany]]&lt;=10,"6-10 Years",
TRUE,"10+ Years")</f>
        <v>10+ Years</v>
      </c>
    </row>
    <row r="303" spans="1:41"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tr">
        <f t="shared" si="8"/>
        <v>Sales</v>
      </c>
      <c r="AK303">
        <f t="shared" si="9"/>
        <v>0</v>
      </c>
      <c r="AL303">
        <f>IF(Table1[[#This Row],[Attrition]]="Yes", Table1[[#This Row],[MonthlyIncome]]*12*1.5, 0)</f>
        <v>0</v>
      </c>
      <c r="AM303" t="str" cm="1">
        <f t="array" ref="AM303">_xlfn.IFS(
Table1[[#This Row],[MonthlyIncome]]&lt;3000,"Under 3K",
Table1[[#This Row],[MonthlyIncome]]&lt;6000,"3K-6K",
Table1[[#This Row],[MonthlyIncome]]&lt;9000,"6K-9K",
Table1[[#This Row],[MonthlyIncome]]&lt;12000,"9K-12K",
TRUE,"12K+")</f>
        <v>Under 3K</v>
      </c>
      <c r="AN303">
        <f>1</f>
        <v>1</v>
      </c>
      <c r="AO303" t="str" cm="1">
        <f t="array" ref="AO303">_xlfn.IFS(
Table1[[#This Row],[YearsAtCompany]]&lt;=2,"0-2 Years",
Table1[[#This Row],[YearsAtCompany]]&lt;=5,"3-5 Years",
Table1[[#This Row],[YearsAtCompany]]&lt;=10,"6-10 Years",
TRUE,"10+ Years")</f>
        <v>0-2 Years</v>
      </c>
    </row>
    <row r="304" spans="1:41"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tr">
        <f t="shared" si="8"/>
        <v>Healthcare</v>
      </c>
      <c r="AK304">
        <f t="shared" si="9"/>
        <v>0</v>
      </c>
      <c r="AL304">
        <f>IF(Table1[[#This Row],[Attrition]]="Yes", Table1[[#This Row],[MonthlyIncome]]*12*1.5, 0)</f>
        <v>0</v>
      </c>
      <c r="AM304" t="str" cm="1">
        <f t="array" ref="AM304">_xlfn.IFS(
Table1[[#This Row],[MonthlyIncome]]&lt;3000,"Under 3K",
Table1[[#This Row],[MonthlyIncome]]&lt;6000,"3K-6K",
Table1[[#This Row],[MonthlyIncome]]&lt;9000,"6K-9K",
Table1[[#This Row],[MonthlyIncome]]&lt;12000,"9K-12K",
TRUE,"12K+")</f>
        <v>3K-6K</v>
      </c>
      <c r="AN304">
        <f>1</f>
        <v>1</v>
      </c>
      <c r="AO304" t="str" cm="1">
        <f t="array" ref="AO304">_xlfn.IFS(
Table1[[#This Row],[YearsAtCompany]]&lt;=2,"0-2 Years",
Table1[[#This Row],[YearsAtCompany]]&lt;=5,"3-5 Years",
Table1[[#This Row],[YearsAtCompany]]&lt;=10,"6-10 Years",
TRUE,"10+ Years")</f>
        <v>6-10 Years</v>
      </c>
    </row>
    <row r="305" spans="1:41"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tr">
        <f t="shared" si="8"/>
        <v>Sales</v>
      </c>
      <c r="AK305">
        <f t="shared" si="9"/>
        <v>0</v>
      </c>
      <c r="AL305">
        <f>IF(Table1[[#This Row],[Attrition]]="Yes", Table1[[#This Row],[MonthlyIncome]]*12*1.5, 0)</f>
        <v>0</v>
      </c>
      <c r="AM305" t="str" cm="1">
        <f t="array" ref="AM305">_xlfn.IFS(
Table1[[#This Row],[MonthlyIncome]]&lt;3000,"Under 3K",
Table1[[#This Row],[MonthlyIncome]]&lt;6000,"3K-6K",
Table1[[#This Row],[MonthlyIncome]]&lt;9000,"6K-9K",
Table1[[#This Row],[MonthlyIncome]]&lt;12000,"9K-12K",
TRUE,"12K+")</f>
        <v>6K-9K</v>
      </c>
      <c r="AN305">
        <f>1</f>
        <v>1</v>
      </c>
      <c r="AO305" t="str" cm="1">
        <f t="array" ref="AO305">_xlfn.IFS(
Table1[[#This Row],[YearsAtCompany]]&lt;=2,"0-2 Years",
Table1[[#This Row],[YearsAtCompany]]&lt;=5,"3-5 Years",
Table1[[#This Row],[YearsAtCompany]]&lt;=10,"6-10 Years",
TRUE,"10+ Years")</f>
        <v>6-10 Years</v>
      </c>
    </row>
    <row r="306" spans="1:41"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tr">
        <f t="shared" si="8"/>
        <v>Healthcare</v>
      </c>
      <c r="AK306">
        <f t="shared" si="9"/>
        <v>0</v>
      </c>
      <c r="AL306">
        <f>IF(Table1[[#This Row],[Attrition]]="Yes", Table1[[#This Row],[MonthlyIncome]]*12*1.5, 0)</f>
        <v>0</v>
      </c>
      <c r="AM306" t="str" cm="1">
        <f t="array" ref="AM306">_xlfn.IFS(
Table1[[#This Row],[MonthlyIncome]]&lt;3000,"Under 3K",
Table1[[#This Row],[MonthlyIncome]]&lt;6000,"3K-6K",
Table1[[#This Row],[MonthlyIncome]]&lt;9000,"6K-9K",
Table1[[#This Row],[MonthlyIncome]]&lt;12000,"9K-12K",
TRUE,"12K+")</f>
        <v>9K-12K</v>
      </c>
      <c r="AN306">
        <f>1</f>
        <v>1</v>
      </c>
      <c r="AO306" t="str" cm="1">
        <f t="array" ref="AO306">_xlfn.IFS(
Table1[[#This Row],[YearsAtCompany]]&lt;=2,"0-2 Years",
Table1[[#This Row],[YearsAtCompany]]&lt;=5,"3-5 Years",
Table1[[#This Row],[YearsAtCompany]]&lt;=10,"6-10 Years",
TRUE,"10+ Years")</f>
        <v>10+ Years</v>
      </c>
    </row>
    <row r="307" spans="1:41"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tr">
        <f t="shared" si="8"/>
        <v>Research</v>
      </c>
      <c r="AK307">
        <f t="shared" si="9"/>
        <v>0</v>
      </c>
      <c r="AL307">
        <f>IF(Table1[[#This Row],[Attrition]]="Yes", Table1[[#This Row],[MonthlyIncome]]*12*1.5, 0)</f>
        <v>0</v>
      </c>
      <c r="AM307" t="str" cm="1">
        <f t="array" ref="AM307">_xlfn.IFS(
Table1[[#This Row],[MonthlyIncome]]&lt;3000,"Under 3K",
Table1[[#This Row],[MonthlyIncome]]&lt;6000,"3K-6K",
Table1[[#This Row],[MonthlyIncome]]&lt;9000,"6K-9K",
Table1[[#This Row],[MonthlyIncome]]&lt;12000,"9K-12K",
TRUE,"12K+")</f>
        <v>3K-6K</v>
      </c>
      <c r="AN307">
        <f>1</f>
        <v>1</v>
      </c>
      <c r="AO307" t="str" cm="1">
        <f t="array" ref="AO307">_xlfn.IFS(
Table1[[#This Row],[YearsAtCompany]]&lt;=2,"0-2 Years",
Table1[[#This Row],[YearsAtCompany]]&lt;=5,"3-5 Years",
Table1[[#This Row],[YearsAtCompany]]&lt;=10,"6-10 Years",
TRUE,"10+ Years")</f>
        <v>6-10 Years</v>
      </c>
    </row>
    <row r="308" spans="1:41"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tr">
        <f t="shared" si="8"/>
        <v>Sales</v>
      </c>
      <c r="AK308">
        <f t="shared" si="9"/>
        <v>0</v>
      </c>
      <c r="AL308">
        <f>IF(Table1[[#This Row],[Attrition]]="Yes", Table1[[#This Row],[MonthlyIncome]]*12*1.5, 0)</f>
        <v>0</v>
      </c>
      <c r="AM308" t="str" cm="1">
        <f t="array" ref="AM308">_xlfn.IFS(
Table1[[#This Row],[MonthlyIncome]]&lt;3000,"Under 3K",
Table1[[#This Row],[MonthlyIncome]]&lt;6000,"3K-6K",
Table1[[#This Row],[MonthlyIncome]]&lt;9000,"6K-9K",
Table1[[#This Row],[MonthlyIncome]]&lt;12000,"9K-12K",
TRUE,"12K+")</f>
        <v>3K-6K</v>
      </c>
      <c r="AN308">
        <f>1</f>
        <v>1</v>
      </c>
      <c r="AO308" t="str" cm="1">
        <f t="array" ref="AO308">_xlfn.IFS(
Table1[[#This Row],[YearsAtCompany]]&lt;=2,"0-2 Years",
Table1[[#This Row],[YearsAtCompany]]&lt;=5,"3-5 Years",
Table1[[#This Row],[YearsAtCompany]]&lt;=10,"6-10 Years",
TRUE,"10+ Years")</f>
        <v>10+ Years</v>
      </c>
    </row>
    <row r="309" spans="1:41"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tr">
        <f t="shared" si="8"/>
        <v>Research</v>
      </c>
      <c r="AK309">
        <f t="shared" si="9"/>
        <v>0</v>
      </c>
      <c r="AL309">
        <f>IF(Table1[[#This Row],[Attrition]]="Yes", Table1[[#This Row],[MonthlyIncome]]*12*1.5, 0)</f>
        <v>0</v>
      </c>
      <c r="AM309" t="str" cm="1">
        <f t="array" ref="AM309">_xlfn.IFS(
Table1[[#This Row],[MonthlyIncome]]&lt;3000,"Under 3K",
Table1[[#This Row],[MonthlyIncome]]&lt;6000,"3K-6K",
Table1[[#This Row],[MonthlyIncome]]&lt;9000,"6K-9K",
Table1[[#This Row],[MonthlyIncome]]&lt;12000,"9K-12K",
TRUE,"12K+")</f>
        <v>12K+</v>
      </c>
      <c r="AN309">
        <f>1</f>
        <v>1</v>
      </c>
      <c r="AO309" t="str" cm="1">
        <f t="array" ref="AO309">_xlfn.IFS(
Table1[[#This Row],[YearsAtCompany]]&lt;=2,"0-2 Years",
Table1[[#This Row],[YearsAtCompany]]&lt;=5,"3-5 Years",
Table1[[#This Row],[YearsAtCompany]]&lt;=10,"6-10 Years",
TRUE,"10+ Years")</f>
        <v>6-10 Years</v>
      </c>
    </row>
    <row r="310" spans="1:41"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tr">
        <f t="shared" si="8"/>
        <v>Healthcare</v>
      </c>
      <c r="AK310">
        <f t="shared" si="9"/>
        <v>0</v>
      </c>
      <c r="AL310">
        <f>IF(Table1[[#This Row],[Attrition]]="Yes", Table1[[#This Row],[MonthlyIncome]]*12*1.5, 0)</f>
        <v>0</v>
      </c>
      <c r="AM310" t="str" cm="1">
        <f t="array" ref="AM310">_xlfn.IFS(
Table1[[#This Row],[MonthlyIncome]]&lt;3000,"Under 3K",
Table1[[#This Row],[MonthlyIncome]]&lt;6000,"3K-6K",
Table1[[#This Row],[MonthlyIncome]]&lt;9000,"6K-9K",
Table1[[#This Row],[MonthlyIncome]]&lt;12000,"9K-12K",
TRUE,"12K+")</f>
        <v>3K-6K</v>
      </c>
      <c r="AN310">
        <f>1</f>
        <v>1</v>
      </c>
      <c r="AO310" t="str" cm="1">
        <f t="array" ref="AO310">_xlfn.IFS(
Table1[[#This Row],[YearsAtCompany]]&lt;=2,"0-2 Years",
Table1[[#This Row],[YearsAtCompany]]&lt;=5,"3-5 Years",
Table1[[#This Row],[YearsAtCompany]]&lt;=10,"6-10 Years",
TRUE,"10+ Years")</f>
        <v>3-5 Years</v>
      </c>
    </row>
    <row r="311" spans="1:41"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tr">
        <f t="shared" si="8"/>
        <v>Research</v>
      </c>
      <c r="AK311">
        <f t="shared" si="9"/>
        <v>0</v>
      </c>
      <c r="AL311">
        <f>IF(Table1[[#This Row],[Attrition]]="Yes", Table1[[#This Row],[MonthlyIncome]]*12*1.5, 0)</f>
        <v>0</v>
      </c>
      <c r="AM311" t="str" cm="1">
        <f t="array" ref="AM311">_xlfn.IFS(
Table1[[#This Row],[MonthlyIncome]]&lt;3000,"Under 3K",
Table1[[#This Row],[MonthlyIncome]]&lt;6000,"3K-6K",
Table1[[#This Row],[MonthlyIncome]]&lt;9000,"6K-9K",
Table1[[#This Row],[MonthlyIncome]]&lt;12000,"9K-12K",
TRUE,"12K+")</f>
        <v>3K-6K</v>
      </c>
      <c r="AN311">
        <f>1</f>
        <v>1</v>
      </c>
      <c r="AO311" t="str" cm="1">
        <f t="array" ref="AO311">_xlfn.IFS(
Table1[[#This Row],[YearsAtCompany]]&lt;=2,"0-2 Years",
Table1[[#This Row],[YearsAtCompany]]&lt;=5,"3-5 Years",
Table1[[#This Row],[YearsAtCompany]]&lt;=10,"6-10 Years",
TRUE,"10+ Years")</f>
        <v>3-5 Years</v>
      </c>
    </row>
    <row r="312" spans="1:41"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tr">
        <f t="shared" si="8"/>
        <v>Human Resources</v>
      </c>
      <c r="AK312">
        <f t="shared" si="9"/>
        <v>0</v>
      </c>
      <c r="AL312">
        <f>IF(Table1[[#This Row],[Attrition]]="Yes", Table1[[#This Row],[MonthlyIncome]]*12*1.5, 0)</f>
        <v>0</v>
      </c>
      <c r="AM312" t="str" cm="1">
        <f t="array" ref="AM312">_xlfn.IFS(
Table1[[#This Row],[MonthlyIncome]]&lt;3000,"Under 3K",
Table1[[#This Row],[MonthlyIncome]]&lt;6000,"3K-6K",
Table1[[#This Row],[MonthlyIncome]]&lt;9000,"6K-9K",
Table1[[#This Row],[MonthlyIncome]]&lt;12000,"9K-12K",
TRUE,"12K+")</f>
        <v>6K-9K</v>
      </c>
      <c r="AN312">
        <f>1</f>
        <v>1</v>
      </c>
      <c r="AO312" t="str" cm="1">
        <f t="array" ref="AO312">_xlfn.IFS(
Table1[[#This Row],[YearsAtCompany]]&lt;=2,"0-2 Years",
Table1[[#This Row],[YearsAtCompany]]&lt;=5,"3-5 Years",
Table1[[#This Row],[YearsAtCompany]]&lt;=10,"6-10 Years",
TRUE,"10+ Years")</f>
        <v>0-2 Years</v>
      </c>
    </row>
    <row r="313" spans="1:41"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tr">
        <f t="shared" si="8"/>
        <v>Research</v>
      </c>
      <c r="AK313">
        <f t="shared" si="9"/>
        <v>0</v>
      </c>
      <c r="AL313">
        <f>IF(Table1[[#This Row],[Attrition]]="Yes", Table1[[#This Row],[MonthlyIncome]]*12*1.5, 0)</f>
        <v>0</v>
      </c>
      <c r="AM313" t="str" cm="1">
        <f t="array" ref="AM313">_xlfn.IFS(
Table1[[#This Row],[MonthlyIncome]]&lt;3000,"Under 3K",
Table1[[#This Row],[MonthlyIncome]]&lt;6000,"3K-6K",
Table1[[#This Row],[MonthlyIncome]]&lt;9000,"6K-9K",
Table1[[#This Row],[MonthlyIncome]]&lt;12000,"9K-12K",
TRUE,"12K+")</f>
        <v>3K-6K</v>
      </c>
      <c r="AN313">
        <f>1</f>
        <v>1</v>
      </c>
      <c r="AO313" t="str" cm="1">
        <f t="array" ref="AO313">_xlfn.IFS(
Table1[[#This Row],[YearsAtCompany]]&lt;=2,"0-2 Years",
Table1[[#This Row],[YearsAtCompany]]&lt;=5,"3-5 Years",
Table1[[#This Row],[YearsAtCompany]]&lt;=10,"6-10 Years",
TRUE,"10+ Years")</f>
        <v>10+ Years</v>
      </c>
    </row>
    <row r="314" spans="1:41"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tr">
        <f t="shared" si="8"/>
        <v>Research</v>
      </c>
      <c r="AK314">
        <f t="shared" si="9"/>
        <v>0</v>
      </c>
      <c r="AL314">
        <f>IF(Table1[[#This Row],[Attrition]]="Yes", Table1[[#This Row],[MonthlyIncome]]*12*1.5, 0)</f>
        <v>0</v>
      </c>
      <c r="AM314" t="str" cm="1">
        <f t="array" ref="AM314">_xlfn.IFS(
Table1[[#This Row],[MonthlyIncome]]&lt;3000,"Under 3K",
Table1[[#This Row],[MonthlyIncome]]&lt;6000,"3K-6K",
Table1[[#This Row],[MonthlyIncome]]&lt;9000,"6K-9K",
Table1[[#This Row],[MonthlyIncome]]&lt;12000,"9K-12K",
TRUE,"12K+")</f>
        <v>Under 3K</v>
      </c>
      <c r="AN314">
        <f>1</f>
        <v>1</v>
      </c>
      <c r="AO314" t="str" cm="1">
        <f t="array" ref="AO314">_xlfn.IFS(
Table1[[#This Row],[YearsAtCompany]]&lt;=2,"0-2 Years",
Table1[[#This Row],[YearsAtCompany]]&lt;=5,"3-5 Years",
Table1[[#This Row],[YearsAtCompany]]&lt;=10,"6-10 Years",
TRUE,"10+ Years")</f>
        <v>0-2 Years</v>
      </c>
    </row>
    <row r="315" spans="1:41"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tr">
        <f t="shared" si="8"/>
        <v>Management</v>
      </c>
      <c r="AK315">
        <f t="shared" si="9"/>
        <v>0</v>
      </c>
      <c r="AL315">
        <f>IF(Table1[[#This Row],[Attrition]]="Yes", Table1[[#This Row],[MonthlyIncome]]*12*1.5, 0)</f>
        <v>0</v>
      </c>
      <c r="AM315" t="str" cm="1">
        <f t="array" ref="AM315">_xlfn.IFS(
Table1[[#This Row],[MonthlyIncome]]&lt;3000,"Under 3K",
Table1[[#This Row],[MonthlyIncome]]&lt;6000,"3K-6K",
Table1[[#This Row],[MonthlyIncome]]&lt;9000,"6K-9K",
Table1[[#This Row],[MonthlyIncome]]&lt;12000,"9K-12K",
TRUE,"12K+")</f>
        <v>9K-12K</v>
      </c>
      <c r="AN315">
        <f>1</f>
        <v>1</v>
      </c>
      <c r="AO315" t="str" cm="1">
        <f t="array" ref="AO315">_xlfn.IFS(
Table1[[#This Row],[YearsAtCompany]]&lt;=2,"0-2 Years",
Table1[[#This Row],[YearsAtCompany]]&lt;=5,"3-5 Years",
Table1[[#This Row],[YearsAtCompany]]&lt;=10,"6-10 Years",
TRUE,"10+ Years")</f>
        <v>6-10 Years</v>
      </c>
    </row>
    <row r="316" spans="1:41"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tr">
        <f t="shared" si="8"/>
        <v>Management</v>
      </c>
      <c r="AK316">
        <f t="shared" si="9"/>
        <v>0</v>
      </c>
      <c r="AL316">
        <f>IF(Table1[[#This Row],[Attrition]]="Yes", Table1[[#This Row],[MonthlyIncome]]*12*1.5, 0)</f>
        <v>0</v>
      </c>
      <c r="AM316" t="str" cm="1">
        <f t="array" ref="AM316">_xlfn.IFS(
Table1[[#This Row],[MonthlyIncome]]&lt;3000,"Under 3K",
Table1[[#This Row],[MonthlyIncome]]&lt;6000,"3K-6K",
Table1[[#This Row],[MonthlyIncome]]&lt;9000,"6K-9K",
Table1[[#This Row],[MonthlyIncome]]&lt;12000,"9K-12K",
TRUE,"12K+")</f>
        <v>12K+</v>
      </c>
      <c r="AN316">
        <f>1</f>
        <v>1</v>
      </c>
      <c r="AO316" t="str" cm="1">
        <f t="array" ref="AO316">_xlfn.IFS(
Table1[[#This Row],[YearsAtCompany]]&lt;=2,"0-2 Years",
Table1[[#This Row],[YearsAtCompany]]&lt;=5,"3-5 Years",
Table1[[#This Row],[YearsAtCompany]]&lt;=10,"6-10 Years",
TRUE,"10+ Years")</f>
        <v>10+ Years</v>
      </c>
    </row>
    <row r="317" spans="1:41"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tr">
        <f t="shared" si="8"/>
        <v>Research</v>
      </c>
      <c r="AK317">
        <f t="shared" si="9"/>
        <v>0</v>
      </c>
      <c r="AL317">
        <f>IF(Table1[[#This Row],[Attrition]]="Yes", Table1[[#This Row],[MonthlyIncome]]*12*1.5, 0)</f>
        <v>0</v>
      </c>
      <c r="AM317" t="str" cm="1">
        <f t="array" ref="AM317">_xlfn.IFS(
Table1[[#This Row],[MonthlyIncome]]&lt;3000,"Under 3K",
Table1[[#This Row],[MonthlyIncome]]&lt;6000,"3K-6K",
Table1[[#This Row],[MonthlyIncome]]&lt;9000,"6K-9K",
Table1[[#This Row],[MonthlyIncome]]&lt;12000,"9K-12K",
TRUE,"12K+")</f>
        <v>Under 3K</v>
      </c>
      <c r="AN317">
        <f>1</f>
        <v>1</v>
      </c>
      <c r="AO317" t="str" cm="1">
        <f t="array" ref="AO317">_xlfn.IFS(
Table1[[#This Row],[YearsAtCompany]]&lt;=2,"0-2 Years",
Table1[[#This Row],[YearsAtCompany]]&lt;=5,"3-5 Years",
Table1[[#This Row],[YearsAtCompany]]&lt;=10,"6-10 Years",
TRUE,"10+ Years")</f>
        <v>6-10 Years</v>
      </c>
    </row>
    <row r="318" spans="1:41"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tr">
        <f t="shared" si="8"/>
        <v>Healthcare</v>
      </c>
      <c r="AK318">
        <f t="shared" si="9"/>
        <v>0</v>
      </c>
      <c r="AL318">
        <f>IF(Table1[[#This Row],[Attrition]]="Yes", Table1[[#This Row],[MonthlyIncome]]*12*1.5, 0)</f>
        <v>0</v>
      </c>
      <c r="AM318" t="str" cm="1">
        <f t="array" ref="AM318">_xlfn.IFS(
Table1[[#This Row],[MonthlyIncome]]&lt;3000,"Under 3K",
Table1[[#This Row],[MonthlyIncome]]&lt;6000,"3K-6K",
Table1[[#This Row],[MonthlyIncome]]&lt;9000,"6K-9K",
Table1[[#This Row],[MonthlyIncome]]&lt;12000,"9K-12K",
TRUE,"12K+")</f>
        <v>12K+</v>
      </c>
      <c r="AN318">
        <f>1</f>
        <v>1</v>
      </c>
      <c r="AO318" t="str" cm="1">
        <f t="array" ref="AO318">_xlfn.IFS(
Table1[[#This Row],[YearsAtCompany]]&lt;=2,"0-2 Years",
Table1[[#This Row],[YearsAtCompany]]&lt;=5,"3-5 Years",
Table1[[#This Row],[YearsAtCompany]]&lt;=10,"6-10 Years",
TRUE,"10+ Years")</f>
        <v>6-10 Years</v>
      </c>
    </row>
    <row r="319" spans="1:41"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tr">
        <f t="shared" si="8"/>
        <v>Research</v>
      </c>
      <c r="AK319">
        <f t="shared" si="9"/>
        <v>1</v>
      </c>
      <c r="AL319">
        <f>IF(Table1[[#This Row],[Attrition]]="Yes", Table1[[#This Row],[MonthlyIncome]]*12*1.5, 0)</f>
        <v>88938</v>
      </c>
      <c r="AM319" t="str" cm="1">
        <f t="array" ref="AM319">_xlfn.IFS(
Table1[[#This Row],[MonthlyIncome]]&lt;3000,"Under 3K",
Table1[[#This Row],[MonthlyIncome]]&lt;6000,"3K-6K",
Table1[[#This Row],[MonthlyIncome]]&lt;9000,"6K-9K",
Table1[[#This Row],[MonthlyIncome]]&lt;12000,"9K-12K",
TRUE,"12K+")</f>
        <v>3K-6K</v>
      </c>
      <c r="AN319">
        <f>1</f>
        <v>1</v>
      </c>
      <c r="AO319" t="str" cm="1">
        <f t="array" ref="AO319">_xlfn.IFS(
Table1[[#This Row],[YearsAtCompany]]&lt;=2,"0-2 Years",
Table1[[#This Row],[YearsAtCompany]]&lt;=5,"3-5 Years",
Table1[[#This Row],[YearsAtCompany]]&lt;=10,"6-10 Years",
TRUE,"10+ Years")</f>
        <v>6-10 Years</v>
      </c>
    </row>
    <row r="320" spans="1:41"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tr">
        <f t="shared" si="8"/>
        <v>Research</v>
      </c>
      <c r="AK320">
        <f t="shared" si="9"/>
        <v>0</v>
      </c>
      <c r="AL320">
        <f>IF(Table1[[#This Row],[Attrition]]="Yes", Table1[[#This Row],[MonthlyIncome]]*12*1.5, 0)</f>
        <v>0</v>
      </c>
      <c r="AM320" t="str" cm="1">
        <f t="array" ref="AM320">_xlfn.IFS(
Table1[[#This Row],[MonthlyIncome]]&lt;3000,"Under 3K",
Table1[[#This Row],[MonthlyIncome]]&lt;6000,"3K-6K",
Table1[[#This Row],[MonthlyIncome]]&lt;9000,"6K-9K",
Table1[[#This Row],[MonthlyIncome]]&lt;12000,"9K-12K",
TRUE,"12K+")</f>
        <v>Under 3K</v>
      </c>
      <c r="AN320">
        <f>1</f>
        <v>1</v>
      </c>
      <c r="AO320" t="str" cm="1">
        <f t="array" ref="AO320">_xlfn.IFS(
Table1[[#This Row],[YearsAtCompany]]&lt;=2,"0-2 Years",
Table1[[#This Row],[YearsAtCompany]]&lt;=5,"3-5 Years",
Table1[[#This Row],[YearsAtCompany]]&lt;=10,"6-10 Years",
TRUE,"10+ Years")</f>
        <v>3-5 Years</v>
      </c>
    </row>
    <row r="321" spans="1:41"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tr">
        <f t="shared" si="8"/>
        <v>Sales</v>
      </c>
      <c r="AK321">
        <f t="shared" si="9"/>
        <v>0</v>
      </c>
      <c r="AL321">
        <f>IF(Table1[[#This Row],[Attrition]]="Yes", Table1[[#This Row],[MonthlyIncome]]*12*1.5, 0)</f>
        <v>0</v>
      </c>
      <c r="AM321" t="str" cm="1">
        <f t="array" ref="AM321">_xlfn.IFS(
Table1[[#This Row],[MonthlyIncome]]&lt;3000,"Under 3K",
Table1[[#This Row],[MonthlyIncome]]&lt;6000,"3K-6K",
Table1[[#This Row],[MonthlyIncome]]&lt;9000,"6K-9K",
Table1[[#This Row],[MonthlyIncome]]&lt;12000,"9K-12K",
TRUE,"12K+")</f>
        <v>3K-6K</v>
      </c>
      <c r="AN321">
        <f>1</f>
        <v>1</v>
      </c>
      <c r="AO321" t="str" cm="1">
        <f t="array" ref="AO321">_xlfn.IFS(
Table1[[#This Row],[YearsAtCompany]]&lt;=2,"0-2 Years",
Table1[[#This Row],[YearsAtCompany]]&lt;=5,"3-5 Years",
Table1[[#This Row],[YearsAtCompany]]&lt;=10,"6-10 Years",
TRUE,"10+ Years")</f>
        <v>10+ Years</v>
      </c>
    </row>
    <row r="322" spans="1:41"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tr">
        <f t="shared" si="8"/>
        <v>Sales</v>
      </c>
      <c r="AK322">
        <f t="shared" si="9"/>
        <v>0</v>
      </c>
      <c r="AL322">
        <f>IF(Table1[[#This Row],[Attrition]]="Yes", Table1[[#This Row],[MonthlyIncome]]*12*1.5, 0)</f>
        <v>0</v>
      </c>
      <c r="AM322" t="str" cm="1">
        <f t="array" ref="AM322">_xlfn.IFS(
Table1[[#This Row],[MonthlyIncome]]&lt;3000,"Under 3K",
Table1[[#This Row],[MonthlyIncome]]&lt;6000,"3K-6K",
Table1[[#This Row],[MonthlyIncome]]&lt;9000,"6K-9K",
Table1[[#This Row],[MonthlyIncome]]&lt;12000,"9K-12K",
TRUE,"12K+")</f>
        <v>3K-6K</v>
      </c>
      <c r="AN322">
        <f>1</f>
        <v>1</v>
      </c>
      <c r="AO322" t="str" cm="1">
        <f t="array" ref="AO322">_xlfn.IFS(
Table1[[#This Row],[YearsAtCompany]]&lt;=2,"0-2 Years",
Table1[[#This Row],[YearsAtCompany]]&lt;=5,"3-5 Years",
Table1[[#This Row],[YearsAtCompany]]&lt;=10,"6-10 Years",
TRUE,"10+ Years")</f>
        <v>3-5 Years</v>
      </c>
    </row>
    <row r="323" spans="1:41"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tr">
        <f t="shared" ref="AJ323:AJ386" si="10">_xlfn.XLOOKUP(P323, $AP$2:$AP$10,$AQ$2:$AQ$10)</f>
        <v>Sales</v>
      </c>
      <c r="AK323">
        <f t="shared" ref="AK323:AK386" si="11">IF(B323 ="Yes",1,0)</f>
        <v>0</v>
      </c>
      <c r="AL323">
        <f>IF(Table1[[#This Row],[Attrition]]="Yes", Table1[[#This Row],[MonthlyIncome]]*12*1.5, 0)</f>
        <v>0</v>
      </c>
      <c r="AM323" t="str" cm="1">
        <f t="array" ref="AM323">_xlfn.IFS(
Table1[[#This Row],[MonthlyIncome]]&lt;3000,"Under 3K",
Table1[[#This Row],[MonthlyIncome]]&lt;6000,"3K-6K",
Table1[[#This Row],[MonthlyIncome]]&lt;9000,"6K-9K",
Table1[[#This Row],[MonthlyIncome]]&lt;12000,"9K-12K",
TRUE,"12K+")</f>
        <v>6K-9K</v>
      </c>
      <c r="AN323">
        <f>1</f>
        <v>1</v>
      </c>
      <c r="AO323" t="str" cm="1">
        <f t="array" ref="AO323">_xlfn.IFS(
Table1[[#This Row],[YearsAtCompany]]&lt;=2,"0-2 Years",
Table1[[#This Row],[YearsAtCompany]]&lt;=5,"3-5 Years",
Table1[[#This Row],[YearsAtCompany]]&lt;=10,"6-10 Years",
TRUE,"10+ Years")</f>
        <v>6-10 Years</v>
      </c>
    </row>
    <row r="324" spans="1:41"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tr">
        <f t="shared" si="10"/>
        <v>Research</v>
      </c>
      <c r="AK324">
        <f t="shared" si="11"/>
        <v>0</v>
      </c>
      <c r="AL324">
        <f>IF(Table1[[#This Row],[Attrition]]="Yes", Table1[[#This Row],[MonthlyIncome]]*12*1.5, 0)</f>
        <v>0</v>
      </c>
      <c r="AM324" t="str" cm="1">
        <f t="array" ref="AM324">_xlfn.IFS(
Table1[[#This Row],[MonthlyIncome]]&lt;3000,"Under 3K",
Table1[[#This Row],[MonthlyIncome]]&lt;6000,"3K-6K",
Table1[[#This Row],[MonthlyIncome]]&lt;9000,"6K-9K",
Table1[[#This Row],[MonthlyIncome]]&lt;12000,"9K-12K",
TRUE,"12K+")</f>
        <v>3K-6K</v>
      </c>
      <c r="AN324">
        <f>1</f>
        <v>1</v>
      </c>
      <c r="AO324" t="str" cm="1">
        <f t="array" ref="AO324">_xlfn.IFS(
Table1[[#This Row],[YearsAtCompany]]&lt;=2,"0-2 Years",
Table1[[#This Row],[YearsAtCompany]]&lt;=5,"3-5 Years",
Table1[[#This Row],[YearsAtCompany]]&lt;=10,"6-10 Years",
TRUE,"10+ Years")</f>
        <v>6-10 Years</v>
      </c>
    </row>
    <row r="325" spans="1:41"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tr">
        <f t="shared" si="10"/>
        <v>Research</v>
      </c>
      <c r="AK325">
        <f t="shared" si="11"/>
        <v>1</v>
      </c>
      <c r="AL325">
        <f>IF(Table1[[#This Row],[Attrition]]="Yes", Table1[[#This Row],[MonthlyIncome]]*12*1.5, 0)</f>
        <v>62352</v>
      </c>
      <c r="AM325" t="str" cm="1">
        <f t="array" ref="AM325">_xlfn.IFS(
Table1[[#This Row],[MonthlyIncome]]&lt;3000,"Under 3K",
Table1[[#This Row],[MonthlyIncome]]&lt;6000,"3K-6K",
Table1[[#This Row],[MonthlyIncome]]&lt;9000,"6K-9K",
Table1[[#This Row],[MonthlyIncome]]&lt;12000,"9K-12K",
TRUE,"12K+")</f>
        <v>3K-6K</v>
      </c>
      <c r="AN325">
        <f>1</f>
        <v>1</v>
      </c>
      <c r="AO325" t="str" cm="1">
        <f t="array" ref="AO325">_xlfn.IFS(
Table1[[#This Row],[YearsAtCompany]]&lt;=2,"0-2 Years",
Table1[[#This Row],[YearsAtCompany]]&lt;=5,"3-5 Years",
Table1[[#This Row],[YearsAtCompany]]&lt;=10,"6-10 Years",
TRUE,"10+ Years")</f>
        <v>3-5 Years</v>
      </c>
    </row>
    <row r="326" spans="1:41"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tr">
        <f t="shared" si="10"/>
        <v>Research</v>
      </c>
      <c r="AK326">
        <f t="shared" si="11"/>
        <v>0</v>
      </c>
      <c r="AL326">
        <f>IF(Table1[[#This Row],[Attrition]]="Yes", Table1[[#This Row],[MonthlyIncome]]*12*1.5, 0)</f>
        <v>0</v>
      </c>
      <c r="AM326" t="str" cm="1">
        <f t="array" ref="AM326">_xlfn.IFS(
Table1[[#This Row],[MonthlyIncome]]&lt;3000,"Under 3K",
Table1[[#This Row],[MonthlyIncome]]&lt;6000,"3K-6K",
Table1[[#This Row],[MonthlyIncome]]&lt;9000,"6K-9K",
Table1[[#This Row],[MonthlyIncome]]&lt;12000,"9K-12K",
TRUE,"12K+")</f>
        <v>3K-6K</v>
      </c>
      <c r="AN326">
        <f>1</f>
        <v>1</v>
      </c>
      <c r="AO326" t="str" cm="1">
        <f t="array" ref="AO326">_xlfn.IFS(
Table1[[#This Row],[YearsAtCompany]]&lt;=2,"0-2 Years",
Table1[[#This Row],[YearsAtCompany]]&lt;=5,"3-5 Years",
Table1[[#This Row],[YearsAtCompany]]&lt;=10,"6-10 Years",
TRUE,"10+ Years")</f>
        <v>6-10 Years</v>
      </c>
    </row>
    <row r="327" spans="1:41"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tr">
        <f t="shared" si="10"/>
        <v>Operations</v>
      </c>
      <c r="AK327">
        <f t="shared" si="11"/>
        <v>0</v>
      </c>
      <c r="AL327">
        <f>IF(Table1[[#This Row],[Attrition]]="Yes", Table1[[#This Row],[MonthlyIncome]]*12*1.5, 0)</f>
        <v>0</v>
      </c>
      <c r="AM327" t="str" cm="1">
        <f t="array" ref="AM327">_xlfn.IFS(
Table1[[#This Row],[MonthlyIncome]]&lt;3000,"Under 3K",
Table1[[#This Row],[MonthlyIncome]]&lt;6000,"3K-6K",
Table1[[#This Row],[MonthlyIncome]]&lt;9000,"6K-9K",
Table1[[#This Row],[MonthlyIncome]]&lt;12000,"9K-12K",
TRUE,"12K+")</f>
        <v>6K-9K</v>
      </c>
      <c r="AN327">
        <f>1</f>
        <v>1</v>
      </c>
      <c r="AO327" t="str" cm="1">
        <f t="array" ref="AO327">_xlfn.IFS(
Table1[[#This Row],[YearsAtCompany]]&lt;=2,"0-2 Years",
Table1[[#This Row],[YearsAtCompany]]&lt;=5,"3-5 Years",
Table1[[#This Row],[YearsAtCompany]]&lt;=10,"6-10 Years",
TRUE,"10+ Years")</f>
        <v>6-10 Years</v>
      </c>
    </row>
    <row r="328" spans="1:41"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tr">
        <f t="shared" si="10"/>
        <v>Management</v>
      </c>
      <c r="AK328">
        <f t="shared" si="11"/>
        <v>0</v>
      </c>
      <c r="AL328">
        <f>IF(Table1[[#This Row],[Attrition]]="Yes", Table1[[#This Row],[MonthlyIncome]]*12*1.5, 0)</f>
        <v>0</v>
      </c>
      <c r="AM328" t="str" cm="1">
        <f t="array" ref="AM328">_xlfn.IFS(
Table1[[#This Row],[MonthlyIncome]]&lt;3000,"Under 3K",
Table1[[#This Row],[MonthlyIncome]]&lt;6000,"3K-6K",
Table1[[#This Row],[MonthlyIncome]]&lt;9000,"6K-9K",
Table1[[#This Row],[MonthlyIncome]]&lt;12000,"9K-12K",
TRUE,"12K+")</f>
        <v>12K+</v>
      </c>
      <c r="AN328">
        <f>1</f>
        <v>1</v>
      </c>
      <c r="AO328" t="str" cm="1">
        <f t="array" ref="AO328">_xlfn.IFS(
Table1[[#This Row],[YearsAtCompany]]&lt;=2,"0-2 Years",
Table1[[#This Row],[YearsAtCompany]]&lt;=5,"3-5 Years",
Table1[[#This Row],[YearsAtCompany]]&lt;=10,"6-10 Years",
TRUE,"10+ Years")</f>
        <v>10+ Years</v>
      </c>
    </row>
    <row r="329" spans="1:41"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tr">
        <f t="shared" si="10"/>
        <v>Sales</v>
      </c>
      <c r="AK329">
        <f t="shared" si="11"/>
        <v>1</v>
      </c>
      <c r="AL329">
        <f>IF(Table1[[#This Row],[Attrition]]="Yes", Table1[[#This Row],[MonthlyIncome]]*12*1.5, 0)</f>
        <v>94284</v>
      </c>
      <c r="AM329" t="str" cm="1">
        <f t="array" ref="AM329">_xlfn.IFS(
Table1[[#This Row],[MonthlyIncome]]&lt;3000,"Under 3K",
Table1[[#This Row],[MonthlyIncome]]&lt;6000,"3K-6K",
Table1[[#This Row],[MonthlyIncome]]&lt;9000,"6K-9K",
Table1[[#This Row],[MonthlyIncome]]&lt;12000,"9K-12K",
TRUE,"12K+")</f>
        <v>3K-6K</v>
      </c>
      <c r="AN329">
        <f>1</f>
        <v>1</v>
      </c>
      <c r="AO329" t="str" cm="1">
        <f t="array" ref="AO329">_xlfn.IFS(
Table1[[#This Row],[YearsAtCompany]]&lt;=2,"0-2 Years",
Table1[[#This Row],[YearsAtCompany]]&lt;=5,"3-5 Years",
Table1[[#This Row],[YearsAtCompany]]&lt;=10,"6-10 Years",
TRUE,"10+ Years")</f>
        <v>0-2 Years</v>
      </c>
    </row>
    <row r="330" spans="1:41"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tr">
        <f t="shared" si="10"/>
        <v>Sales</v>
      </c>
      <c r="AK330">
        <f t="shared" si="11"/>
        <v>0</v>
      </c>
      <c r="AL330">
        <f>IF(Table1[[#This Row],[Attrition]]="Yes", Table1[[#This Row],[MonthlyIncome]]*12*1.5, 0)</f>
        <v>0</v>
      </c>
      <c r="AM330" t="str" cm="1">
        <f t="array" ref="AM330">_xlfn.IFS(
Table1[[#This Row],[MonthlyIncome]]&lt;3000,"Under 3K",
Table1[[#This Row],[MonthlyIncome]]&lt;6000,"3K-6K",
Table1[[#This Row],[MonthlyIncome]]&lt;9000,"6K-9K",
Table1[[#This Row],[MonthlyIncome]]&lt;12000,"9K-12K",
TRUE,"12K+")</f>
        <v>3K-6K</v>
      </c>
      <c r="AN330">
        <f>1</f>
        <v>1</v>
      </c>
      <c r="AO330" t="str" cm="1">
        <f t="array" ref="AO330">_xlfn.IFS(
Table1[[#This Row],[YearsAtCompany]]&lt;=2,"0-2 Years",
Table1[[#This Row],[YearsAtCompany]]&lt;=5,"3-5 Years",
Table1[[#This Row],[YearsAtCompany]]&lt;=10,"6-10 Years",
TRUE,"10+ Years")</f>
        <v>6-10 Years</v>
      </c>
    </row>
    <row r="331" spans="1:41"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tr">
        <f t="shared" si="10"/>
        <v>Research</v>
      </c>
      <c r="AK331">
        <f t="shared" si="11"/>
        <v>0</v>
      </c>
      <c r="AL331">
        <f>IF(Table1[[#This Row],[Attrition]]="Yes", Table1[[#This Row],[MonthlyIncome]]*12*1.5, 0)</f>
        <v>0</v>
      </c>
      <c r="AM331" t="str" cm="1">
        <f t="array" ref="AM331">_xlfn.IFS(
Table1[[#This Row],[MonthlyIncome]]&lt;3000,"Under 3K",
Table1[[#This Row],[MonthlyIncome]]&lt;6000,"3K-6K",
Table1[[#This Row],[MonthlyIncome]]&lt;9000,"6K-9K",
Table1[[#This Row],[MonthlyIncome]]&lt;12000,"9K-12K",
TRUE,"12K+")</f>
        <v>12K+</v>
      </c>
      <c r="AN331">
        <f>1</f>
        <v>1</v>
      </c>
      <c r="AO331" t="str" cm="1">
        <f t="array" ref="AO331">_xlfn.IFS(
Table1[[#This Row],[YearsAtCompany]]&lt;=2,"0-2 Years",
Table1[[#This Row],[YearsAtCompany]]&lt;=5,"3-5 Years",
Table1[[#This Row],[YearsAtCompany]]&lt;=10,"6-10 Years",
TRUE,"10+ Years")</f>
        <v>3-5 Years</v>
      </c>
    </row>
    <row r="332" spans="1:41"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tr">
        <f t="shared" si="10"/>
        <v>Research</v>
      </c>
      <c r="AK332">
        <f t="shared" si="11"/>
        <v>0</v>
      </c>
      <c r="AL332">
        <f>IF(Table1[[#This Row],[Attrition]]="Yes", Table1[[#This Row],[MonthlyIncome]]*12*1.5, 0)</f>
        <v>0</v>
      </c>
      <c r="AM332" t="str" cm="1">
        <f t="array" ref="AM332">_xlfn.IFS(
Table1[[#This Row],[MonthlyIncome]]&lt;3000,"Under 3K",
Table1[[#This Row],[MonthlyIncome]]&lt;6000,"3K-6K",
Table1[[#This Row],[MonthlyIncome]]&lt;9000,"6K-9K",
Table1[[#This Row],[MonthlyIncome]]&lt;12000,"9K-12K",
TRUE,"12K+")</f>
        <v>3K-6K</v>
      </c>
      <c r="AN332">
        <f>1</f>
        <v>1</v>
      </c>
      <c r="AO332" t="str" cm="1">
        <f t="array" ref="AO332">_xlfn.IFS(
Table1[[#This Row],[YearsAtCompany]]&lt;=2,"0-2 Years",
Table1[[#This Row],[YearsAtCompany]]&lt;=5,"3-5 Years",
Table1[[#This Row],[YearsAtCompany]]&lt;=10,"6-10 Years",
TRUE,"10+ Years")</f>
        <v>6-10 Years</v>
      </c>
    </row>
    <row r="333" spans="1:41"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tr">
        <f t="shared" si="10"/>
        <v>Sales</v>
      </c>
      <c r="AK333">
        <f t="shared" si="11"/>
        <v>0</v>
      </c>
      <c r="AL333">
        <f>IF(Table1[[#This Row],[Attrition]]="Yes", Table1[[#This Row],[MonthlyIncome]]*12*1.5, 0)</f>
        <v>0</v>
      </c>
      <c r="AM333" t="str" cm="1">
        <f t="array" ref="AM333">_xlfn.IFS(
Table1[[#This Row],[MonthlyIncome]]&lt;3000,"Under 3K",
Table1[[#This Row],[MonthlyIncome]]&lt;6000,"3K-6K",
Table1[[#This Row],[MonthlyIncome]]&lt;9000,"6K-9K",
Table1[[#This Row],[MonthlyIncome]]&lt;12000,"9K-12K",
TRUE,"12K+")</f>
        <v>6K-9K</v>
      </c>
      <c r="AN333">
        <f>1</f>
        <v>1</v>
      </c>
      <c r="AO333" t="str" cm="1">
        <f t="array" ref="AO333">_xlfn.IFS(
Table1[[#This Row],[YearsAtCompany]]&lt;=2,"0-2 Years",
Table1[[#This Row],[YearsAtCompany]]&lt;=5,"3-5 Years",
Table1[[#This Row],[YearsAtCompany]]&lt;=10,"6-10 Years",
TRUE,"10+ Years")</f>
        <v>3-5 Years</v>
      </c>
    </row>
    <row r="334" spans="1:41"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tr">
        <f t="shared" si="10"/>
        <v>Research</v>
      </c>
      <c r="AK334">
        <f t="shared" si="11"/>
        <v>0</v>
      </c>
      <c r="AL334">
        <f>IF(Table1[[#This Row],[Attrition]]="Yes", Table1[[#This Row],[MonthlyIncome]]*12*1.5, 0)</f>
        <v>0</v>
      </c>
      <c r="AM334" t="str" cm="1">
        <f t="array" ref="AM334">_xlfn.IFS(
Table1[[#This Row],[MonthlyIncome]]&lt;3000,"Under 3K",
Table1[[#This Row],[MonthlyIncome]]&lt;6000,"3K-6K",
Table1[[#This Row],[MonthlyIncome]]&lt;9000,"6K-9K",
Table1[[#This Row],[MonthlyIncome]]&lt;12000,"9K-12K",
TRUE,"12K+")</f>
        <v>3K-6K</v>
      </c>
      <c r="AN334">
        <f>1</f>
        <v>1</v>
      </c>
      <c r="AO334" t="str" cm="1">
        <f t="array" ref="AO334">_xlfn.IFS(
Table1[[#This Row],[YearsAtCompany]]&lt;=2,"0-2 Years",
Table1[[#This Row],[YearsAtCompany]]&lt;=5,"3-5 Years",
Table1[[#This Row],[YearsAtCompany]]&lt;=10,"6-10 Years",
TRUE,"10+ Years")</f>
        <v>3-5 Years</v>
      </c>
    </row>
    <row r="335" spans="1:41"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tr">
        <f t="shared" si="10"/>
        <v>Healthcare</v>
      </c>
      <c r="AK335">
        <f t="shared" si="11"/>
        <v>0</v>
      </c>
      <c r="AL335">
        <f>IF(Table1[[#This Row],[Attrition]]="Yes", Table1[[#This Row],[MonthlyIncome]]*12*1.5, 0)</f>
        <v>0</v>
      </c>
      <c r="AM335" t="str" cm="1">
        <f t="array" ref="AM335">_xlfn.IFS(
Table1[[#This Row],[MonthlyIncome]]&lt;3000,"Under 3K",
Table1[[#This Row],[MonthlyIncome]]&lt;6000,"3K-6K",
Table1[[#This Row],[MonthlyIncome]]&lt;9000,"6K-9K",
Table1[[#This Row],[MonthlyIncome]]&lt;12000,"9K-12K",
TRUE,"12K+")</f>
        <v>9K-12K</v>
      </c>
      <c r="AN335">
        <f>1</f>
        <v>1</v>
      </c>
      <c r="AO335" t="str" cm="1">
        <f t="array" ref="AO335">_xlfn.IFS(
Table1[[#This Row],[YearsAtCompany]]&lt;=2,"0-2 Years",
Table1[[#This Row],[YearsAtCompany]]&lt;=5,"3-5 Years",
Table1[[#This Row],[YearsAtCompany]]&lt;=10,"6-10 Years",
TRUE,"10+ Years")</f>
        <v>0-2 Years</v>
      </c>
    </row>
    <row r="336" spans="1:41"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tr">
        <f t="shared" si="10"/>
        <v>Research</v>
      </c>
      <c r="AK336">
        <f t="shared" si="11"/>
        <v>0</v>
      </c>
      <c r="AL336">
        <f>IF(Table1[[#This Row],[Attrition]]="Yes", Table1[[#This Row],[MonthlyIncome]]*12*1.5, 0)</f>
        <v>0</v>
      </c>
      <c r="AM336" t="str" cm="1">
        <f t="array" ref="AM336">_xlfn.IFS(
Table1[[#This Row],[MonthlyIncome]]&lt;3000,"Under 3K",
Table1[[#This Row],[MonthlyIncome]]&lt;6000,"3K-6K",
Table1[[#This Row],[MonthlyIncome]]&lt;9000,"6K-9K",
Table1[[#This Row],[MonthlyIncome]]&lt;12000,"9K-12K",
TRUE,"12K+")</f>
        <v>3K-6K</v>
      </c>
      <c r="AN336">
        <f>1</f>
        <v>1</v>
      </c>
      <c r="AO336" t="str" cm="1">
        <f t="array" ref="AO336">_xlfn.IFS(
Table1[[#This Row],[YearsAtCompany]]&lt;=2,"0-2 Years",
Table1[[#This Row],[YearsAtCompany]]&lt;=5,"3-5 Years",
Table1[[#This Row],[YearsAtCompany]]&lt;=10,"6-10 Years",
TRUE,"10+ Years")</f>
        <v>6-10 Years</v>
      </c>
    </row>
    <row r="337" spans="1:41"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tr">
        <f t="shared" si="10"/>
        <v>Sales</v>
      </c>
      <c r="AK337">
        <f t="shared" si="11"/>
        <v>0</v>
      </c>
      <c r="AL337">
        <f>IF(Table1[[#This Row],[Attrition]]="Yes", Table1[[#This Row],[MonthlyIncome]]*12*1.5, 0)</f>
        <v>0</v>
      </c>
      <c r="AM337" t="str" cm="1">
        <f t="array" ref="AM337">_xlfn.IFS(
Table1[[#This Row],[MonthlyIncome]]&lt;3000,"Under 3K",
Table1[[#This Row],[MonthlyIncome]]&lt;6000,"3K-6K",
Table1[[#This Row],[MonthlyIncome]]&lt;9000,"6K-9K",
Table1[[#This Row],[MonthlyIncome]]&lt;12000,"9K-12K",
TRUE,"12K+")</f>
        <v>6K-9K</v>
      </c>
      <c r="AN337">
        <f>1</f>
        <v>1</v>
      </c>
      <c r="AO337" t="str" cm="1">
        <f t="array" ref="AO337">_xlfn.IFS(
Table1[[#This Row],[YearsAtCompany]]&lt;=2,"0-2 Years",
Table1[[#This Row],[YearsAtCompany]]&lt;=5,"3-5 Years",
Table1[[#This Row],[YearsAtCompany]]&lt;=10,"6-10 Years",
TRUE,"10+ Years")</f>
        <v>3-5 Years</v>
      </c>
    </row>
    <row r="338" spans="1:41"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tr">
        <f t="shared" si="10"/>
        <v>Research</v>
      </c>
      <c r="AK338">
        <f t="shared" si="11"/>
        <v>1</v>
      </c>
      <c r="AL338">
        <f>IF(Table1[[#This Row],[Attrition]]="Yes", Table1[[#This Row],[MonthlyIncome]]*12*1.5, 0)</f>
        <v>38142</v>
      </c>
      <c r="AM338" t="str" cm="1">
        <f t="array" ref="AM338">_xlfn.IFS(
Table1[[#This Row],[MonthlyIncome]]&lt;3000,"Under 3K",
Table1[[#This Row],[MonthlyIncome]]&lt;6000,"3K-6K",
Table1[[#This Row],[MonthlyIncome]]&lt;9000,"6K-9K",
Table1[[#This Row],[MonthlyIncome]]&lt;12000,"9K-12K",
TRUE,"12K+")</f>
        <v>Under 3K</v>
      </c>
      <c r="AN338">
        <f>1</f>
        <v>1</v>
      </c>
      <c r="AO338" t="str" cm="1">
        <f t="array" ref="AO338">_xlfn.IFS(
Table1[[#This Row],[YearsAtCompany]]&lt;=2,"0-2 Years",
Table1[[#This Row],[YearsAtCompany]]&lt;=5,"3-5 Years",
Table1[[#This Row],[YearsAtCompany]]&lt;=10,"6-10 Years",
TRUE,"10+ Years")</f>
        <v>6-10 Years</v>
      </c>
    </row>
    <row r="339" spans="1:41"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tr">
        <f t="shared" si="10"/>
        <v>Research</v>
      </c>
      <c r="AK339">
        <f t="shared" si="11"/>
        <v>0</v>
      </c>
      <c r="AL339">
        <f>IF(Table1[[#This Row],[Attrition]]="Yes", Table1[[#This Row],[MonthlyIncome]]*12*1.5, 0)</f>
        <v>0</v>
      </c>
      <c r="AM339" t="str" cm="1">
        <f t="array" ref="AM339">_xlfn.IFS(
Table1[[#This Row],[MonthlyIncome]]&lt;3000,"Under 3K",
Table1[[#This Row],[MonthlyIncome]]&lt;6000,"3K-6K",
Table1[[#This Row],[MonthlyIncome]]&lt;9000,"6K-9K",
Table1[[#This Row],[MonthlyIncome]]&lt;12000,"9K-12K",
TRUE,"12K+")</f>
        <v>3K-6K</v>
      </c>
      <c r="AN339">
        <f>1</f>
        <v>1</v>
      </c>
      <c r="AO339" t="str" cm="1">
        <f t="array" ref="AO339">_xlfn.IFS(
Table1[[#This Row],[YearsAtCompany]]&lt;=2,"0-2 Years",
Table1[[#This Row],[YearsAtCompany]]&lt;=5,"3-5 Years",
Table1[[#This Row],[YearsAtCompany]]&lt;=10,"6-10 Years",
TRUE,"10+ Years")</f>
        <v>3-5 Years</v>
      </c>
    </row>
    <row r="340" spans="1:41"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tr">
        <f t="shared" si="10"/>
        <v>Sales</v>
      </c>
      <c r="AK340">
        <f t="shared" si="11"/>
        <v>0</v>
      </c>
      <c r="AL340">
        <f>IF(Table1[[#This Row],[Attrition]]="Yes", Table1[[#This Row],[MonthlyIncome]]*12*1.5, 0)</f>
        <v>0</v>
      </c>
      <c r="AM340" t="str" cm="1">
        <f t="array" ref="AM340">_xlfn.IFS(
Table1[[#This Row],[MonthlyIncome]]&lt;3000,"Under 3K",
Table1[[#This Row],[MonthlyIncome]]&lt;6000,"3K-6K",
Table1[[#This Row],[MonthlyIncome]]&lt;9000,"6K-9K",
Table1[[#This Row],[MonthlyIncome]]&lt;12000,"9K-12K",
TRUE,"12K+")</f>
        <v>6K-9K</v>
      </c>
      <c r="AN340">
        <f>1</f>
        <v>1</v>
      </c>
      <c r="AO340" t="str" cm="1">
        <f t="array" ref="AO340">_xlfn.IFS(
Table1[[#This Row],[YearsAtCompany]]&lt;=2,"0-2 Years",
Table1[[#This Row],[YearsAtCompany]]&lt;=5,"3-5 Years",
Table1[[#This Row],[YearsAtCompany]]&lt;=10,"6-10 Years",
TRUE,"10+ Years")</f>
        <v>6-10 Years</v>
      </c>
    </row>
    <row r="341" spans="1:41"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tr">
        <f t="shared" si="10"/>
        <v>Sales</v>
      </c>
      <c r="AK341">
        <f t="shared" si="11"/>
        <v>0</v>
      </c>
      <c r="AL341">
        <f>IF(Table1[[#This Row],[Attrition]]="Yes", Table1[[#This Row],[MonthlyIncome]]*12*1.5, 0)</f>
        <v>0</v>
      </c>
      <c r="AM341" t="str" cm="1">
        <f t="array" ref="AM341">_xlfn.IFS(
Table1[[#This Row],[MonthlyIncome]]&lt;3000,"Under 3K",
Table1[[#This Row],[MonthlyIncome]]&lt;6000,"3K-6K",
Table1[[#This Row],[MonthlyIncome]]&lt;9000,"6K-9K",
Table1[[#This Row],[MonthlyIncome]]&lt;12000,"9K-12K",
TRUE,"12K+")</f>
        <v>6K-9K</v>
      </c>
      <c r="AN341">
        <f>1</f>
        <v>1</v>
      </c>
      <c r="AO341" t="str" cm="1">
        <f t="array" ref="AO341">_xlfn.IFS(
Table1[[#This Row],[YearsAtCompany]]&lt;=2,"0-2 Years",
Table1[[#This Row],[YearsAtCompany]]&lt;=5,"3-5 Years",
Table1[[#This Row],[YearsAtCompany]]&lt;=10,"6-10 Years",
TRUE,"10+ Years")</f>
        <v>6-10 Years</v>
      </c>
    </row>
    <row r="342" spans="1:41"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tr">
        <f t="shared" si="10"/>
        <v>Operations</v>
      </c>
      <c r="AK342">
        <f t="shared" si="11"/>
        <v>0</v>
      </c>
      <c r="AL342">
        <f>IF(Table1[[#This Row],[Attrition]]="Yes", Table1[[#This Row],[MonthlyIncome]]*12*1.5, 0)</f>
        <v>0</v>
      </c>
      <c r="AM342" t="str" cm="1">
        <f t="array" ref="AM342">_xlfn.IFS(
Table1[[#This Row],[MonthlyIncome]]&lt;3000,"Under 3K",
Table1[[#This Row],[MonthlyIncome]]&lt;6000,"3K-6K",
Table1[[#This Row],[MonthlyIncome]]&lt;9000,"6K-9K",
Table1[[#This Row],[MonthlyIncome]]&lt;12000,"9K-12K",
TRUE,"12K+")</f>
        <v>6K-9K</v>
      </c>
      <c r="AN342">
        <f>1</f>
        <v>1</v>
      </c>
      <c r="AO342" t="str" cm="1">
        <f t="array" ref="AO342">_xlfn.IFS(
Table1[[#This Row],[YearsAtCompany]]&lt;=2,"0-2 Years",
Table1[[#This Row],[YearsAtCompany]]&lt;=5,"3-5 Years",
Table1[[#This Row],[YearsAtCompany]]&lt;=10,"6-10 Years",
TRUE,"10+ Years")</f>
        <v>6-10 Years</v>
      </c>
    </row>
    <row r="343" spans="1:41"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tr">
        <f t="shared" si="10"/>
        <v>Research</v>
      </c>
      <c r="AK343">
        <f t="shared" si="11"/>
        <v>0</v>
      </c>
      <c r="AL343">
        <f>IF(Table1[[#This Row],[Attrition]]="Yes", Table1[[#This Row],[MonthlyIncome]]*12*1.5, 0)</f>
        <v>0</v>
      </c>
      <c r="AM343" t="str" cm="1">
        <f t="array" ref="AM343">_xlfn.IFS(
Table1[[#This Row],[MonthlyIncome]]&lt;3000,"Under 3K",
Table1[[#This Row],[MonthlyIncome]]&lt;6000,"3K-6K",
Table1[[#This Row],[MonthlyIncome]]&lt;9000,"6K-9K",
Table1[[#This Row],[MonthlyIncome]]&lt;12000,"9K-12K",
TRUE,"12K+")</f>
        <v>9K-12K</v>
      </c>
      <c r="AN343">
        <f>1</f>
        <v>1</v>
      </c>
      <c r="AO343" t="str" cm="1">
        <f t="array" ref="AO343">_xlfn.IFS(
Table1[[#This Row],[YearsAtCompany]]&lt;=2,"0-2 Years",
Table1[[#This Row],[YearsAtCompany]]&lt;=5,"3-5 Years",
Table1[[#This Row],[YearsAtCompany]]&lt;=10,"6-10 Years",
TRUE,"10+ Years")</f>
        <v>10+ Years</v>
      </c>
    </row>
    <row r="344" spans="1:41"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tr">
        <f t="shared" si="10"/>
        <v>Operations</v>
      </c>
      <c r="AK344">
        <f t="shared" si="11"/>
        <v>0</v>
      </c>
      <c r="AL344">
        <f>IF(Table1[[#This Row],[Attrition]]="Yes", Table1[[#This Row],[MonthlyIncome]]*12*1.5, 0)</f>
        <v>0</v>
      </c>
      <c r="AM344" t="str" cm="1">
        <f t="array" ref="AM344">_xlfn.IFS(
Table1[[#This Row],[MonthlyIncome]]&lt;3000,"Under 3K",
Table1[[#This Row],[MonthlyIncome]]&lt;6000,"3K-6K",
Table1[[#This Row],[MonthlyIncome]]&lt;9000,"6K-9K",
Table1[[#This Row],[MonthlyIncome]]&lt;12000,"9K-12K",
TRUE,"12K+")</f>
        <v>6K-9K</v>
      </c>
      <c r="AN344">
        <f>1</f>
        <v>1</v>
      </c>
      <c r="AO344" t="str" cm="1">
        <f t="array" ref="AO344">_xlfn.IFS(
Table1[[#This Row],[YearsAtCompany]]&lt;=2,"0-2 Years",
Table1[[#This Row],[YearsAtCompany]]&lt;=5,"3-5 Years",
Table1[[#This Row],[YearsAtCompany]]&lt;=10,"6-10 Years",
TRUE,"10+ Years")</f>
        <v>10+ Years</v>
      </c>
    </row>
    <row r="345" spans="1:41"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tr">
        <f t="shared" si="10"/>
        <v>Sales</v>
      </c>
      <c r="AK345">
        <f t="shared" si="11"/>
        <v>0</v>
      </c>
      <c r="AL345">
        <f>IF(Table1[[#This Row],[Attrition]]="Yes", Table1[[#This Row],[MonthlyIncome]]*12*1.5, 0)</f>
        <v>0</v>
      </c>
      <c r="AM345" t="str" cm="1">
        <f t="array" ref="AM345">_xlfn.IFS(
Table1[[#This Row],[MonthlyIncome]]&lt;3000,"Under 3K",
Table1[[#This Row],[MonthlyIncome]]&lt;6000,"3K-6K",
Table1[[#This Row],[MonthlyIncome]]&lt;9000,"6K-9K",
Table1[[#This Row],[MonthlyIncome]]&lt;12000,"9K-12K",
TRUE,"12K+")</f>
        <v>6K-9K</v>
      </c>
      <c r="AN345">
        <f>1</f>
        <v>1</v>
      </c>
      <c r="AO345" t="str" cm="1">
        <f t="array" ref="AO345">_xlfn.IFS(
Table1[[#This Row],[YearsAtCompany]]&lt;=2,"0-2 Years",
Table1[[#This Row],[YearsAtCompany]]&lt;=5,"3-5 Years",
Table1[[#This Row],[YearsAtCompany]]&lt;=10,"6-10 Years",
TRUE,"10+ Years")</f>
        <v>6-10 Years</v>
      </c>
    </row>
    <row r="346" spans="1:41"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tr">
        <f t="shared" si="10"/>
        <v>Operations</v>
      </c>
      <c r="AK346">
        <f t="shared" si="11"/>
        <v>0</v>
      </c>
      <c r="AL346">
        <f>IF(Table1[[#This Row],[Attrition]]="Yes", Table1[[#This Row],[MonthlyIncome]]*12*1.5, 0)</f>
        <v>0</v>
      </c>
      <c r="AM346" t="str" cm="1">
        <f t="array" ref="AM346">_xlfn.IFS(
Table1[[#This Row],[MonthlyIncome]]&lt;3000,"Under 3K",
Table1[[#This Row],[MonthlyIncome]]&lt;6000,"3K-6K",
Table1[[#This Row],[MonthlyIncome]]&lt;9000,"6K-9K",
Table1[[#This Row],[MonthlyIncome]]&lt;12000,"9K-12K",
TRUE,"12K+")</f>
        <v>6K-9K</v>
      </c>
      <c r="AN346">
        <f>1</f>
        <v>1</v>
      </c>
      <c r="AO346" t="str" cm="1">
        <f t="array" ref="AO346">_xlfn.IFS(
Table1[[#This Row],[YearsAtCompany]]&lt;=2,"0-2 Years",
Table1[[#This Row],[YearsAtCompany]]&lt;=5,"3-5 Years",
Table1[[#This Row],[YearsAtCompany]]&lt;=10,"6-10 Years",
TRUE,"10+ Years")</f>
        <v>10+ Years</v>
      </c>
    </row>
    <row r="347" spans="1:41"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tr">
        <f t="shared" si="10"/>
        <v>Research</v>
      </c>
      <c r="AK347">
        <f t="shared" si="11"/>
        <v>0</v>
      </c>
      <c r="AL347">
        <f>IF(Table1[[#This Row],[Attrition]]="Yes", Table1[[#This Row],[MonthlyIncome]]*12*1.5, 0)</f>
        <v>0</v>
      </c>
      <c r="AM347" t="str" cm="1">
        <f t="array" ref="AM347">_xlfn.IFS(
Table1[[#This Row],[MonthlyIncome]]&lt;3000,"Under 3K",
Table1[[#This Row],[MonthlyIncome]]&lt;6000,"3K-6K",
Table1[[#This Row],[MonthlyIncome]]&lt;9000,"6K-9K",
Table1[[#This Row],[MonthlyIncome]]&lt;12000,"9K-12K",
TRUE,"12K+")</f>
        <v>Under 3K</v>
      </c>
      <c r="AN347">
        <f>1</f>
        <v>1</v>
      </c>
      <c r="AO347" t="str" cm="1">
        <f t="array" ref="AO347">_xlfn.IFS(
Table1[[#This Row],[YearsAtCompany]]&lt;=2,"0-2 Years",
Table1[[#This Row],[YearsAtCompany]]&lt;=5,"3-5 Years",
Table1[[#This Row],[YearsAtCompany]]&lt;=10,"6-10 Years",
TRUE,"10+ Years")</f>
        <v>3-5 Years</v>
      </c>
    </row>
    <row r="348" spans="1:41"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tr">
        <f t="shared" si="10"/>
        <v>Operations</v>
      </c>
      <c r="AK348">
        <f t="shared" si="11"/>
        <v>0</v>
      </c>
      <c r="AL348">
        <f>IF(Table1[[#This Row],[Attrition]]="Yes", Table1[[#This Row],[MonthlyIncome]]*12*1.5, 0)</f>
        <v>0</v>
      </c>
      <c r="AM348" t="str" cm="1">
        <f t="array" ref="AM348">_xlfn.IFS(
Table1[[#This Row],[MonthlyIncome]]&lt;3000,"Under 3K",
Table1[[#This Row],[MonthlyIncome]]&lt;6000,"3K-6K",
Table1[[#This Row],[MonthlyIncome]]&lt;9000,"6K-9K",
Table1[[#This Row],[MonthlyIncome]]&lt;12000,"9K-12K",
TRUE,"12K+")</f>
        <v>6K-9K</v>
      </c>
      <c r="AN348">
        <f>1</f>
        <v>1</v>
      </c>
      <c r="AO348" t="str" cm="1">
        <f t="array" ref="AO348">_xlfn.IFS(
Table1[[#This Row],[YearsAtCompany]]&lt;=2,"0-2 Years",
Table1[[#This Row],[YearsAtCompany]]&lt;=5,"3-5 Years",
Table1[[#This Row],[YearsAtCompany]]&lt;=10,"6-10 Years",
TRUE,"10+ Years")</f>
        <v>3-5 Years</v>
      </c>
    </row>
    <row r="349" spans="1:41"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tr">
        <f t="shared" si="10"/>
        <v>Sales</v>
      </c>
      <c r="AK349">
        <f t="shared" si="11"/>
        <v>0</v>
      </c>
      <c r="AL349">
        <f>IF(Table1[[#This Row],[Attrition]]="Yes", Table1[[#This Row],[MonthlyIncome]]*12*1.5, 0)</f>
        <v>0</v>
      </c>
      <c r="AM349" t="str" cm="1">
        <f t="array" ref="AM349">_xlfn.IFS(
Table1[[#This Row],[MonthlyIncome]]&lt;3000,"Under 3K",
Table1[[#This Row],[MonthlyIncome]]&lt;6000,"3K-6K",
Table1[[#This Row],[MonthlyIncome]]&lt;9000,"6K-9K",
Table1[[#This Row],[MonthlyIncome]]&lt;12000,"9K-12K",
TRUE,"12K+")</f>
        <v>Under 3K</v>
      </c>
      <c r="AN349">
        <f>1</f>
        <v>1</v>
      </c>
      <c r="AO349" t="str" cm="1">
        <f t="array" ref="AO349">_xlfn.IFS(
Table1[[#This Row],[YearsAtCompany]]&lt;=2,"0-2 Years",
Table1[[#This Row],[YearsAtCompany]]&lt;=5,"3-5 Years",
Table1[[#This Row],[YearsAtCompany]]&lt;=10,"6-10 Years",
TRUE,"10+ Years")</f>
        <v>0-2 Years</v>
      </c>
    </row>
    <row r="350" spans="1:41"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tr">
        <f t="shared" si="10"/>
        <v>Research</v>
      </c>
      <c r="AK350">
        <f t="shared" si="11"/>
        <v>0</v>
      </c>
      <c r="AL350">
        <f>IF(Table1[[#This Row],[Attrition]]="Yes", Table1[[#This Row],[MonthlyIncome]]*12*1.5, 0)</f>
        <v>0</v>
      </c>
      <c r="AM350" t="str" cm="1">
        <f t="array" ref="AM350">_xlfn.IFS(
Table1[[#This Row],[MonthlyIncome]]&lt;3000,"Under 3K",
Table1[[#This Row],[MonthlyIncome]]&lt;6000,"3K-6K",
Table1[[#This Row],[MonthlyIncome]]&lt;9000,"6K-9K",
Table1[[#This Row],[MonthlyIncome]]&lt;12000,"9K-12K",
TRUE,"12K+")</f>
        <v>12K+</v>
      </c>
      <c r="AN350">
        <f>1</f>
        <v>1</v>
      </c>
      <c r="AO350" t="str" cm="1">
        <f t="array" ref="AO350">_xlfn.IFS(
Table1[[#This Row],[YearsAtCompany]]&lt;=2,"0-2 Years",
Table1[[#This Row],[YearsAtCompany]]&lt;=5,"3-5 Years",
Table1[[#This Row],[YearsAtCompany]]&lt;=10,"6-10 Years",
TRUE,"10+ Years")</f>
        <v>0-2 Years</v>
      </c>
    </row>
    <row r="351" spans="1:41"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tr">
        <f t="shared" si="10"/>
        <v>Sales</v>
      </c>
      <c r="AK351">
        <f t="shared" si="11"/>
        <v>0</v>
      </c>
      <c r="AL351">
        <f>IF(Table1[[#This Row],[Attrition]]="Yes", Table1[[#This Row],[MonthlyIncome]]*12*1.5, 0)</f>
        <v>0</v>
      </c>
      <c r="AM351" t="str" cm="1">
        <f t="array" ref="AM351">_xlfn.IFS(
Table1[[#This Row],[MonthlyIncome]]&lt;3000,"Under 3K",
Table1[[#This Row],[MonthlyIncome]]&lt;6000,"3K-6K",
Table1[[#This Row],[MonthlyIncome]]&lt;9000,"6K-9K",
Table1[[#This Row],[MonthlyIncome]]&lt;12000,"9K-12K",
TRUE,"12K+")</f>
        <v>3K-6K</v>
      </c>
      <c r="AN351">
        <f>1</f>
        <v>1</v>
      </c>
      <c r="AO351" t="str" cm="1">
        <f t="array" ref="AO351">_xlfn.IFS(
Table1[[#This Row],[YearsAtCompany]]&lt;=2,"0-2 Years",
Table1[[#This Row],[YearsAtCompany]]&lt;=5,"3-5 Years",
Table1[[#This Row],[YearsAtCompany]]&lt;=10,"6-10 Years",
TRUE,"10+ Years")</f>
        <v>3-5 Years</v>
      </c>
    </row>
    <row r="352" spans="1:41"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tr">
        <f t="shared" si="10"/>
        <v>Human Resources</v>
      </c>
      <c r="AK352">
        <f t="shared" si="11"/>
        <v>0</v>
      </c>
      <c r="AL352">
        <f>IF(Table1[[#This Row],[Attrition]]="Yes", Table1[[#This Row],[MonthlyIncome]]*12*1.5, 0)</f>
        <v>0</v>
      </c>
      <c r="AM352" t="str" cm="1">
        <f t="array" ref="AM352">_xlfn.IFS(
Table1[[#This Row],[MonthlyIncome]]&lt;3000,"Under 3K",
Table1[[#This Row],[MonthlyIncome]]&lt;6000,"3K-6K",
Table1[[#This Row],[MonthlyIncome]]&lt;9000,"6K-9K",
Table1[[#This Row],[MonthlyIncome]]&lt;12000,"9K-12K",
TRUE,"12K+")</f>
        <v>Under 3K</v>
      </c>
      <c r="AN352">
        <f>1</f>
        <v>1</v>
      </c>
      <c r="AO352" t="str" cm="1">
        <f t="array" ref="AO352">_xlfn.IFS(
Table1[[#This Row],[YearsAtCompany]]&lt;=2,"0-2 Years",
Table1[[#This Row],[YearsAtCompany]]&lt;=5,"3-5 Years",
Table1[[#This Row],[YearsAtCompany]]&lt;=10,"6-10 Years",
TRUE,"10+ Years")</f>
        <v>3-5 Years</v>
      </c>
    </row>
    <row r="353" spans="1:41"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tr">
        <f t="shared" si="10"/>
        <v>Research</v>
      </c>
      <c r="AK353">
        <f t="shared" si="11"/>
        <v>0</v>
      </c>
      <c r="AL353">
        <f>IF(Table1[[#This Row],[Attrition]]="Yes", Table1[[#This Row],[MonthlyIncome]]*12*1.5, 0)</f>
        <v>0</v>
      </c>
      <c r="AM353" t="str" cm="1">
        <f t="array" ref="AM353">_xlfn.IFS(
Table1[[#This Row],[MonthlyIncome]]&lt;3000,"Under 3K",
Table1[[#This Row],[MonthlyIncome]]&lt;6000,"3K-6K",
Table1[[#This Row],[MonthlyIncome]]&lt;9000,"6K-9K",
Table1[[#This Row],[MonthlyIncome]]&lt;12000,"9K-12K",
TRUE,"12K+")</f>
        <v>Under 3K</v>
      </c>
      <c r="AN353">
        <f>1</f>
        <v>1</v>
      </c>
      <c r="AO353" t="str" cm="1">
        <f t="array" ref="AO353">_xlfn.IFS(
Table1[[#This Row],[YearsAtCompany]]&lt;=2,"0-2 Years",
Table1[[#This Row],[YearsAtCompany]]&lt;=5,"3-5 Years",
Table1[[#This Row],[YearsAtCompany]]&lt;=10,"6-10 Years",
TRUE,"10+ Years")</f>
        <v>6-10 Years</v>
      </c>
    </row>
    <row r="354" spans="1:41"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tr">
        <f t="shared" si="10"/>
        <v>Management</v>
      </c>
      <c r="AK354">
        <f t="shared" si="11"/>
        <v>0</v>
      </c>
      <c r="AL354">
        <f>IF(Table1[[#This Row],[Attrition]]="Yes", Table1[[#This Row],[MonthlyIncome]]*12*1.5, 0)</f>
        <v>0</v>
      </c>
      <c r="AM354" t="str" cm="1">
        <f t="array" ref="AM354">_xlfn.IFS(
Table1[[#This Row],[MonthlyIncome]]&lt;3000,"Under 3K",
Table1[[#This Row],[MonthlyIncome]]&lt;6000,"3K-6K",
Table1[[#This Row],[MonthlyIncome]]&lt;9000,"6K-9K",
Table1[[#This Row],[MonthlyIncome]]&lt;12000,"9K-12K",
TRUE,"12K+")</f>
        <v>12K+</v>
      </c>
      <c r="AN354">
        <f>1</f>
        <v>1</v>
      </c>
      <c r="AO354" t="str" cm="1">
        <f t="array" ref="AO354">_xlfn.IFS(
Table1[[#This Row],[YearsAtCompany]]&lt;=2,"0-2 Years",
Table1[[#This Row],[YearsAtCompany]]&lt;=5,"3-5 Years",
Table1[[#This Row],[YearsAtCompany]]&lt;=10,"6-10 Years",
TRUE,"10+ Years")</f>
        <v>0-2 Years</v>
      </c>
    </row>
    <row r="355" spans="1:41"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tr">
        <f t="shared" si="10"/>
        <v>Research</v>
      </c>
      <c r="AK355">
        <f t="shared" si="11"/>
        <v>0</v>
      </c>
      <c r="AL355">
        <f>IF(Table1[[#This Row],[Attrition]]="Yes", Table1[[#This Row],[MonthlyIncome]]*12*1.5, 0)</f>
        <v>0</v>
      </c>
      <c r="AM355" t="str" cm="1">
        <f t="array" ref="AM355">_xlfn.IFS(
Table1[[#This Row],[MonthlyIncome]]&lt;3000,"Under 3K",
Table1[[#This Row],[MonthlyIncome]]&lt;6000,"3K-6K",
Table1[[#This Row],[MonthlyIncome]]&lt;9000,"6K-9K",
Table1[[#This Row],[MonthlyIncome]]&lt;12000,"9K-12K",
TRUE,"12K+")</f>
        <v>3K-6K</v>
      </c>
      <c r="AN355">
        <f>1</f>
        <v>1</v>
      </c>
      <c r="AO355" t="str" cm="1">
        <f t="array" ref="AO355">_xlfn.IFS(
Table1[[#This Row],[YearsAtCompany]]&lt;=2,"0-2 Years",
Table1[[#This Row],[YearsAtCompany]]&lt;=5,"3-5 Years",
Table1[[#This Row],[YearsAtCompany]]&lt;=10,"6-10 Years",
TRUE,"10+ Years")</f>
        <v>6-10 Years</v>
      </c>
    </row>
    <row r="356" spans="1:41"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tr">
        <f t="shared" si="10"/>
        <v>Sales</v>
      </c>
      <c r="AK356">
        <f t="shared" si="11"/>
        <v>0</v>
      </c>
      <c r="AL356">
        <f>IF(Table1[[#This Row],[Attrition]]="Yes", Table1[[#This Row],[MonthlyIncome]]*12*1.5, 0)</f>
        <v>0</v>
      </c>
      <c r="AM356" t="str" cm="1">
        <f t="array" ref="AM356">_xlfn.IFS(
Table1[[#This Row],[MonthlyIncome]]&lt;3000,"Under 3K",
Table1[[#This Row],[MonthlyIncome]]&lt;6000,"3K-6K",
Table1[[#This Row],[MonthlyIncome]]&lt;9000,"6K-9K",
Table1[[#This Row],[MonthlyIncome]]&lt;12000,"9K-12K",
TRUE,"12K+")</f>
        <v>3K-6K</v>
      </c>
      <c r="AN356">
        <f>1</f>
        <v>1</v>
      </c>
      <c r="AO356" t="str" cm="1">
        <f t="array" ref="AO356">_xlfn.IFS(
Table1[[#This Row],[YearsAtCompany]]&lt;=2,"0-2 Years",
Table1[[#This Row],[YearsAtCompany]]&lt;=5,"3-5 Years",
Table1[[#This Row],[YearsAtCompany]]&lt;=10,"6-10 Years",
TRUE,"10+ Years")</f>
        <v>0-2 Years</v>
      </c>
    </row>
    <row r="357" spans="1:41"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tr">
        <f t="shared" si="10"/>
        <v>Sales</v>
      </c>
      <c r="AK357">
        <f t="shared" si="11"/>
        <v>0</v>
      </c>
      <c r="AL357">
        <f>IF(Table1[[#This Row],[Attrition]]="Yes", Table1[[#This Row],[MonthlyIncome]]*12*1.5, 0)</f>
        <v>0</v>
      </c>
      <c r="AM357" t="str" cm="1">
        <f t="array" ref="AM357">_xlfn.IFS(
Table1[[#This Row],[MonthlyIncome]]&lt;3000,"Under 3K",
Table1[[#This Row],[MonthlyIncome]]&lt;6000,"3K-6K",
Table1[[#This Row],[MonthlyIncome]]&lt;9000,"6K-9K",
Table1[[#This Row],[MonthlyIncome]]&lt;12000,"9K-12K",
TRUE,"12K+")</f>
        <v>3K-6K</v>
      </c>
      <c r="AN357">
        <f>1</f>
        <v>1</v>
      </c>
      <c r="AO357" t="str" cm="1">
        <f t="array" ref="AO357">_xlfn.IFS(
Table1[[#This Row],[YearsAtCompany]]&lt;=2,"0-2 Years",
Table1[[#This Row],[YearsAtCompany]]&lt;=5,"3-5 Years",
Table1[[#This Row],[YearsAtCompany]]&lt;=10,"6-10 Years",
TRUE,"10+ Years")</f>
        <v>6-10 Years</v>
      </c>
    </row>
    <row r="358" spans="1:41"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tr">
        <f t="shared" si="10"/>
        <v>Healthcare</v>
      </c>
      <c r="AK358">
        <f t="shared" si="11"/>
        <v>0</v>
      </c>
      <c r="AL358">
        <f>IF(Table1[[#This Row],[Attrition]]="Yes", Table1[[#This Row],[MonthlyIncome]]*12*1.5, 0)</f>
        <v>0</v>
      </c>
      <c r="AM358" t="str" cm="1">
        <f t="array" ref="AM358">_xlfn.IFS(
Table1[[#This Row],[MonthlyIncome]]&lt;3000,"Under 3K",
Table1[[#This Row],[MonthlyIncome]]&lt;6000,"3K-6K",
Table1[[#This Row],[MonthlyIncome]]&lt;9000,"6K-9K",
Table1[[#This Row],[MonthlyIncome]]&lt;12000,"9K-12K",
TRUE,"12K+")</f>
        <v>6K-9K</v>
      </c>
      <c r="AN358">
        <f>1</f>
        <v>1</v>
      </c>
      <c r="AO358" t="str" cm="1">
        <f t="array" ref="AO358">_xlfn.IFS(
Table1[[#This Row],[YearsAtCompany]]&lt;=2,"0-2 Years",
Table1[[#This Row],[YearsAtCompany]]&lt;=5,"3-5 Years",
Table1[[#This Row],[YearsAtCompany]]&lt;=10,"6-10 Years",
TRUE,"10+ Years")</f>
        <v>0-2 Years</v>
      </c>
    </row>
    <row r="359" spans="1:41"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tr">
        <f t="shared" si="10"/>
        <v>Sales</v>
      </c>
      <c r="AK359">
        <f t="shared" si="11"/>
        <v>1</v>
      </c>
      <c r="AL359">
        <f>IF(Table1[[#This Row],[Attrition]]="Yes", Table1[[#This Row],[MonthlyIncome]]*12*1.5, 0)</f>
        <v>39132</v>
      </c>
      <c r="AM359" t="str" cm="1">
        <f t="array" ref="AM359">_xlfn.IFS(
Table1[[#This Row],[MonthlyIncome]]&lt;3000,"Under 3K",
Table1[[#This Row],[MonthlyIncome]]&lt;6000,"3K-6K",
Table1[[#This Row],[MonthlyIncome]]&lt;9000,"6K-9K",
Table1[[#This Row],[MonthlyIncome]]&lt;12000,"9K-12K",
TRUE,"12K+")</f>
        <v>Under 3K</v>
      </c>
      <c r="AN359">
        <f>1</f>
        <v>1</v>
      </c>
      <c r="AO359" t="str" cm="1">
        <f t="array" ref="AO359">_xlfn.IFS(
Table1[[#This Row],[YearsAtCompany]]&lt;=2,"0-2 Years",
Table1[[#This Row],[YearsAtCompany]]&lt;=5,"3-5 Years",
Table1[[#This Row],[YearsAtCompany]]&lt;=10,"6-10 Years",
TRUE,"10+ Years")</f>
        <v>3-5 Years</v>
      </c>
    </row>
    <row r="360" spans="1:41"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tr">
        <f t="shared" si="10"/>
        <v>Sales</v>
      </c>
      <c r="AK360">
        <f t="shared" si="11"/>
        <v>0</v>
      </c>
      <c r="AL360">
        <f>IF(Table1[[#This Row],[Attrition]]="Yes", Table1[[#This Row],[MonthlyIncome]]*12*1.5, 0)</f>
        <v>0</v>
      </c>
      <c r="AM360" t="str" cm="1">
        <f t="array" ref="AM360">_xlfn.IFS(
Table1[[#This Row],[MonthlyIncome]]&lt;3000,"Under 3K",
Table1[[#This Row],[MonthlyIncome]]&lt;6000,"3K-6K",
Table1[[#This Row],[MonthlyIncome]]&lt;9000,"6K-9K",
Table1[[#This Row],[MonthlyIncome]]&lt;12000,"9K-12K",
TRUE,"12K+")</f>
        <v>6K-9K</v>
      </c>
      <c r="AN360">
        <f>1</f>
        <v>1</v>
      </c>
      <c r="AO360" t="str" cm="1">
        <f t="array" ref="AO360">_xlfn.IFS(
Table1[[#This Row],[YearsAtCompany]]&lt;=2,"0-2 Years",
Table1[[#This Row],[YearsAtCompany]]&lt;=5,"3-5 Years",
Table1[[#This Row],[YearsAtCompany]]&lt;=10,"6-10 Years",
TRUE,"10+ Years")</f>
        <v>0-2 Years</v>
      </c>
    </row>
    <row r="361" spans="1:41"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tr">
        <f t="shared" si="10"/>
        <v>Sales</v>
      </c>
      <c r="AK361">
        <f t="shared" si="11"/>
        <v>0</v>
      </c>
      <c r="AL361">
        <f>IF(Table1[[#This Row],[Attrition]]="Yes", Table1[[#This Row],[MonthlyIncome]]*12*1.5, 0)</f>
        <v>0</v>
      </c>
      <c r="AM361" t="str" cm="1">
        <f t="array" ref="AM361">_xlfn.IFS(
Table1[[#This Row],[MonthlyIncome]]&lt;3000,"Under 3K",
Table1[[#This Row],[MonthlyIncome]]&lt;6000,"3K-6K",
Table1[[#This Row],[MonthlyIncome]]&lt;9000,"6K-9K",
Table1[[#This Row],[MonthlyIncome]]&lt;12000,"9K-12K",
TRUE,"12K+")</f>
        <v>9K-12K</v>
      </c>
      <c r="AN361">
        <f>1</f>
        <v>1</v>
      </c>
      <c r="AO361" t="str" cm="1">
        <f t="array" ref="AO361">_xlfn.IFS(
Table1[[#This Row],[YearsAtCompany]]&lt;=2,"0-2 Years",
Table1[[#This Row],[YearsAtCompany]]&lt;=5,"3-5 Years",
Table1[[#This Row],[YearsAtCompany]]&lt;=10,"6-10 Years",
TRUE,"10+ Years")</f>
        <v>10+ Years</v>
      </c>
    </row>
    <row r="362" spans="1:41"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tr">
        <f t="shared" si="10"/>
        <v>Healthcare</v>
      </c>
      <c r="AK362">
        <f t="shared" si="11"/>
        <v>0</v>
      </c>
      <c r="AL362">
        <f>IF(Table1[[#This Row],[Attrition]]="Yes", Table1[[#This Row],[MonthlyIncome]]*12*1.5, 0)</f>
        <v>0</v>
      </c>
      <c r="AM362" t="str" cm="1">
        <f t="array" ref="AM362">_xlfn.IFS(
Table1[[#This Row],[MonthlyIncome]]&lt;3000,"Under 3K",
Table1[[#This Row],[MonthlyIncome]]&lt;6000,"3K-6K",
Table1[[#This Row],[MonthlyIncome]]&lt;9000,"6K-9K",
Table1[[#This Row],[MonthlyIncome]]&lt;12000,"9K-12K",
TRUE,"12K+")</f>
        <v>6K-9K</v>
      </c>
      <c r="AN362">
        <f>1</f>
        <v>1</v>
      </c>
      <c r="AO362" t="str" cm="1">
        <f t="array" ref="AO362">_xlfn.IFS(
Table1[[#This Row],[YearsAtCompany]]&lt;=2,"0-2 Years",
Table1[[#This Row],[YearsAtCompany]]&lt;=5,"3-5 Years",
Table1[[#This Row],[YearsAtCompany]]&lt;=10,"6-10 Years",
TRUE,"10+ Years")</f>
        <v>3-5 Years</v>
      </c>
    </row>
    <row r="363" spans="1:41"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tr">
        <f t="shared" si="10"/>
        <v>Research</v>
      </c>
      <c r="AK363">
        <f t="shared" si="11"/>
        <v>0</v>
      </c>
      <c r="AL363">
        <f>IF(Table1[[#This Row],[Attrition]]="Yes", Table1[[#This Row],[MonthlyIncome]]*12*1.5, 0)</f>
        <v>0</v>
      </c>
      <c r="AM363" t="str" cm="1">
        <f t="array" ref="AM363">_xlfn.IFS(
Table1[[#This Row],[MonthlyIncome]]&lt;3000,"Under 3K",
Table1[[#This Row],[MonthlyIncome]]&lt;6000,"3K-6K",
Table1[[#This Row],[MonthlyIncome]]&lt;9000,"6K-9K",
Table1[[#This Row],[MonthlyIncome]]&lt;12000,"9K-12K",
TRUE,"12K+")</f>
        <v>Under 3K</v>
      </c>
      <c r="AN363">
        <f>1</f>
        <v>1</v>
      </c>
      <c r="AO363" t="str" cm="1">
        <f t="array" ref="AO363">_xlfn.IFS(
Table1[[#This Row],[YearsAtCompany]]&lt;=2,"0-2 Years",
Table1[[#This Row],[YearsAtCompany]]&lt;=5,"3-5 Years",
Table1[[#This Row],[YearsAtCompany]]&lt;=10,"6-10 Years",
TRUE,"10+ Years")</f>
        <v>6-10 Years</v>
      </c>
    </row>
    <row r="364" spans="1:41"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tr">
        <f t="shared" si="10"/>
        <v>Sales</v>
      </c>
      <c r="AK364">
        <f t="shared" si="11"/>
        <v>0</v>
      </c>
      <c r="AL364">
        <f>IF(Table1[[#This Row],[Attrition]]="Yes", Table1[[#This Row],[MonthlyIncome]]*12*1.5, 0)</f>
        <v>0</v>
      </c>
      <c r="AM364" t="str" cm="1">
        <f t="array" ref="AM364">_xlfn.IFS(
Table1[[#This Row],[MonthlyIncome]]&lt;3000,"Under 3K",
Table1[[#This Row],[MonthlyIncome]]&lt;6000,"3K-6K",
Table1[[#This Row],[MonthlyIncome]]&lt;9000,"6K-9K",
Table1[[#This Row],[MonthlyIncome]]&lt;12000,"9K-12K",
TRUE,"12K+")</f>
        <v>Under 3K</v>
      </c>
      <c r="AN364">
        <f>1</f>
        <v>1</v>
      </c>
      <c r="AO364" t="str" cm="1">
        <f t="array" ref="AO364">_xlfn.IFS(
Table1[[#This Row],[YearsAtCompany]]&lt;=2,"0-2 Years",
Table1[[#This Row],[YearsAtCompany]]&lt;=5,"3-5 Years",
Table1[[#This Row],[YearsAtCompany]]&lt;=10,"6-10 Years",
TRUE,"10+ Years")</f>
        <v>3-5 Years</v>
      </c>
    </row>
    <row r="365" spans="1:41"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tr">
        <f t="shared" si="10"/>
        <v>Sales</v>
      </c>
      <c r="AK365">
        <f t="shared" si="11"/>
        <v>1</v>
      </c>
      <c r="AL365">
        <f>IF(Table1[[#This Row],[Attrition]]="Yes", Table1[[#This Row],[MonthlyIncome]]*12*1.5, 0)</f>
        <v>51318</v>
      </c>
      <c r="AM365" t="str" cm="1">
        <f t="array" ref="AM365">_xlfn.IFS(
Table1[[#This Row],[MonthlyIncome]]&lt;3000,"Under 3K",
Table1[[#This Row],[MonthlyIncome]]&lt;6000,"3K-6K",
Table1[[#This Row],[MonthlyIncome]]&lt;9000,"6K-9K",
Table1[[#This Row],[MonthlyIncome]]&lt;12000,"9K-12K",
TRUE,"12K+")</f>
        <v>Under 3K</v>
      </c>
      <c r="AN365">
        <f>1</f>
        <v>1</v>
      </c>
      <c r="AO365" t="str" cm="1">
        <f t="array" ref="AO365">_xlfn.IFS(
Table1[[#This Row],[YearsAtCompany]]&lt;=2,"0-2 Years",
Table1[[#This Row],[YearsAtCompany]]&lt;=5,"3-5 Years",
Table1[[#This Row],[YearsAtCompany]]&lt;=10,"6-10 Years",
TRUE,"10+ Years")</f>
        <v>0-2 Years</v>
      </c>
    </row>
    <row r="366" spans="1:41"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tr">
        <f t="shared" si="10"/>
        <v>Research</v>
      </c>
      <c r="AK366">
        <f t="shared" si="11"/>
        <v>0</v>
      </c>
      <c r="AL366">
        <f>IF(Table1[[#This Row],[Attrition]]="Yes", Table1[[#This Row],[MonthlyIncome]]*12*1.5, 0)</f>
        <v>0</v>
      </c>
      <c r="AM366" t="str" cm="1">
        <f t="array" ref="AM366">_xlfn.IFS(
Table1[[#This Row],[MonthlyIncome]]&lt;3000,"Under 3K",
Table1[[#This Row],[MonthlyIncome]]&lt;6000,"3K-6K",
Table1[[#This Row],[MonthlyIncome]]&lt;9000,"6K-9K",
Table1[[#This Row],[MonthlyIncome]]&lt;12000,"9K-12K",
TRUE,"12K+")</f>
        <v>3K-6K</v>
      </c>
      <c r="AN366">
        <f>1</f>
        <v>1</v>
      </c>
      <c r="AO366" t="str" cm="1">
        <f t="array" ref="AO366">_xlfn.IFS(
Table1[[#This Row],[YearsAtCompany]]&lt;=2,"0-2 Years",
Table1[[#This Row],[YearsAtCompany]]&lt;=5,"3-5 Years",
Table1[[#This Row],[YearsAtCompany]]&lt;=10,"6-10 Years",
TRUE,"10+ Years")</f>
        <v>3-5 Years</v>
      </c>
    </row>
    <row r="367" spans="1:41"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tr">
        <f t="shared" si="10"/>
        <v>Operations</v>
      </c>
      <c r="AK367">
        <f t="shared" si="11"/>
        <v>0</v>
      </c>
      <c r="AL367">
        <f>IF(Table1[[#This Row],[Attrition]]="Yes", Table1[[#This Row],[MonthlyIncome]]*12*1.5, 0)</f>
        <v>0</v>
      </c>
      <c r="AM367" t="str" cm="1">
        <f t="array" ref="AM367">_xlfn.IFS(
Table1[[#This Row],[MonthlyIncome]]&lt;3000,"Under 3K",
Table1[[#This Row],[MonthlyIncome]]&lt;6000,"3K-6K",
Table1[[#This Row],[MonthlyIncome]]&lt;9000,"6K-9K",
Table1[[#This Row],[MonthlyIncome]]&lt;12000,"9K-12K",
TRUE,"12K+")</f>
        <v>3K-6K</v>
      </c>
      <c r="AN367">
        <f>1</f>
        <v>1</v>
      </c>
      <c r="AO367" t="str" cm="1">
        <f t="array" ref="AO367">_xlfn.IFS(
Table1[[#This Row],[YearsAtCompany]]&lt;=2,"0-2 Years",
Table1[[#This Row],[YearsAtCompany]]&lt;=5,"3-5 Years",
Table1[[#This Row],[YearsAtCompany]]&lt;=10,"6-10 Years",
TRUE,"10+ Years")</f>
        <v>0-2 Years</v>
      </c>
    </row>
    <row r="368" spans="1:41"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tr">
        <f t="shared" si="10"/>
        <v>Sales</v>
      </c>
      <c r="AK368">
        <f t="shared" si="11"/>
        <v>1</v>
      </c>
      <c r="AL368">
        <f>IF(Table1[[#This Row],[Attrition]]="Yes", Table1[[#This Row],[MonthlyIncome]]*12*1.5, 0)</f>
        <v>168390</v>
      </c>
      <c r="AM368" t="str" cm="1">
        <f t="array" ref="AM368">_xlfn.IFS(
Table1[[#This Row],[MonthlyIncome]]&lt;3000,"Under 3K",
Table1[[#This Row],[MonthlyIncome]]&lt;6000,"3K-6K",
Table1[[#This Row],[MonthlyIncome]]&lt;9000,"6K-9K",
Table1[[#This Row],[MonthlyIncome]]&lt;12000,"9K-12K",
TRUE,"12K+")</f>
        <v>9K-12K</v>
      </c>
      <c r="AN368">
        <f>1</f>
        <v>1</v>
      </c>
      <c r="AO368" t="str" cm="1">
        <f t="array" ref="AO368">_xlfn.IFS(
Table1[[#This Row],[YearsAtCompany]]&lt;=2,"0-2 Years",
Table1[[#This Row],[YearsAtCompany]]&lt;=5,"3-5 Years",
Table1[[#This Row],[YearsAtCompany]]&lt;=10,"6-10 Years",
TRUE,"10+ Years")</f>
        <v>6-10 Years</v>
      </c>
    </row>
    <row r="369" spans="1:41"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tr">
        <f t="shared" si="10"/>
        <v>Healthcare</v>
      </c>
      <c r="AK369">
        <f t="shared" si="11"/>
        <v>0</v>
      </c>
      <c r="AL369">
        <f>IF(Table1[[#This Row],[Attrition]]="Yes", Table1[[#This Row],[MonthlyIncome]]*12*1.5, 0)</f>
        <v>0</v>
      </c>
      <c r="AM369" t="str" cm="1">
        <f t="array" ref="AM369">_xlfn.IFS(
Table1[[#This Row],[MonthlyIncome]]&lt;3000,"Under 3K",
Table1[[#This Row],[MonthlyIncome]]&lt;6000,"3K-6K",
Table1[[#This Row],[MonthlyIncome]]&lt;9000,"6K-9K",
Table1[[#This Row],[MonthlyIncome]]&lt;12000,"9K-12K",
TRUE,"12K+")</f>
        <v>9K-12K</v>
      </c>
      <c r="AN369">
        <f>1</f>
        <v>1</v>
      </c>
      <c r="AO369" t="str" cm="1">
        <f t="array" ref="AO369">_xlfn.IFS(
Table1[[#This Row],[YearsAtCompany]]&lt;=2,"0-2 Years",
Table1[[#This Row],[YearsAtCompany]]&lt;=5,"3-5 Years",
Table1[[#This Row],[YearsAtCompany]]&lt;=10,"6-10 Years",
TRUE,"10+ Years")</f>
        <v>3-5 Years</v>
      </c>
    </row>
    <row r="370" spans="1:41"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tr">
        <f t="shared" si="10"/>
        <v>Sales</v>
      </c>
      <c r="AK370">
        <f t="shared" si="11"/>
        <v>1</v>
      </c>
      <c r="AL370">
        <f>IF(Table1[[#This Row],[Attrition]]="Yes", Table1[[#This Row],[MonthlyIncome]]*12*1.5, 0)</f>
        <v>114840</v>
      </c>
      <c r="AM370" t="str" cm="1">
        <f t="array" ref="AM370">_xlfn.IFS(
Table1[[#This Row],[MonthlyIncome]]&lt;3000,"Under 3K",
Table1[[#This Row],[MonthlyIncome]]&lt;6000,"3K-6K",
Table1[[#This Row],[MonthlyIncome]]&lt;9000,"6K-9K",
Table1[[#This Row],[MonthlyIncome]]&lt;12000,"9K-12K",
TRUE,"12K+")</f>
        <v>6K-9K</v>
      </c>
      <c r="AN370">
        <f>1</f>
        <v>1</v>
      </c>
      <c r="AO370" t="str" cm="1">
        <f t="array" ref="AO370">_xlfn.IFS(
Table1[[#This Row],[YearsAtCompany]]&lt;=2,"0-2 Years",
Table1[[#This Row],[YearsAtCompany]]&lt;=5,"3-5 Years",
Table1[[#This Row],[YearsAtCompany]]&lt;=10,"6-10 Years",
TRUE,"10+ Years")</f>
        <v>6-10 Years</v>
      </c>
    </row>
    <row r="371" spans="1:41"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tr">
        <f t="shared" si="10"/>
        <v>Research</v>
      </c>
      <c r="AK371">
        <f t="shared" si="11"/>
        <v>0</v>
      </c>
      <c r="AL371">
        <f>IF(Table1[[#This Row],[Attrition]]="Yes", Table1[[#This Row],[MonthlyIncome]]*12*1.5, 0)</f>
        <v>0</v>
      </c>
      <c r="AM371" t="str" cm="1">
        <f t="array" ref="AM371">_xlfn.IFS(
Table1[[#This Row],[MonthlyIncome]]&lt;3000,"Under 3K",
Table1[[#This Row],[MonthlyIncome]]&lt;6000,"3K-6K",
Table1[[#This Row],[MonthlyIncome]]&lt;9000,"6K-9K",
Table1[[#This Row],[MonthlyIncome]]&lt;12000,"9K-12K",
TRUE,"12K+")</f>
        <v>Under 3K</v>
      </c>
      <c r="AN371">
        <f>1</f>
        <v>1</v>
      </c>
      <c r="AO371" t="str" cm="1">
        <f t="array" ref="AO371">_xlfn.IFS(
Table1[[#This Row],[YearsAtCompany]]&lt;=2,"0-2 Years",
Table1[[#This Row],[YearsAtCompany]]&lt;=5,"3-5 Years",
Table1[[#This Row],[YearsAtCompany]]&lt;=10,"6-10 Years",
TRUE,"10+ Years")</f>
        <v>0-2 Years</v>
      </c>
    </row>
    <row r="372" spans="1:41"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tr">
        <f t="shared" si="10"/>
        <v>Sales</v>
      </c>
      <c r="AK372">
        <f t="shared" si="11"/>
        <v>1</v>
      </c>
      <c r="AL372">
        <f>IF(Table1[[#This Row],[Attrition]]="Yes", Table1[[#This Row],[MonthlyIncome]]*12*1.5, 0)</f>
        <v>48888</v>
      </c>
      <c r="AM372" t="str" cm="1">
        <f t="array" ref="AM372">_xlfn.IFS(
Table1[[#This Row],[MonthlyIncome]]&lt;3000,"Under 3K",
Table1[[#This Row],[MonthlyIncome]]&lt;6000,"3K-6K",
Table1[[#This Row],[MonthlyIncome]]&lt;9000,"6K-9K",
Table1[[#This Row],[MonthlyIncome]]&lt;12000,"9K-12K",
TRUE,"12K+")</f>
        <v>Under 3K</v>
      </c>
      <c r="AN372">
        <f>1</f>
        <v>1</v>
      </c>
      <c r="AO372" t="str" cm="1">
        <f t="array" ref="AO372">_xlfn.IFS(
Table1[[#This Row],[YearsAtCompany]]&lt;=2,"0-2 Years",
Table1[[#This Row],[YearsAtCompany]]&lt;=5,"3-5 Years",
Table1[[#This Row],[YearsAtCompany]]&lt;=10,"6-10 Years",
TRUE,"10+ Years")</f>
        <v>0-2 Years</v>
      </c>
    </row>
    <row r="373" spans="1:41"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tr">
        <f t="shared" si="10"/>
        <v>Research</v>
      </c>
      <c r="AK373">
        <f t="shared" si="11"/>
        <v>0</v>
      </c>
      <c r="AL373">
        <f>IF(Table1[[#This Row],[Attrition]]="Yes", Table1[[#This Row],[MonthlyIncome]]*12*1.5, 0)</f>
        <v>0</v>
      </c>
      <c r="AM373" t="str" cm="1">
        <f t="array" ref="AM373">_xlfn.IFS(
Table1[[#This Row],[MonthlyIncome]]&lt;3000,"Under 3K",
Table1[[#This Row],[MonthlyIncome]]&lt;6000,"3K-6K",
Table1[[#This Row],[MonthlyIncome]]&lt;9000,"6K-9K",
Table1[[#This Row],[MonthlyIncome]]&lt;12000,"9K-12K",
TRUE,"12K+")</f>
        <v>Under 3K</v>
      </c>
      <c r="AN373">
        <f>1</f>
        <v>1</v>
      </c>
      <c r="AO373" t="str" cm="1">
        <f t="array" ref="AO373">_xlfn.IFS(
Table1[[#This Row],[YearsAtCompany]]&lt;=2,"0-2 Years",
Table1[[#This Row],[YearsAtCompany]]&lt;=5,"3-5 Years",
Table1[[#This Row],[YearsAtCompany]]&lt;=10,"6-10 Years",
TRUE,"10+ Years")</f>
        <v>3-5 Years</v>
      </c>
    </row>
    <row r="374" spans="1:41"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tr">
        <f t="shared" si="10"/>
        <v>Healthcare</v>
      </c>
      <c r="AK374">
        <f t="shared" si="11"/>
        <v>0</v>
      </c>
      <c r="AL374">
        <f>IF(Table1[[#This Row],[Attrition]]="Yes", Table1[[#This Row],[MonthlyIncome]]*12*1.5, 0)</f>
        <v>0</v>
      </c>
      <c r="AM374" t="str" cm="1">
        <f t="array" ref="AM374">_xlfn.IFS(
Table1[[#This Row],[MonthlyIncome]]&lt;3000,"Under 3K",
Table1[[#This Row],[MonthlyIncome]]&lt;6000,"3K-6K",
Table1[[#This Row],[MonthlyIncome]]&lt;9000,"6K-9K",
Table1[[#This Row],[MonthlyIncome]]&lt;12000,"9K-12K",
TRUE,"12K+")</f>
        <v>6K-9K</v>
      </c>
      <c r="AN374">
        <f>1</f>
        <v>1</v>
      </c>
      <c r="AO374" t="str" cm="1">
        <f t="array" ref="AO374">_xlfn.IFS(
Table1[[#This Row],[YearsAtCompany]]&lt;=2,"0-2 Years",
Table1[[#This Row],[YearsAtCompany]]&lt;=5,"3-5 Years",
Table1[[#This Row],[YearsAtCompany]]&lt;=10,"6-10 Years",
TRUE,"10+ Years")</f>
        <v>0-2 Years</v>
      </c>
    </row>
    <row r="375" spans="1:41"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tr">
        <f t="shared" si="10"/>
        <v>Research</v>
      </c>
      <c r="AK375">
        <f t="shared" si="11"/>
        <v>0</v>
      </c>
      <c r="AL375">
        <f>IF(Table1[[#This Row],[Attrition]]="Yes", Table1[[#This Row],[MonthlyIncome]]*12*1.5, 0)</f>
        <v>0</v>
      </c>
      <c r="AM375" t="str" cm="1">
        <f t="array" ref="AM375">_xlfn.IFS(
Table1[[#This Row],[MonthlyIncome]]&lt;3000,"Under 3K",
Table1[[#This Row],[MonthlyIncome]]&lt;6000,"3K-6K",
Table1[[#This Row],[MonthlyIncome]]&lt;9000,"6K-9K",
Table1[[#This Row],[MonthlyIncome]]&lt;12000,"9K-12K",
TRUE,"12K+")</f>
        <v>3K-6K</v>
      </c>
      <c r="AN375">
        <f>1</f>
        <v>1</v>
      </c>
      <c r="AO375" t="str" cm="1">
        <f t="array" ref="AO375">_xlfn.IFS(
Table1[[#This Row],[YearsAtCompany]]&lt;=2,"0-2 Years",
Table1[[#This Row],[YearsAtCompany]]&lt;=5,"3-5 Years",
Table1[[#This Row],[YearsAtCompany]]&lt;=10,"6-10 Years",
TRUE,"10+ Years")</f>
        <v>3-5 Years</v>
      </c>
    </row>
    <row r="376" spans="1:41"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tr">
        <f t="shared" si="10"/>
        <v>Sales</v>
      </c>
      <c r="AK376">
        <f t="shared" si="11"/>
        <v>0</v>
      </c>
      <c r="AL376">
        <f>IF(Table1[[#This Row],[Attrition]]="Yes", Table1[[#This Row],[MonthlyIncome]]*12*1.5, 0)</f>
        <v>0</v>
      </c>
      <c r="AM376" t="str" cm="1">
        <f t="array" ref="AM376">_xlfn.IFS(
Table1[[#This Row],[MonthlyIncome]]&lt;3000,"Under 3K",
Table1[[#This Row],[MonthlyIncome]]&lt;6000,"3K-6K",
Table1[[#This Row],[MonthlyIncome]]&lt;9000,"6K-9K",
Table1[[#This Row],[MonthlyIncome]]&lt;12000,"9K-12K",
TRUE,"12K+")</f>
        <v>3K-6K</v>
      </c>
      <c r="AN376">
        <f>1</f>
        <v>1</v>
      </c>
      <c r="AO376" t="str" cm="1">
        <f t="array" ref="AO376">_xlfn.IFS(
Table1[[#This Row],[YearsAtCompany]]&lt;=2,"0-2 Years",
Table1[[#This Row],[YearsAtCompany]]&lt;=5,"3-5 Years",
Table1[[#This Row],[YearsAtCompany]]&lt;=10,"6-10 Years",
TRUE,"10+ Years")</f>
        <v>6-10 Years</v>
      </c>
    </row>
    <row r="377" spans="1:41"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tr">
        <f t="shared" si="10"/>
        <v>Healthcare</v>
      </c>
      <c r="AK377">
        <f t="shared" si="11"/>
        <v>0</v>
      </c>
      <c r="AL377">
        <f>IF(Table1[[#This Row],[Attrition]]="Yes", Table1[[#This Row],[MonthlyIncome]]*12*1.5, 0)</f>
        <v>0</v>
      </c>
      <c r="AM377" t="str" cm="1">
        <f t="array" ref="AM377">_xlfn.IFS(
Table1[[#This Row],[MonthlyIncome]]&lt;3000,"Under 3K",
Table1[[#This Row],[MonthlyIncome]]&lt;6000,"3K-6K",
Table1[[#This Row],[MonthlyIncome]]&lt;9000,"6K-9K",
Table1[[#This Row],[MonthlyIncome]]&lt;12000,"9K-12K",
TRUE,"12K+")</f>
        <v>9K-12K</v>
      </c>
      <c r="AN377">
        <f>1</f>
        <v>1</v>
      </c>
      <c r="AO377" t="str" cm="1">
        <f t="array" ref="AO377">_xlfn.IFS(
Table1[[#This Row],[YearsAtCompany]]&lt;=2,"0-2 Years",
Table1[[#This Row],[YearsAtCompany]]&lt;=5,"3-5 Years",
Table1[[#This Row],[YearsAtCompany]]&lt;=10,"6-10 Years",
TRUE,"10+ Years")</f>
        <v>3-5 Years</v>
      </c>
    </row>
    <row r="378" spans="1:41"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tr">
        <f t="shared" si="10"/>
        <v>Sales</v>
      </c>
      <c r="AK378">
        <f t="shared" si="11"/>
        <v>0</v>
      </c>
      <c r="AL378">
        <f>IF(Table1[[#This Row],[Attrition]]="Yes", Table1[[#This Row],[MonthlyIncome]]*12*1.5, 0)</f>
        <v>0</v>
      </c>
      <c r="AM378" t="str" cm="1">
        <f t="array" ref="AM378">_xlfn.IFS(
Table1[[#This Row],[MonthlyIncome]]&lt;3000,"Under 3K",
Table1[[#This Row],[MonthlyIncome]]&lt;6000,"3K-6K",
Table1[[#This Row],[MonthlyIncome]]&lt;9000,"6K-9K",
Table1[[#This Row],[MonthlyIncome]]&lt;12000,"9K-12K",
TRUE,"12K+")</f>
        <v>3K-6K</v>
      </c>
      <c r="AN378">
        <f>1</f>
        <v>1</v>
      </c>
      <c r="AO378" t="str" cm="1">
        <f t="array" ref="AO378">_xlfn.IFS(
Table1[[#This Row],[YearsAtCompany]]&lt;=2,"0-2 Years",
Table1[[#This Row],[YearsAtCompany]]&lt;=5,"3-5 Years",
Table1[[#This Row],[YearsAtCompany]]&lt;=10,"6-10 Years",
TRUE,"10+ Years")</f>
        <v>6-10 Years</v>
      </c>
    </row>
    <row r="379" spans="1:41"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tr">
        <f t="shared" si="10"/>
        <v>Research</v>
      </c>
      <c r="AK379">
        <f t="shared" si="11"/>
        <v>0</v>
      </c>
      <c r="AL379">
        <f>IF(Table1[[#This Row],[Attrition]]="Yes", Table1[[#This Row],[MonthlyIncome]]*12*1.5, 0)</f>
        <v>0</v>
      </c>
      <c r="AM379" t="str" cm="1">
        <f t="array" ref="AM379">_xlfn.IFS(
Table1[[#This Row],[MonthlyIncome]]&lt;3000,"Under 3K",
Table1[[#This Row],[MonthlyIncome]]&lt;6000,"3K-6K",
Table1[[#This Row],[MonthlyIncome]]&lt;9000,"6K-9K",
Table1[[#This Row],[MonthlyIncome]]&lt;12000,"9K-12K",
TRUE,"12K+")</f>
        <v>Under 3K</v>
      </c>
      <c r="AN379">
        <f>1</f>
        <v>1</v>
      </c>
      <c r="AO379" t="str" cm="1">
        <f t="array" ref="AO379">_xlfn.IFS(
Table1[[#This Row],[YearsAtCompany]]&lt;=2,"0-2 Years",
Table1[[#This Row],[YearsAtCompany]]&lt;=5,"3-5 Years",
Table1[[#This Row],[YearsAtCompany]]&lt;=10,"6-10 Years",
TRUE,"10+ Years")</f>
        <v>0-2 Years</v>
      </c>
    </row>
    <row r="380" spans="1:41"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tr">
        <f t="shared" si="10"/>
        <v>Sales</v>
      </c>
      <c r="AK380">
        <f t="shared" si="11"/>
        <v>1</v>
      </c>
      <c r="AL380">
        <f>IF(Table1[[#This Row],[Attrition]]="Yes", Table1[[#This Row],[MonthlyIncome]]*12*1.5, 0)</f>
        <v>95472</v>
      </c>
      <c r="AM380" t="str" cm="1">
        <f t="array" ref="AM380">_xlfn.IFS(
Table1[[#This Row],[MonthlyIncome]]&lt;3000,"Under 3K",
Table1[[#This Row],[MonthlyIncome]]&lt;6000,"3K-6K",
Table1[[#This Row],[MonthlyIncome]]&lt;9000,"6K-9K",
Table1[[#This Row],[MonthlyIncome]]&lt;12000,"9K-12K",
TRUE,"12K+")</f>
        <v>3K-6K</v>
      </c>
      <c r="AN380">
        <f>1</f>
        <v>1</v>
      </c>
      <c r="AO380" t="str" cm="1">
        <f t="array" ref="AO380">_xlfn.IFS(
Table1[[#This Row],[YearsAtCompany]]&lt;=2,"0-2 Years",
Table1[[#This Row],[YearsAtCompany]]&lt;=5,"3-5 Years",
Table1[[#This Row],[YearsAtCompany]]&lt;=10,"6-10 Years",
TRUE,"10+ Years")</f>
        <v>3-5 Years</v>
      </c>
    </row>
    <row r="381" spans="1:41"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tr">
        <f t="shared" si="10"/>
        <v>Management</v>
      </c>
      <c r="AK381">
        <f t="shared" si="11"/>
        <v>0</v>
      </c>
      <c r="AL381">
        <f>IF(Table1[[#This Row],[Attrition]]="Yes", Table1[[#This Row],[MonthlyIncome]]*12*1.5, 0)</f>
        <v>0</v>
      </c>
      <c r="AM381" t="str" cm="1">
        <f t="array" ref="AM381">_xlfn.IFS(
Table1[[#This Row],[MonthlyIncome]]&lt;3000,"Under 3K",
Table1[[#This Row],[MonthlyIncome]]&lt;6000,"3K-6K",
Table1[[#This Row],[MonthlyIncome]]&lt;9000,"6K-9K",
Table1[[#This Row],[MonthlyIncome]]&lt;12000,"9K-12K",
TRUE,"12K+")</f>
        <v>12K+</v>
      </c>
      <c r="AN381">
        <f>1</f>
        <v>1</v>
      </c>
      <c r="AO381" t="str" cm="1">
        <f t="array" ref="AO381">_xlfn.IFS(
Table1[[#This Row],[YearsAtCompany]]&lt;=2,"0-2 Years",
Table1[[#This Row],[YearsAtCompany]]&lt;=5,"3-5 Years",
Table1[[#This Row],[YearsAtCompany]]&lt;=10,"6-10 Years",
TRUE,"10+ Years")</f>
        <v>3-5 Years</v>
      </c>
    </row>
    <row r="382" spans="1:41"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tr">
        <f t="shared" si="10"/>
        <v>Sales</v>
      </c>
      <c r="AK382">
        <f t="shared" si="11"/>
        <v>0</v>
      </c>
      <c r="AL382">
        <f>IF(Table1[[#This Row],[Attrition]]="Yes", Table1[[#This Row],[MonthlyIncome]]*12*1.5, 0)</f>
        <v>0</v>
      </c>
      <c r="AM382" t="str" cm="1">
        <f t="array" ref="AM382">_xlfn.IFS(
Table1[[#This Row],[MonthlyIncome]]&lt;3000,"Under 3K",
Table1[[#This Row],[MonthlyIncome]]&lt;6000,"3K-6K",
Table1[[#This Row],[MonthlyIncome]]&lt;9000,"6K-9K",
Table1[[#This Row],[MonthlyIncome]]&lt;12000,"9K-12K",
TRUE,"12K+")</f>
        <v>3K-6K</v>
      </c>
      <c r="AN382">
        <f>1</f>
        <v>1</v>
      </c>
      <c r="AO382" t="str" cm="1">
        <f t="array" ref="AO382">_xlfn.IFS(
Table1[[#This Row],[YearsAtCompany]]&lt;=2,"0-2 Years",
Table1[[#This Row],[YearsAtCompany]]&lt;=5,"3-5 Years",
Table1[[#This Row],[YearsAtCompany]]&lt;=10,"6-10 Years",
TRUE,"10+ Years")</f>
        <v>3-5 Years</v>
      </c>
    </row>
    <row r="383" spans="1:41"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tr">
        <f t="shared" si="10"/>
        <v>Sales</v>
      </c>
      <c r="AK383">
        <f t="shared" si="11"/>
        <v>0</v>
      </c>
      <c r="AL383">
        <f>IF(Table1[[#This Row],[Attrition]]="Yes", Table1[[#This Row],[MonthlyIncome]]*12*1.5, 0)</f>
        <v>0</v>
      </c>
      <c r="AM383" t="str" cm="1">
        <f t="array" ref="AM383">_xlfn.IFS(
Table1[[#This Row],[MonthlyIncome]]&lt;3000,"Under 3K",
Table1[[#This Row],[MonthlyIncome]]&lt;6000,"3K-6K",
Table1[[#This Row],[MonthlyIncome]]&lt;9000,"6K-9K",
Table1[[#This Row],[MonthlyIncome]]&lt;12000,"9K-12K",
TRUE,"12K+")</f>
        <v>Under 3K</v>
      </c>
      <c r="AN383">
        <f>1</f>
        <v>1</v>
      </c>
      <c r="AO383" t="str" cm="1">
        <f t="array" ref="AO383">_xlfn.IFS(
Table1[[#This Row],[YearsAtCompany]]&lt;=2,"0-2 Years",
Table1[[#This Row],[YearsAtCompany]]&lt;=5,"3-5 Years",
Table1[[#This Row],[YearsAtCompany]]&lt;=10,"6-10 Years",
TRUE,"10+ Years")</f>
        <v>0-2 Years</v>
      </c>
    </row>
    <row r="384" spans="1:41"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tr">
        <f t="shared" si="10"/>
        <v>Research</v>
      </c>
      <c r="AK384">
        <f t="shared" si="11"/>
        <v>1</v>
      </c>
      <c r="AL384">
        <f>IF(Table1[[#This Row],[Attrition]]="Yes", Table1[[#This Row],[MonthlyIncome]]*12*1.5, 0)</f>
        <v>55836</v>
      </c>
      <c r="AM384" t="str" cm="1">
        <f t="array" ref="AM384">_xlfn.IFS(
Table1[[#This Row],[MonthlyIncome]]&lt;3000,"Under 3K",
Table1[[#This Row],[MonthlyIncome]]&lt;6000,"3K-6K",
Table1[[#This Row],[MonthlyIncome]]&lt;9000,"6K-9K",
Table1[[#This Row],[MonthlyIncome]]&lt;12000,"9K-12K",
TRUE,"12K+")</f>
        <v>3K-6K</v>
      </c>
      <c r="AN384">
        <f>1</f>
        <v>1</v>
      </c>
      <c r="AO384" t="str" cm="1">
        <f t="array" ref="AO384">_xlfn.IFS(
Table1[[#This Row],[YearsAtCompany]]&lt;=2,"0-2 Years",
Table1[[#This Row],[YearsAtCompany]]&lt;=5,"3-5 Years",
Table1[[#This Row],[YearsAtCompany]]&lt;=10,"6-10 Years",
TRUE,"10+ Years")</f>
        <v>6-10 Years</v>
      </c>
    </row>
    <row r="385" spans="1:41"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tr">
        <f t="shared" si="10"/>
        <v>Research</v>
      </c>
      <c r="AK385">
        <f t="shared" si="11"/>
        <v>0</v>
      </c>
      <c r="AL385">
        <f>IF(Table1[[#This Row],[Attrition]]="Yes", Table1[[#This Row],[MonthlyIncome]]*12*1.5, 0)</f>
        <v>0</v>
      </c>
      <c r="AM385" t="str" cm="1">
        <f t="array" ref="AM385">_xlfn.IFS(
Table1[[#This Row],[MonthlyIncome]]&lt;3000,"Under 3K",
Table1[[#This Row],[MonthlyIncome]]&lt;6000,"3K-6K",
Table1[[#This Row],[MonthlyIncome]]&lt;9000,"6K-9K",
Table1[[#This Row],[MonthlyIncome]]&lt;12000,"9K-12K",
TRUE,"12K+")</f>
        <v>Under 3K</v>
      </c>
      <c r="AN385">
        <f>1</f>
        <v>1</v>
      </c>
      <c r="AO385" t="str" cm="1">
        <f t="array" ref="AO385">_xlfn.IFS(
Table1[[#This Row],[YearsAtCompany]]&lt;=2,"0-2 Years",
Table1[[#This Row],[YearsAtCompany]]&lt;=5,"3-5 Years",
Table1[[#This Row],[YearsAtCompany]]&lt;=10,"6-10 Years",
TRUE,"10+ Years")</f>
        <v>0-2 Years</v>
      </c>
    </row>
    <row r="386" spans="1:41"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tr">
        <f t="shared" si="10"/>
        <v>Sales</v>
      </c>
      <c r="AK386">
        <f t="shared" si="11"/>
        <v>0</v>
      </c>
      <c r="AL386">
        <f>IF(Table1[[#This Row],[Attrition]]="Yes", Table1[[#This Row],[MonthlyIncome]]*12*1.5, 0)</f>
        <v>0</v>
      </c>
      <c r="AM386" t="str" cm="1">
        <f t="array" ref="AM386">_xlfn.IFS(
Table1[[#This Row],[MonthlyIncome]]&lt;3000,"Under 3K",
Table1[[#This Row],[MonthlyIncome]]&lt;6000,"3K-6K",
Table1[[#This Row],[MonthlyIncome]]&lt;9000,"6K-9K",
Table1[[#This Row],[MonthlyIncome]]&lt;12000,"9K-12K",
TRUE,"12K+")</f>
        <v>6K-9K</v>
      </c>
      <c r="AN386">
        <f>1</f>
        <v>1</v>
      </c>
      <c r="AO386" t="str" cm="1">
        <f t="array" ref="AO386">_xlfn.IFS(
Table1[[#This Row],[YearsAtCompany]]&lt;=2,"0-2 Years",
Table1[[#This Row],[YearsAtCompany]]&lt;=5,"3-5 Years",
Table1[[#This Row],[YearsAtCompany]]&lt;=10,"6-10 Years",
TRUE,"10+ Years")</f>
        <v>6-10 Years</v>
      </c>
    </row>
    <row r="387" spans="1:41"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tr">
        <f t="shared" ref="AJ387:AJ450" si="12">_xlfn.XLOOKUP(P387, $AP$2:$AP$10,$AQ$2:$AQ$10)</f>
        <v>Research</v>
      </c>
      <c r="AK387">
        <f t="shared" ref="AK387:AK450" si="13">IF(B387 ="Yes",1,0)</f>
        <v>1</v>
      </c>
      <c r="AL387">
        <f>IF(Table1[[#This Row],[Attrition]]="Yes", Table1[[#This Row],[MonthlyIncome]]*12*1.5, 0)</f>
        <v>41130</v>
      </c>
      <c r="AM387" t="str" cm="1">
        <f t="array" ref="AM387">_xlfn.IFS(
Table1[[#This Row],[MonthlyIncome]]&lt;3000,"Under 3K",
Table1[[#This Row],[MonthlyIncome]]&lt;6000,"3K-6K",
Table1[[#This Row],[MonthlyIncome]]&lt;9000,"6K-9K",
Table1[[#This Row],[MonthlyIncome]]&lt;12000,"9K-12K",
TRUE,"12K+")</f>
        <v>Under 3K</v>
      </c>
      <c r="AN387">
        <f>1</f>
        <v>1</v>
      </c>
      <c r="AO387" t="str" cm="1">
        <f t="array" ref="AO387">_xlfn.IFS(
Table1[[#This Row],[YearsAtCompany]]&lt;=2,"0-2 Years",
Table1[[#This Row],[YearsAtCompany]]&lt;=5,"3-5 Years",
Table1[[#This Row],[YearsAtCompany]]&lt;=10,"6-10 Years",
TRUE,"10+ Years")</f>
        <v>0-2 Years</v>
      </c>
    </row>
    <row r="388" spans="1:41"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tr">
        <f t="shared" si="12"/>
        <v>Research</v>
      </c>
      <c r="AK388">
        <f t="shared" si="13"/>
        <v>0</v>
      </c>
      <c r="AL388">
        <f>IF(Table1[[#This Row],[Attrition]]="Yes", Table1[[#This Row],[MonthlyIncome]]*12*1.5, 0)</f>
        <v>0</v>
      </c>
      <c r="AM388" t="str" cm="1">
        <f t="array" ref="AM388">_xlfn.IFS(
Table1[[#This Row],[MonthlyIncome]]&lt;3000,"Under 3K",
Table1[[#This Row],[MonthlyIncome]]&lt;6000,"3K-6K",
Table1[[#This Row],[MonthlyIncome]]&lt;9000,"6K-9K",
Table1[[#This Row],[MonthlyIncome]]&lt;12000,"9K-12K",
TRUE,"12K+")</f>
        <v>3K-6K</v>
      </c>
      <c r="AN388">
        <f>1</f>
        <v>1</v>
      </c>
      <c r="AO388" t="str" cm="1">
        <f t="array" ref="AO388">_xlfn.IFS(
Table1[[#This Row],[YearsAtCompany]]&lt;=2,"0-2 Years",
Table1[[#This Row],[YearsAtCompany]]&lt;=5,"3-5 Years",
Table1[[#This Row],[YearsAtCompany]]&lt;=10,"6-10 Years",
TRUE,"10+ Years")</f>
        <v>10+ Years</v>
      </c>
    </row>
    <row r="389" spans="1:41"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tr">
        <f t="shared" si="12"/>
        <v>Sales</v>
      </c>
      <c r="AK389">
        <f t="shared" si="13"/>
        <v>0</v>
      </c>
      <c r="AL389">
        <f>IF(Table1[[#This Row],[Attrition]]="Yes", Table1[[#This Row],[MonthlyIncome]]*12*1.5, 0)</f>
        <v>0</v>
      </c>
      <c r="AM389" t="str" cm="1">
        <f t="array" ref="AM389">_xlfn.IFS(
Table1[[#This Row],[MonthlyIncome]]&lt;3000,"Under 3K",
Table1[[#This Row],[MonthlyIncome]]&lt;6000,"3K-6K",
Table1[[#This Row],[MonthlyIncome]]&lt;9000,"6K-9K",
Table1[[#This Row],[MonthlyIncome]]&lt;12000,"9K-12K",
TRUE,"12K+")</f>
        <v>3K-6K</v>
      </c>
      <c r="AN389">
        <f>1</f>
        <v>1</v>
      </c>
      <c r="AO389" t="str" cm="1">
        <f t="array" ref="AO389">_xlfn.IFS(
Table1[[#This Row],[YearsAtCompany]]&lt;=2,"0-2 Years",
Table1[[#This Row],[YearsAtCompany]]&lt;=5,"3-5 Years",
Table1[[#This Row],[YearsAtCompany]]&lt;=10,"6-10 Years",
TRUE,"10+ Years")</f>
        <v>3-5 Years</v>
      </c>
    </row>
    <row r="390" spans="1:41"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tr">
        <f t="shared" si="12"/>
        <v>Research</v>
      </c>
      <c r="AK390">
        <f t="shared" si="13"/>
        <v>0</v>
      </c>
      <c r="AL390">
        <f>IF(Table1[[#This Row],[Attrition]]="Yes", Table1[[#This Row],[MonthlyIncome]]*12*1.5, 0)</f>
        <v>0</v>
      </c>
      <c r="AM390" t="str" cm="1">
        <f t="array" ref="AM390">_xlfn.IFS(
Table1[[#This Row],[MonthlyIncome]]&lt;3000,"Under 3K",
Table1[[#This Row],[MonthlyIncome]]&lt;6000,"3K-6K",
Table1[[#This Row],[MonthlyIncome]]&lt;9000,"6K-9K",
Table1[[#This Row],[MonthlyIncome]]&lt;12000,"9K-12K",
TRUE,"12K+")</f>
        <v>Under 3K</v>
      </c>
      <c r="AN390">
        <f>1</f>
        <v>1</v>
      </c>
      <c r="AO390" t="str" cm="1">
        <f t="array" ref="AO390">_xlfn.IFS(
Table1[[#This Row],[YearsAtCompany]]&lt;=2,"0-2 Years",
Table1[[#This Row],[YearsAtCompany]]&lt;=5,"3-5 Years",
Table1[[#This Row],[YearsAtCompany]]&lt;=10,"6-10 Years",
TRUE,"10+ Years")</f>
        <v>3-5 Years</v>
      </c>
    </row>
    <row r="391" spans="1:41"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tr">
        <f t="shared" si="12"/>
        <v>Operations</v>
      </c>
      <c r="AK391">
        <f t="shared" si="13"/>
        <v>0</v>
      </c>
      <c r="AL391">
        <f>IF(Table1[[#This Row],[Attrition]]="Yes", Table1[[#This Row],[MonthlyIncome]]*12*1.5, 0)</f>
        <v>0</v>
      </c>
      <c r="AM391" t="str" cm="1">
        <f t="array" ref="AM391">_xlfn.IFS(
Table1[[#This Row],[MonthlyIncome]]&lt;3000,"Under 3K",
Table1[[#This Row],[MonthlyIncome]]&lt;6000,"3K-6K",
Table1[[#This Row],[MonthlyIncome]]&lt;9000,"6K-9K",
Table1[[#This Row],[MonthlyIncome]]&lt;12000,"9K-12K",
TRUE,"12K+")</f>
        <v>3K-6K</v>
      </c>
      <c r="AN391">
        <f>1</f>
        <v>1</v>
      </c>
      <c r="AO391" t="str" cm="1">
        <f t="array" ref="AO391">_xlfn.IFS(
Table1[[#This Row],[YearsAtCompany]]&lt;=2,"0-2 Years",
Table1[[#This Row],[YearsAtCompany]]&lt;=5,"3-5 Years",
Table1[[#This Row],[YearsAtCompany]]&lt;=10,"6-10 Years",
TRUE,"10+ Years")</f>
        <v>0-2 Years</v>
      </c>
    </row>
    <row r="392" spans="1:41"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tr">
        <f t="shared" si="12"/>
        <v>Research</v>
      </c>
      <c r="AK392">
        <f t="shared" si="13"/>
        <v>0</v>
      </c>
      <c r="AL392">
        <f>IF(Table1[[#This Row],[Attrition]]="Yes", Table1[[#This Row],[MonthlyIncome]]*12*1.5, 0)</f>
        <v>0</v>
      </c>
      <c r="AM392" t="str" cm="1">
        <f t="array" ref="AM392">_xlfn.IFS(
Table1[[#This Row],[MonthlyIncome]]&lt;3000,"Under 3K",
Table1[[#This Row],[MonthlyIncome]]&lt;6000,"3K-6K",
Table1[[#This Row],[MonthlyIncome]]&lt;9000,"6K-9K",
Table1[[#This Row],[MonthlyIncome]]&lt;12000,"9K-12K",
TRUE,"12K+")</f>
        <v>12K+</v>
      </c>
      <c r="AN392">
        <f>1</f>
        <v>1</v>
      </c>
      <c r="AO392" t="str" cm="1">
        <f t="array" ref="AO392">_xlfn.IFS(
Table1[[#This Row],[YearsAtCompany]]&lt;=2,"0-2 Years",
Table1[[#This Row],[YearsAtCompany]]&lt;=5,"3-5 Years",
Table1[[#This Row],[YearsAtCompany]]&lt;=10,"6-10 Years",
TRUE,"10+ Years")</f>
        <v>10+ Years</v>
      </c>
    </row>
    <row r="393" spans="1:41"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tr">
        <f t="shared" si="12"/>
        <v>Research</v>
      </c>
      <c r="AK393">
        <f t="shared" si="13"/>
        <v>0</v>
      </c>
      <c r="AL393">
        <f>IF(Table1[[#This Row],[Attrition]]="Yes", Table1[[#This Row],[MonthlyIncome]]*12*1.5, 0)</f>
        <v>0</v>
      </c>
      <c r="AM393" t="str" cm="1">
        <f t="array" ref="AM393">_xlfn.IFS(
Table1[[#This Row],[MonthlyIncome]]&lt;3000,"Under 3K",
Table1[[#This Row],[MonthlyIncome]]&lt;6000,"3K-6K",
Table1[[#This Row],[MonthlyIncome]]&lt;9000,"6K-9K",
Table1[[#This Row],[MonthlyIncome]]&lt;12000,"9K-12K",
TRUE,"12K+")</f>
        <v>3K-6K</v>
      </c>
      <c r="AN393">
        <f>1</f>
        <v>1</v>
      </c>
      <c r="AO393" t="str" cm="1">
        <f t="array" ref="AO393">_xlfn.IFS(
Table1[[#This Row],[YearsAtCompany]]&lt;=2,"0-2 Years",
Table1[[#This Row],[YearsAtCompany]]&lt;=5,"3-5 Years",
Table1[[#This Row],[YearsAtCompany]]&lt;=10,"6-10 Years",
TRUE,"10+ Years")</f>
        <v>0-2 Years</v>
      </c>
    </row>
    <row r="394" spans="1:41"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tr">
        <f t="shared" si="12"/>
        <v>Research</v>
      </c>
      <c r="AK394">
        <f t="shared" si="13"/>
        <v>0</v>
      </c>
      <c r="AL394">
        <f>IF(Table1[[#This Row],[Attrition]]="Yes", Table1[[#This Row],[MonthlyIncome]]*12*1.5, 0)</f>
        <v>0</v>
      </c>
      <c r="AM394" t="str" cm="1">
        <f t="array" ref="AM394">_xlfn.IFS(
Table1[[#This Row],[MonthlyIncome]]&lt;3000,"Under 3K",
Table1[[#This Row],[MonthlyIncome]]&lt;6000,"3K-6K",
Table1[[#This Row],[MonthlyIncome]]&lt;9000,"6K-9K",
Table1[[#This Row],[MonthlyIncome]]&lt;12000,"9K-12K",
TRUE,"12K+")</f>
        <v>12K+</v>
      </c>
      <c r="AN394">
        <f>1</f>
        <v>1</v>
      </c>
      <c r="AO394" t="str" cm="1">
        <f t="array" ref="AO394">_xlfn.IFS(
Table1[[#This Row],[YearsAtCompany]]&lt;=2,"0-2 Years",
Table1[[#This Row],[YearsAtCompany]]&lt;=5,"3-5 Years",
Table1[[#This Row],[YearsAtCompany]]&lt;=10,"6-10 Years",
TRUE,"10+ Years")</f>
        <v>3-5 Years</v>
      </c>
    </row>
    <row r="395" spans="1:41"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tr">
        <f t="shared" si="12"/>
        <v>Sales</v>
      </c>
      <c r="AK395">
        <f t="shared" si="13"/>
        <v>0</v>
      </c>
      <c r="AL395">
        <f>IF(Table1[[#This Row],[Attrition]]="Yes", Table1[[#This Row],[MonthlyIncome]]*12*1.5, 0)</f>
        <v>0</v>
      </c>
      <c r="AM395" t="str" cm="1">
        <f t="array" ref="AM395">_xlfn.IFS(
Table1[[#This Row],[MonthlyIncome]]&lt;3000,"Under 3K",
Table1[[#This Row],[MonthlyIncome]]&lt;6000,"3K-6K",
Table1[[#This Row],[MonthlyIncome]]&lt;9000,"6K-9K",
Table1[[#This Row],[MonthlyIncome]]&lt;12000,"9K-12K",
TRUE,"12K+")</f>
        <v>6K-9K</v>
      </c>
      <c r="AN395">
        <f>1</f>
        <v>1</v>
      </c>
      <c r="AO395" t="str" cm="1">
        <f t="array" ref="AO395">_xlfn.IFS(
Table1[[#This Row],[YearsAtCompany]]&lt;=2,"0-2 Years",
Table1[[#This Row],[YearsAtCompany]]&lt;=5,"3-5 Years",
Table1[[#This Row],[YearsAtCompany]]&lt;=10,"6-10 Years",
TRUE,"10+ Years")</f>
        <v>3-5 Years</v>
      </c>
    </row>
    <row r="396" spans="1:41"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tr">
        <f t="shared" si="12"/>
        <v>Operations</v>
      </c>
      <c r="AK396">
        <f t="shared" si="13"/>
        <v>0</v>
      </c>
      <c r="AL396">
        <f>IF(Table1[[#This Row],[Attrition]]="Yes", Table1[[#This Row],[MonthlyIncome]]*12*1.5, 0)</f>
        <v>0</v>
      </c>
      <c r="AM396" t="str" cm="1">
        <f t="array" ref="AM396">_xlfn.IFS(
Table1[[#This Row],[MonthlyIncome]]&lt;3000,"Under 3K",
Table1[[#This Row],[MonthlyIncome]]&lt;6000,"3K-6K",
Table1[[#This Row],[MonthlyIncome]]&lt;9000,"6K-9K",
Table1[[#This Row],[MonthlyIncome]]&lt;12000,"9K-12K",
TRUE,"12K+")</f>
        <v>3K-6K</v>
      </c>
      <c r="AN396">
        <f>1</f>
        <v>1</v>
      </c>
      <c r="AO396" t="str" cm="1">
        <f t="array" ref="AO396">_xlfn.IFS(
Table1[[#This Row],[YearsAtCompany]]&lt;=2,"0-2 Years",
Table1[[#This Row],[YearsAtCompany]]&lt;=5,"3-5 Years",
Table1[[#This Row],[YearsAtCompany]]&lt;=10,"6-10 Years",
TRUE,"10+ Years")</f>
        <v>10+ Years</v>
      </c>
    </row>
    <row r="397" spans="1:41"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tr">
        <f t="shared" si="12"/>
        <v>Research</v>
      </c>
      <c r="AK397">
        <f t="shared" si="13"/>
        <v>0</v>
      </c>
      <c r="AL397">
        <f>IF(Table1[[#This Row],[Attrition]]="Yes", Table1[[#This Row],[MonthlyIncome]]*12*1.5, 0)</f>
        <v>0</v>
      </c>
      <c r="AM397" t="str" cm="1">
        <f t="array" ref="AM397">_xlfn.IFS(
Table1[[#This Row],[MonthlyIncome]]&lt;3000,"Under 3K",
Table1[[#This Row],[MonthlyIncome]]&lt;6000,"3K-6K",
Table1[[#This Row],[MonthlyIncome]]&lt;9000,"6K-9K",
Table1[[#This Row],[MonthlyIncome]]&lt;12000,"9K-12K",
TRUE,"12K+")</f>
        <v>Under 3K</v>
      </c>
      <c r="AN397">
        <f>1</f>
        <v>1</v>
      </c>
      <c r="AO397" t="str" cm="1">
        <f t="array" ref="AO397">_xlfn.IFS(
Table1[[#This Row],[YearsAtCompany]]&lt;=2,"0-2 Years",
Table1[[#This Row],[YearsAtCompany]]&lt;=5,"3-5 Years",
Table1[[#This Row],[YearsAtCompany]]&lt;=10,"6-10 Years",
TRUE,"10+ Years")</f>
        <v>3-5 Years</v>
      </c>
    </row>
    <row r="398" spans="1:41"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tr">
        <f t="shared" si="12"/>
        <v>Healthcare</v>
      </c>
      <c r="AK398">
        <f t="shared" si="13"/>
        <v>0</v>
      </c>
      <c r="AL398">
        <f>IF(Table1[[#This Row],[Attrition]]="Yes", Table1[[#This Row],[MonthlyIncome]]*12*1.5, 0)</f>
        <v>0</v>
      </c>
      <c r="AM398" t="str" cm="1">
        <f t="array" ref="AM398">_xlfn.IFS(
Table1[[#This Row],[MonthlyIncome]]&lt;3000,"Under 3K",
Table1[[#This Row],[MonthlyIncome]]&lt;6000,"3K-6K",
Table1[[#This Row],[MonthlyIncome]]&lt;9000,"6K-9K",
Table1[[#This Row],[MonthlyIncome]]&lt;12000,"9K-12K",
TRUE,"12K+")</f>
        <v>3K-6K</v>
      </c>
      <c r="AN398">
        <f>1</f>
        <v>1</v>
      </c>
      <c r="AO398" t="str" cm="1">
        <f t="array" ref="AO398">_xlfn.IFS(
Table1[[#This Row],[YearsAtCompany]]&lt;=2,"0-2 Years",
Table1[[#This Row],[YearsAtCompany]]&lt;=5,"3-5 Years",
Table1[[#This Row],[YearsAtCompany]]&lt;=10,"6-10 Years",
TRUE,"10+ Years")</f>
        <v>3-5 Years</v>
      </c>
    </row>
    <row r="399" spans="1:41"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tr">
        <f t="shared" si="12"/>
        <v>Sales</v>
      </c>
      <c r="AK399">
        <f t="shared" si="13"/>
        <v>0</v>
      </c>
      <c r="AL399">
        <f>IF(Table1[[#This Row],[Attrition]]="Yes", Table1[[#This Row],[MonthlyIncome]]*12*1.5, 0)</f>
        <v>0</v>
      </c>
      <c r="AM399" t="str" cm="1">
        <f t="array" ref="AM399">_xlfn.IFS(
Table1[[#This Row],[MonthlyIncome]]&lt;3000,"Under 3K",
Table1[[#This Row],[MonthlyIncome]]&lt;6000,"3K-6K",
Table1[[#This Row],[MonthlyIncome]]&lt;9000,"6K-9K",
Table1[[#This Row],[MonthlyIncome]]&lt;12000,"9K-12K",
TRUE,"12K+")</f>
        <v>3K-6K</v>
      </c>
      <c r="AN399">
        <f>1</f>
        <v>1</v>
      </c>
      <c r="AO399" t="str" cm="1">
        <f t="array" ref="AO399">_xlfn.IFS(
Table1[[#This Row],[YearsAtCompany]]&lt;=2,"0-2 Years",
Table1[[#This Row],[YearsAtCompany]]&lt;=5,"3-5 Years",
Table1[[#This Row],[YearsAtCompany]]&lt;=10,"6-10 Years",
TRUE,"10+ Years")</f>
        <v>3-5 Years</v>
      </c>
    </row>
    <row r="400" spans="1:41"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tr">
        <f t="shared" si="12"/>
        <v>Research</v>
      </c>
      <c r="AK400">
        <f t="shared" si="13"/>
        <v>0</v>
      </c>
      <c r="AL400">
        <f>IF(Table1[[#This Row],[Attrition]]="Yes", Table1[[#This Row],[MonthlyIncome]]*12*1.5, 0)</f>
        <v>0</v>
      </c>
      <c r="AM400" t="str" cm="1">
        <f t="array" ref="AM400">_xlfn.IFS(
Table1[[#This Row],[MonthlyIncome]]&lt;3000,"Under 3K",
Table1[[#This Row],[MonthlyIncome]]&lt;6000,"3K-6K",
Table1[[#This Row],[MonthlyIncome]]&lt;9000,"6K-9K",
Table1[[#This Row],[MonthlyIncome]]&lt;12000,"9K-12K",
TRUE,"12K+")</f>
        <v>3K-6K</v>
      </c>
      <c r="AN400">
        <f>1</f>
        <v>1</v>
      </c>
      <c r="AO400" t="str" cm="1">
        <f t="array" ref="AO400">_xlfn.IFS(
Table1[[#This Row],[YearsAtCompany]]&lt;=2,"0-2 Years",
Table1[[#This Row],[YearsAtCompany]]&lt;=5,"3-5 Years",
Table1[[#This Row],[YearsAtCompany]]&lt;=10,"6-10 Years",
TRUE,"10+ Years")</f>
        <v>10+ Years</v>
      </c>
    </row>
    <row r="401" spans="1:41"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tr">
        <f t="shared" si="12"/>
        <v>Research</v>
      </c>
      <c r="AK401">
        <f t="shared" si="13"/>
        <v>0</v>
      </c>
      <c r="AL401">
        <f>IF(Table1[[#This Row],[Attrition]]="Yes", Table1[[#This Row],[MonthlyIncome]]*12*1.5, 0)</f>
        <v>0</v>
      </c>
      <c r="AM401" t="str" cm="1">
        <f t="array" ref="AM401">_xlfn.IFS(
Table1[[#This Row],[MonthlyIncome]]&lt;3000,"Under 3K",
Table1[[#This Row],[MonthlyIncome]]&lt;6000,"3K-6K",
Table1[[#This Row],[MonthlyIncome]]&lt;9000,"6K-9K",
Table1[[#This Row],[MonthlyIncome]]&lt;12000,"9K-12K",
TRUE,"12K+")</f>
        <v>Under 3K</v>
      </c>
      <c r="AN401">
        <f>1</f>
        <v>1</v>
      </c>
      <c r="AO401" t="str" cm="1">
        <f t="array" ref="AO401">_xlfn.IFS(
Table1[[#This Row],[YearsAtCompany]]&lt;=2,"0-2 Years",
Table1[[#This Row],[YearsAtCompany]]&lt;=5,"3-5 Years",
Table1[[#This Row],[YearsAtCompany]]&lt;=10,"6-10 Years",
TRUE,"10+ Years")</f>
        <v>3-5 Years</v>
      </c>
    </row>
    <row r="402" spans="1:41"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tr">
        <f t="shared" si="12"/>
        <v>Management</v>
      </c>
      <c r="AK402">
        <f t="shared" si="13"/>
        <v>0</v>
      </c>
      <c r="AL402">
        <f>IF(Table1[[#This Row],[Attrition]]="Yes", Table1[[#This Row],[MonthlyIncome]]*12*1.5, 0)</f>
        <v>0</v>
      </c>
      <c r="AM402" t="str" cm="1">
        <f t="array" ref="AM402">_xlfn.IFS(
Table1[[#This Row],[MonthlyIncome]]&lt;3000,"Under 3K",
Table1[[#This Row],[MonthlyIncome]]&lt;6000,"3K-6K",
Table1[[#This Row],[MonthlyIncome]]&lt;9000,"6K-9K",
Table1[[#This Row],[MonthlyIncome]]&lt;12000,"9K-12K",
TRUE,"12K+")</f>
        <v>12K+</v>
      </c>
      <c r="AN402">
        <f>1</f>
        <v>1</v>
      </c>
      <c r="AO402" t="str" cm="1">
        <f t="array" ref="AO402">_xlfn.IFS(
Table1[[#This Row],[YearsAtCompany]]&lt;=2,"0-2 Years",
Table1[[#This Row],[YearsAtCompany]]&lt;=5,"3-5 Years",
Table1[[#This Row],[YearsAtCompany]]&lt;=10,"6-10 Years",
TRUE,"10+ Years")</f>
        <v>10+ Years</v>
      </c>
    </row>
    <row r="403" spans="1:41"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tr">
        <f t="shared" si="12"/>
        <v>Sales</v>
      </c>
      <c r="AK403">
        <f t="shared" si="13"/>
        <v>0</v>
      </c>
      <c r="AL403">
        <f>IF(Table1[[#This Row],[Attrition]]="Yes", Table1[[#This Row],[MonthlyIncome]]*12*1.5, 0)</f>
        <v>0</v>
      </c>
      <c r="AM403" t="str" cm="1">
        <f t="array" ref="AM403">_xlfn.IFS(
Table1[[#This Row],[MonthlyIncome]]&lt;3000,"Under 3K",
Table1[[#This Row],[MonthlyIncome]]&lt;6000,"3K-6K",
Table1[[#This Row],[MonthlyIncome]]&lt;9000,"6K-9K",
Table1[[#This Row],[MonthlyIncome]]&lt;12000,"9K-12K",
TRUE,"12K+")</f>
        <v>12K+</v>
      </c>
      <c r="AN403">
        <f>1</f>
        <v>1</v>
      </c>
      <c r="AO403" t="str" cm="1">
        <f t="array" ref="AO403">_xlfn.IFS(
Table1[[#This Row],[YearsAtCompany]]&lt;=2,"0-2 Years",
Table1[[#This Row],[YearsAtCompany]]&lt;=5,"3-5 Years",
Table1[[#This Row],[YearsAtCompany]]&lt;=10,"6-10 Years",
TRUE,"10+ Years")</f>
        <v>6-10 Years</v>
      </c>
    </row>
    <row r="404" spans="1:41"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tr">
        <f t="shared" si="12"/>
        <v>Sales</v>
      </c>
      <c r="AK404">
        <f t="shared" si="13"/>
        <v>0</v>
      </c>
      <c r="AL404">
        <f>IF(Table1[[#This Row],[Attrition]]="Yes", Table1[[#This Row],[MonthlyIncome]]*12*1.5, 0)</f>
        <v>0</v>
      </c>
      <c r="AM404" t="str" cm="1">
        <f t="array" ref="AM404">_xlfn.IFS(
Table1[[#This Row],[MonthlyIncome]]&lt;3000,"Under 3K",
Table1[[#This Row],[MonthlyIncome]]&lt;6000,"3K-6K",
Table1[[#This Row],[MonthlyIncome]]&lt;9000,"6K-9K",
Table1[[#This Row],[MonthlyIncome]]&lt;12000,"9K-12K",
TRUE,"12K+")</f>
        <v>6K-9K</v>
      </c>
      <c r="AN404">
        <f>1</f>
        <v>1</v>
      </c>
      <c r="AO404" t="str" cm="1">
        <f t="array" ref="AO404">_xlfn.IFS(
Table1[[#This Row],[YearsAtCompany]]&lt;=2,"0-2 Years",
Table1[[#This Row],[YearsAtCompany]]&lt;=5,"3-5 Years",
Table1[[#This Row],[YearsAtCompany]]&lt;=10,"6-10 Years",
TRUE,"10+ Years")</f>
        <v>3-5 Years</v>
      </c>
    </row>
    <row r="405" spans="1:41"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tr">
        <f t="shared" si="12"/>
        <v>Sales</v>
      </c>
      <c r="AK405">
        <f t="shared" si="13"/>
        <v>0</v>
      </c>
      <c r="AL405">
        <f>IF(Table1[[#This Row],[Attrition]]="Yes", Table1[[#This Row],[MonthlyIncome]]*12*1.5, 0)</f>
        <v>0</v>
      </c>
      <c r="AM405" t="str" cm="1">
        <f t="array" ref="AM405">_xlfn.IFS(
Table1[[#This Row],[MonthlyIncome]]&lt;3000,"Under 3K",
Table1[[#This Row],[MonthlyIncome]]&lt;6000,"3K-6K",
Table1[[#This Row],[MonthlyIncome]]&lt;9000,"6K-9K",
Table1[[#This Row],[MonthlyIncome]]&lt;12000,"9K-12K",
TRUE,"12K+")</f>
        <v>6K-9K</v>
      </c>
      <c r="AN405">
        <f>1</f>
        <v>1</v>
      </c>
      <c r="AO405" t="str" cm="1">
        <f t="array" ref="AO405">_xlfn.IFS(
Table1[[#This Row],[YearsAtCompany]]&lt;=2,"0-2 Years",
Table1[[#This Row],[YearsAtCompany]]&lt;=5,"3-5 Years",
Table1[[#This Row],[YearsAtCompany]]&lt;=10,"6-10 Years",
TRUE,"10+ Years")</f>
        <v>6-10 Years</v>
      </c>
    </row>
    <row r="406" spans="1:41"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tr">
        <f t="shared" si="12"/>
        <v>Research</v>
      </c>
      <c r="AK406">
        <f t="shared" si="13"/>
        <v>0</v>
      </c>
      <c r="AL406">
        <f>IF(Table1[[#This Row],[Attrition]]="Yes", Table1[[#This Row],[MonthlyIncome]]*12*1.5, 0)</f>
        <v>0</v>
      </c>
      <c r="AM406" t="str" cm="1">
        <f t="array" ref="AM406">_xlfn.IFS(
Table1[[#This Row],[MonthlyIncome]]&lt;3000,"Under 3K",
Table1[[#This Row],[MonthlyIncome]]&lt;6000,"3K-6K",
Table1[[#This Row],[MonthlyIncome]]&lt;9000,"6K-9K",
Table1[[#This Row],[MonthlyIncome]]&lt;12000,"9K-12K",
TRUE,"12K+")</f>
        <v>3K-6K</v>
      </c>
      <c r="AN406">
        <f>1</f>
        <v>1</v>
      </c>
      <c r="AO406" t="str" cm="1">
        <f t="array" ref="AO406">_xlfn.IFS(
Table1[[#This Row],[YearsAtCompany]]&lt;=2,"0-2 Years",
Table1[[#This Row],[YearsAtCompany]]&lt;=5,"3-5 Years",
Table1[[#This Row],[YearsAtCompany]]&lt;=10,"6-10 Years",
TRUE,"10+ Years")</f>
        <v>6-10 Years</v>
      </c>
    </row>
    <row r="407" spans="1:41"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tr">
        <f t="shared" si="12"/>
        <v>Research</v>
      </c>
      <c r="AK407">
        <f t="shared" si="13"/>
        <v>1</v>
      </c>
      <c r="AL407">
        <f>IF(Table1[[#This Row],[Attrition]]="Yes", Table1[[#This Row],[MonthlyIncome]]*12*1.5, 0)</f>
        <v>72558</v>
      </c>
      <c r="AM407" t="str" cm="1">
        <f t="array" ref="AM407">_xlfn.IFS(
Table1[[#This Row],[MonthlyIncome]]&lt;3000,"Under 3K",
Table1[[#This Row],[MonthlyIncome]]&lt;6000,"3K-6K",
Table1[[#This Row],[MonthlyIncome]]&lt;9000,"6K-9K",
Table1[[#This Row],[MonthlyIncome]]&lt;12000,"9K-12K",
TRUE,"12K+")</f>
        <v>3K-6K</v>
      </c>
      <c r="AN407">
        <f>1</f>
        <v>1</v>
      </c>
      <c r="AO407" t="str" cm="1">
        <f t="array" ref="AO407">_xlfn.IFS(
Table1[[#This Row],[YearsAtCompany]]&lt;=2,"0-2 Years",
Table1[[#This Row],[YearsAtCompany]]&lt;=5,"3-5 Years",
Table1[[#This Row],[YearsAtCompany]]&lt;=10,"6-10 Years",
TRUE,"10+ Years")</f>
        <v>0-2 Years</v>
      </c>
    </row>
    <row r="408" spans="1:41"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tr">
        <f t="shared" si="12"/>
        <v>Operations</v>
      </c>
      <c r="AK408">
        <f t="shared" si="13"/>
        <v>0</v>
      </c>
      <c r="AL408">
        <f>IF(Table1[[#This Row],[Attrition]]="Yes", Table1[[#This Row],[MonthlyIncome]]*12*1.5, 0)</f>
        <v>0</v>
      </c>
      <c r="AM408" t="str" cm="1">
        <f t="array" ref="AM408">_xlfn.IFS(
Table1[[#This Row],[MonthlyIncome]]&lt;3000,"Under 3K",
Table1[[#This Row],[MonthlyIncome]]&lt;6000,"3K-6K",
Table1[[#This Row],[MonthlyIncome]]&lt;9000,"6K-9K",
Table1[[#This Row],[MonthlyIncome]]&lt;12000,"9K-12K",
TRUE,"12K+")</f>
        <v>6K-9K</v>
      </c>
      <c r="AN408">
        <f>1</f>
        <v>1</v>
      </c>
      <c r="AO408" t="str" cm="1">
        <f t="array" ref="AO408">_xlfn.IFS(
Table1[[#This Row],[YearsAtCompany]]&lt;=2,"0-2 Years",
Table1[[#This Row],[YearsAtCompany]]&lt;=5,"3-5 Years",
Table1[[#This Row],[YearsAtCompany]]&lt;=10,"6-10 Years",
TRUE,"10+ Years")</f>
        <v>3-5 Years</v>
      </c>
    </row>
    <row r="409" spans="1:41"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tr">
        <f t="shared" si="12"/>
        <v>Research</v>
      </c>
      <c r="AK409">
        <f t="shared" si="13"/>
        <v>0</v>
      </c>
      <c r="AL409">
        <f>IF(Table1[[#This Row],[Attrition]]="Yes", Table1[[#This Row],[MonthlyIncome]]*12*1.5, 0)</f>
        <v>0</v>
      </c>
      <c r="AM409" t="str" cm="1">
        <f t="array" ref="AM409">_xlfn.IFS(
Table1[[#This Row],[MonthlyIncome]]&lt;3000,"Under 3K",
Table1[[#This Row],[MonthlyIncome]]&lt;6000,"3K-6K",
Table1[[#This Row],[MonthlyIncome]]&lt;9000,"6K-9K",
Table1[[#This Row],[MonthlyIncome]]&lt;12000,"9K-12K",
TRUE,"12K+")</f>
        <v>Under 3K</v>
      </c>
      <c r="AN409">
        <f>1</f>
        <v>1</v>
      </c>
      <c r="AO409" t="str" cm="1">
        <f t="array" ref="AO409">_xlfn.IFS(
Table1[[#This Row],[YearsAtCompany]]&lt;=2,"0-2 Years",
Table1[[#This Row],[YearsAtCompany]]&lt;=5,"3-5 Years",
Table1[[#This Row],[YearsAtCompany]]&lt;=10,"6-10 Years",
TRUE,"10+ Years")</f>
        <v>0-2 Years</v>
      </c>
    </row>
    <row r="410" spans="1:41"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tr">
        <f t="shared" si="12"/>
        <v>Management</v>
      </c>
      <c r="AK410">
        <f t="shared" si="13"/>
        <v>0</v>
      </c>
      <c r="AL410">
        <f>IF(Table1[[#This Row],[Attrition]]="Yes", Table1[[#This Row],[MonthlyIncome]]*12*1.5, 0)</f>
        <v>0</v>
      </c>
      <c r="AM410" t="str" cm="1">
        <f t="array" ref="AM410">_xlfn.IFS(
Table1[[#This Row],[MonthlyIncome]]&lt;3000,"Under 3K",
Table1[[#This Row],[MonthlyIncome]]&lt;6000,"3K-6K",
Table1[[#This Row],[MonthlyIncome]]&lt;9000,"6K-9K",
Table1[[#This Row],[MonthlyIncome]]&lt;12000,"9K-12K",
TRUE,"12K+")</f>
        <v>12K+</v>
      </c>
      <c r="AN410">
        <f>1</f>
        <v>1</v>
      </c>
      <c r="AO410" t="str" cm="1">
        <f t="array" ref="AO410">_xlfn.IFS(
Table1[[#This Row],[YearsAtCompany]]&lt;=2,"0-2 Years",
Table1[[#This Row],[YearsAtCompany]]&lt;=5,"3-5 Years",
Table1[[#This Row],[YearsAtCompany]]&lt;=10,"6-10 Years",
TRUE,"10+ Years")</f>
        <v>3-5 Years</v>
      </c>
    </row>
    <row r="411" spans="1:41"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tr">
        <f t="shared" si="12"/>
        <v>Research</v>
      </c>
      <c r="AK411">
        <f t="shared" si="13"/>
        <v>0</v>
      </c>
      <c r="AL411">
        <f>IF(Table1[[#This Row],[Attrition]]="Yes", Table1[[#This Row],[MonthlyIncome]]*12*1.5, 0)</f>
        <v>0</v>
      </c>
      <c r="AM411" t="str" cm="1">
        <f t="array" ref="AM411">_xlfn.IFS(
Table1[[#This Row],[MonthlyIncome]]&lt;3000,"Under 3K",
Table1[[#This Row],[MonthlyIncome]]&lt;6000,"3K-6K",
Table1[[#This Row],[MonthlyIncome]]&lt;9000,"6K-9K",
Table1[[#This Row],[MonthlyIncome]]&lt;12000,"9K-12K",
TRUE,"12K+")</f>
        <v>3K-6K</v>
      </c>
      <c r="AN411">
        <f>1</f>
        <v>1</v>
      </c>
      <c r="AO411" t="str" cm="1">
        <f t="array" ref="AO411">_xlfn.IFS(
Table1[[#This Row],[YearsAtCompany]]&lt;=2,"0-2 Years",
Table1[[#This Row],[YearsAtCompany]]&lt;=5,"3-5 Years",
Table1[[#This Row],[YearsAtCompany]]&lt;=10,"6-10 Years",
TRUE,"10+ Years")</f>
        <v>3-5 Years</v>
      </c>
    </row>
    <row r="412" spans="1:41"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tr">
        <f t="shared" si="12"/>
        <v>Operations</v>
      </c>
      <c r="AK412">
        <f t="shared" si="13"/>
        <v>0</v>
      </c>
      <c r="AL412">
        <f>IF(Table1[[#This Row],[Attrition]]="Yes", Table1[[#This Row],[MonthlyIncome]]*12*1.5, 0)</f>
        <v>0</v>
      </c>
      <c r="AM412" t="str" cm="1">
        <f t="array" ref="AM412">_xlfn.IFS(
Table1[[#This Row],[MonthlyIncome]]&lt;3000,"Under 3K",
Table1[[#This Row],[MonthlyIncome]]&lt;6000,"3K-6K",
Table1[[#This Row],[MonthlyIncome]]&lt;9000,"6K-9K",
Table1[[#This Row],[MonthlyIncome]]&lt;12000,"9K-12K",
TRUE,"12K+")</f>
        <v>6K-9K</v>
      </c>
      <c r="AN412">
        <f>1</f>
        <v>1</v>
      </c>
      <c r="AO412" t="str" cm="1">
        <f t="array" ref="AO412">_xlfn.IFS(
Table1[[#This Row],[YearsAtCompany]]&lt;=2,"0-2 Years",
Table1[[#This Row],[YearsAtCompany]]&lt;=5,"3-5 Years",
Table1[[#This Row],[YearsAtCompany]]&lt;=10,"6-10 Years",
TRUE,"10+ Years")</f>
        <v>3-5 Years</v>
      </c>
    </row>
    <row r="413" spans="1:41"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tr">
        <f t="shared" si="12"/>
        <v>Management</v>
      </c>
      <c r="AK413">
        <f t="shared" si="13"/>
        <v>0</v>
      </c>
      <c r="AL413">
        <f>IF(Table1[[#This Row],[Attrition]]="Yes", Table1[[#This Row],[MonthlyIncome]]*12*1.5, 0)</f>
        <v>0</v>
      </c>
      <c r="AM413" t="str" cm="1">
        <f t="array" ref="AM413">_xlfn.IFS(
Table1[[#This Row],[MonthlyIncome]]&lt;3000,"Under 3K",
Table1[[#This Row],[MonthlyIncome]]&lt;6000,"3K-6K",
Table1[[#This Row],[MonthlyIncome]]&lt;9000,"6K-9K",
Table1[[#This Row],[MonthlyIncome]]&lt;12000,"9K-12K",
TRUE,"12K+")</f>
        <v>12K+</v>
      </c>
      <c r="AN413">
        <f>1</f>
        <v>1</v>
      </c>
      <c r="AO413" t="str" cm="1">
        <f t="array" ref="AO413">_xlfn.IFS(
Table1[[#This Row],[YearsAtCompany]]&lt;=2,"0-2 Years",
Table1[[#This Row],[YearsAtCompany]]&lt;=5,"3-5 Years",
Table1[[#This Row],[YearsAtCompany]]&lt;=10,"6-10 Years",
TRUE,"10+ Years")</f>
        <v>10+ Years</v>
      </c>
    </row>
    <row r="414" spans="1:41"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tr">
        <f t="shared" si="12"/>
        <v>Operations</v>
      </c>
      <c r="AK414">
        <f t="shared" si="13"/>
        <v>0</v>
      </c>
      <c r="AL414">
        <f>IF(Table1[[#This Row],[Attrition]]="Yes", Table1[[#This Row],[MonthlyIncome]]*12*1.5, 0)</f>
        <v>0</v>
      </c>
      <c r="AM414" t="str" cm="1">
        <f t="array" ref="AM414">_xlfn.IFS(
Table1[[#This Row],[MonthlyIncome]]&lt;3000,"Under 3K",
Table1[[#This Row],[MonthlyIncome]]&lt;6000,"3K-6K",
Table1[[#This Row],[MonthlyIncome]]&lt;9000,"6K-9K",
Table1[[#This Row],[MonthlyIncome]]&lt;12000,"9K-12K",
TRUE,"12K+")</f>
        <v>3K-6K</v>
      </c>
      <c r="AN414">
        <f>1</f>
        <v>1</v>
      </c>
      <c r="AO414" t="str" cm="1">
        <f t="array" ref="AO414">_xlfn.IFS(
Table1[[#This Row],[YearsAtCompany]]&lt;=2,"0-2 Years",
Table1[[#This Row],[YearsAtCompany]]&lt;=5,"3-5 Years",
Table1[[#This Row],[YearsAtCompany]]&lt;=10,"6-10 Years",
TRUE,"10+ Years")</f>
        <v>6-10 Years</v>
      </c>
    </row>
    <row r="415" spans="1:41"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tr">
        <f t="shared" si="12"/>
        <v>Healthcare</v>
      </c>
      <c r="AK415">
        <f t="shared" si="13"/>
        <v>0</v>
      </c>
      <c r="AL415">
        <f>IF(Table1[[#This Row],[Attrition]]="Yes", Table1[[#This Row],[MonthlyIncome]]*12*1.5, 0)</f>
        <v>0</v>
      </c>
      <c r="AM415" t="str" cm="1">
        <f t="array" ref="AM415">_xlfn.IFS(
Table1[[#This Row],[MonthlyIncome]]&lt;3000,"Under 3K",
Table1[[#This Row],[MonthlyIncome]]&lt;6000,"3K-6K",
Table1[[#This Row],[MonthlyIncome]]&lt;9000,"6K-9K",
Table1[[#This Row],[MonthlyIncome]]&lt;12000,"9K-12K",
TRUE,"12K+")</f>
        <v>3K-6K</v>
      </c>
      <c r="AN415">
        <f>1</f>
        <v>1</v>
      </c>
      <c r="AO415" t="str" cm="1">
        <f t="array" ref="AO415">_xlfn.IFS(
Table1[[#This Row],[YearsAtCompany]]&lt;=2,"0-2 Years",
Table1[[#This Row],[YearsAtCompany]]&lt;=5,"3-5 Years",
Table1[[#This Row],[YearsAtCompany]]&lt;=10,"6-10 Years",
TRUE,"10+ Years")</f>
        <v>6-10 Years</v>
      </c>
    </row>
    <row r="416" spans="1:41"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tr">
        <f t="shared" si="12"/>
        <v>Sales</v>
      </c>
      <c r="AK416">
        <f t="shared" si="13"/>
        <v>1</v>
      </c>
      <c r="AL416">
        <f>IF(Table1[[#This Row],[Attrition]]="Yes", Table1[[#This Row],[MonthlyIncome]]*12*1.5, 0)</f>
        <v>57636</v>
      </c>
      <c r="AM416" t="str" cm="1">
        <f t="array" ref="AM416">_xlfn.IFS(
Table1[[#This Row],[MonthlyIncome]]&lt;3000,"Under 3K",
Table1[[#This Row],[MonthlyIncome]]&lt;6000,"3K-6K",
Table1[[#This Row],[MonthlyIncome]]&lt;9000,"6K-9K",
Table1[[#This Row],[MonthlyIncome]]&lt;12000,"9K-12K",
TRUE,"12K+")</f>
        <v>3K-6K</v>
      </c>
      <c r="AN416">
        <f>1</f>
        <v>1</v>
      </c>
      <c r="AO416" t="str" cm="1">
        <f t="array" ref="AO416">_xlfn.IFS(
Table1[[#This Row],[YearsAtCompany]]&lt;=2,"0-2 Years",
Table1[[#This Row],[YearsAtCompany]]&lt;=5,"3-5 Years",
Table1[[#This Row],[YearsAtCompany]]&lt;=10,"6-10 Years",
TRUE,"10+ Years")</f>
        <v>3-5 Years</v>
      </c>
    </row>
    <row r="417" spans="1:41"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tr">
        <f t="shared" si="12"/>
        <v>Sales</v>
      </c>
      <c r="AK417">
        <f t="shared" si="13"/>
        <v>1</v>
      </c>
      <c r="AL417">
        <f>IF(Table1[[#This Row],[Attrition]]="Yes", Table1[[#This Row],[MonthlyIncome]]*12*1.5, 0)</f>
        <v>42318</v>
      </c>
      <c r="AM417" t="str" cm="1">
        <f t="array" ref="AM417">_xlfn.IFS(
Table1[[#This Row],[MonthlyIncome]]&lt;3000,"Under 3K",
Table1[[#This Row],[MonthlyIncome]]&lt;6000,"3K-6K",
Table1[[#This Row],[MonthlyIncome]]&lt;9000,"6K-9K",
Table1[[#This Row],[MonthlyIncome]]&lt;12000,"9K-12K",
TRUE,"12K+")</f>
        <v>Under 3K</v>
      </c>
      <c r="AN417">
        <f>1</f>
        <v>1</v>
      </c>
      <c r="AO417" t="str" cm="1">
        <f t="array" ref="AO417">_xlfn.IFS(
Table1[[#This Row],[YearsAtCompany]]&lt;=2,"0-2 Years",
Table1[[#This Row],[YearsAtCompany]]&lt;=5,"3-5 Years",
Table1[[#This Row],[YearsAtCompany]]&lt;=10,"6-10 Years",
TRUE,"10+ Years")</f>
        <v>0-2 Years</v>
      </c>
    </row>
    <row r="418" spans="1:41"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tr">
        <f t="shared" si="12"/>
        <v>Research</v>
      </c>
      <c r="AK418">
        <f t="shared" si="13"/>
        <v>0</v>
      </c>
      <c r="AL418">
        <f>IF(Table1[[#This Row],[Attrition]]="Yes", Table1[[#This Row],[MonthlyIncome]]*12*1.5, 0)</f>
        <v>0</v>
      </c>
      <c r="AM418" t="str" cm="1">
        <f t="array" ref="AM418">_xlfn.IFS(
Table1[[#This Row],[MonthlyIncome]]&lt;3000,"Under 3K",
Table1[[#This Row],[MonthlyIncome]]&lt;6000,"3K-6K",
Table1[[#This Row],[MonthlyIncome]]&lt;9000,"6K-9K",
Table1[[#This Row],[MonthlyIncome]]&lt;12000,"9K-12K",
TRUE,"12K+")</f>
        <v>Under 3K</v>
      </c>
      <c r="AN418">
        <f>1</f>
        <v>1</v>
      </c>
      <c r="AO418" t="str" cm="1">
        <f t="array" ref="AO418">_xlfn.IFS(
Table1[[#This Row],[YearsAtCompany]]&lt;=2,"0-2 Years",
Table1[[#This Row],[YearsAtCompany]]&lt;=5,"3-5 Years",
Table1[[#This Row],[YearsAtCompany]]&lt;=10,"6-10 Years",
TRUE,"10+ Years")</f>
        <v>0-2 Years</v>
      </c>
    </row>
    <row r="419" spans="1:41"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tr">
        <f t="shared" si="12"/>
        <v>Management</v>
      </c>
      <c r="AK419">
        <f t="shared" si="13"/>
        <v>0</v>
      </c>
      <c r="AL419">
        <f>IF(Table1[[#This Row],[Attrition]]="Yes", Table1[[#This Row],[MonthlyIncome]]*12*1.5, 0)</f>
        <v>0</v>
      </c>
      <c r="AM419" t="str" cm="1">
        <f t="array" ref="AM419">_xlfn.IFS(
Table1[[#This Row],[MonthlyIncome]]&lt;3000,"Under 3K",
Table1[[#This Row],[MonthlyIncome]]&lt;6000,"3K-6K",
Table1[[#This Row],[MonthlyIncome]]&lt;9000,"6K-9K",
Table1[[#This Row],[MonthlyIncome]]&lt;12000,"9K-12K",
TRUE,"12K+")</f>
        <v>12K+</v>
      </c>
      <c r="AN419">
        <f>1</f>
        <v>1</v>
      </c>
      <c r="AO419" t="str" cm="1">
        <f t="array" ref="AO419">_xlfn.IFS(
Table1[[#This Row],[YearsAtCompany]]&lt;=2,"0-2 Years",
Table1[[#This Row],[YearsAtCompany]]&lt;=5,"3-5 Years",
Table1[[#This Row],[YearsAtCompany]]&lt;=10,"6-10 Years",
TRUE,"10+ Years")</f>
        <v>10+ Years</v>
      </c>
    </row>
    <row r="420" spans="1:41"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tr">
        <f t="shared" si="12"/>
        <v>Research</v>
      </c>
      <c r="AK420">
        <f t="shared" si="13"/>
        <v>0</v>
      </c>
      <c r="AL420">
        <f>IF(Table1[[#This Row],[Attrition]]="Yes", Table1[[#This Row],[MonthlyIncome]]*12*1.5, 0)</f>
        <v>0</v>
      </c>
      <c r="AM420" t="str" cm="1">
        <f t="array" ref="AM420">_xlfn.IFS(
Table1[[#This Row],[MonthlyIncome]]&lt;3000,"Under 3K",
Table1[[#This Row],[MonthlyIncome]]&lt;6000,"3K-6K",
Table1[[#This Row],[MonthlyIncome]]&lt;9000,"6K-9K",
Table1[[#This Row],[MonthlyIncome]]&lt;12000,"9K-12K",
TRUE,"12K+")</f>
        <v>Under 3K</v>
      </c>
      <c r="AN420">
        <f>1</f>
        <v>1</v>
      </c>
      <c r="AO420" t="str" cm="1">
        <f t="array" ref="AO420">_xlfn.IFS(
Table1[[#This Row],[YearsAtCompany]]&lt;=2,"0-2 Years",
Table1[[#This Row],[YearsAtCompany]]&lt;=5,"3-5 Years",
Table1[[#This Row],[YearsAtCompany]]&lt;=10,"6-10 Years",
TRUE,"10+ Years")</f>
        <v>3-5 Years</v>
      </c>
    </row>
    <row r="421" spans="1:41"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tr">
        <f t="shared" si="12"/>
        <v>Research</v>
      </c>
      <c r="AK421">
        <f t="shared" si="13"/>
        <v>0</v>
      </c>
      <c r="AL421">
        <f>IF(Table1[[#This Row],[Attrition]]="Yes", Table1[[#This Row],[MonthlyIncome]]*12*1.5, 0)</f>
        <v>0</v>
      </c>
      <c r="AM421" t="str" cm="1">
        <f t="array" ref="AM421">_xlfn.IFS(
Table1[[#This Row],[MonthlyIncome]]&lt;3000,"Under 3K",
Table1[[#This Row],[MonthlyIncome]]&lt;6000,"3K-6K",
Table1[[#This Row],[MonthlyIncome]]&lt;9000,"6K-9K",
Table1[[#This Row],[MonthlyIncome]]&lt;12000,"9K-12K",
TRUE,"12K+")</f>
        <v>Under 3K</v>
      </c>
      <c r="AN421">
        <f>1</f>
        <v>1</v>
      </c>
      <c r="AO421" t="str" cm="1">
        <f t="array" ref="AO421">_xlfn.IFS(
Table1[[#This Row],[YearsAtCompany]]&lt;=2,"0-2 Years",
Table1[[#This Row],[YearsAtCompany]]&lt;=5,"3-5 Years",
Table1[[#This Row],[YearsAtCompany]]&lt;=10,"6-10 Years",
TRUE,"10+ Years")</f>
        <v>3-5 Years</v>
      </c>
    </row>
    <row r="422" spans="1:41"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tr">
        <f t="shared" si="12"/>
        <v>Research</v>
      </c>
      <c r="AK422">
        <f t="shared" si="13"/>
        <v>0</v>
      </c>
      <c r="AL422">
        <f>IF(Table1[[#This Row],[Attrition]]="Yes", Table1[[#This Row],[MonthlyIncome]]*12*1.5, 0)</f>
        <v>0</v>
      </c>
      <c r="AM422" t="str" cm="1">
        <f t="array" ref="AM422">_xlfn.IFS(
Table1[[#This Row],[MonthlyIncome]]&lt;3000,"Under 3K",
Table1[[#This Row],[MonthlyIncome]]&lt;6000,"3K-6K",
Table1[[#This Row],[MonthlyIncome]]&lt;9000,"6K-9K",
Table1[[#This Row],[MonthlyIncome]]&lt;12000,"9K-12K",
TRUE,"12K+")</f>
        <v>9K-12K</v>
      </c>
      <c r="AN422">
        <f>1</f>
        <v>1</v>
      </c>
      <c r="AO422" t="str" cm="1">
        <f t="array" ref="AO422">_xlfn.IFS(
Table1[[#This Row],[YearsAtCompany]]&lt;=2,"0-2 Years",
Table1[[#This Row],[YearsAtCompany]]&lt;=5,"3-5 Years",
Table1[[#This Row],[YearsAtCompany]]&lt;=10,"6-10 Years",
TRUE,"10+ Years")</f>
        <v>6-10 Years</v>
      </c>
    </row>
    <row r="423" spans="1:41"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tr">
        <f t="shared" si="12"/>
        <v>Research</v>
      </c>
      <c r="AK423">
        <f t="shared" si="13"/>
        <v>1</v>
      </c>
      <c r="AL423">
        <f>IF(Table1[[#This Row],[Attrition]]="Yes", Table1[[#This Row],[MonthlyIncome]]*12*1.5, 0)</f>
        <v>45828</v>
      </c>
      <c r="AM423" t="str" cm="1">
        <f t="array" ref="AM423">_xlfn.IFS(
Table1[[#This Row],[MonthlyIncome]]&lt;3000,"Under 3K",
Table1[[#This Row],[MonthlyIncome]]&lt;6000,"3K-6K",
Table1[[#This Row],[MonthlyIncome]]&lt;9000,"6K-9K",
Table1[[#This Row],[MonthlyIncome]]&lt;12000,"9K-12K",
TRUE,"12K+")</f>
        <v>Under 3K</v>
      </c>
      <c r="AN423">
        <f>1</f>
        <v>1</v>
      </c>
      <c r="AO423" t="str" cm="1">
        <f t="array" ref="AO423">_xlfn.IFS(
Table1[[#This Row],[YearsAtCompany]]&lt;=2,"0-2 Years",
Table1[[#This Row],[YearsAtCompany]]&lt;=5,"3-5 Years",
Table1[[#This Row],[YearsAtCompany]]&lt;=10,"6-10 Years",
TRUE,"10+ Years")</f>
        <v>0-2 Years</v>
      </c>
    </row>
    <row r="424" spans="1:41"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tr">
        <f t="shared" si="12"/>
        <v>Human Resources</v>
      </c>
      <c r="AK424">
        <f t="shared" si="13"/>
        <v>1</v>
      </c>
      <c r="AL424">
        <f>IF(Table1[[#This Row],[Attrition]]="Yes", Table1[[#This Row],[MonthlyIncome]]*12*1.5, 0)</f>
        <v>46152</v>
      </c>
      <c r="AM424" t="str" cm="1">
        <f t="array" ref="AM424">_xlfn.IFS(
Table1[[#This Row],[MonthlyIncome]]&lt;3000,"Under 3K",
Table1[[#This Row],[MonthlyIncome]]&lt;6000,"3K-6K",
Table1[[#This Row],[MonthlyIncome]]&lt;9000,"6K-9K",
Table1[[#This Row],[MonthlyIncome]]&lt;12000,"9K-12K",
TRUE,"12K+")</f>
        <v>Under 3K</v>
      </c>
      <c r="AN424">
        <f>1</f>
        <v>1</v>
      </c>
      <c r="AO424" t="str" cm="1">
        <f t="array" ref="AO424">_xlfn.IFS(
Table1[[#This Row],[YearsAtCompany]]&lt;=2,"0-2 Years",
Table1[[#This Row],[YearsAtCompany]]&lt;=5,"3-5 Years",
Table1[[#This Row],[YearsAtCompany]]&lt;=10,"6-10 Years",
TRUE,"10+ Years")</f>
        <v>0-2 Years</v>
      </c>
    </row>
    <row r="425" spans="1:41"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tr">
        <f t="shared" si="12"/>
        <v>Sales</v>
      </c>
      <c r="AK425">
        <f t="shared" si="13"/>
        <v>0</v>
      </c>
      <c r="AL425">
        <f>IF(Table1[[#This Row],[Attrition]]="Yes", Table1[[#This Row],[MonthlyIncome]]*12*1.5, 0)</f>
        <v>0</v>
      </c>
      <c r="AM425" t="str" cm="1">
        <f t="array" ref="AM425">_xlfn.IFS(
Table1[[#This Row],[MonthlyIncome]]&lt;3000,"Under 3K",
Table1[[#This Row],[MonthlyIncome]]&lt;6000,"3K-6K",
Table1[[#This Row],[MonthlyIncome]]&lt;9000,"6K-9K",
Table1[[#This Row],[MonthlyIncome]]&lt;12000,"9K-12K",
TRUE,"12K+")</f>
        <v>6K-9K</v>
      </c>
      <c r="AN425">
        <f>1</f>
        <v>1</v>
      </c>
      <c r="AO425" t="str" cm="1">
        <f t="array" ref="AO425">_xlfn.IFS(
Table1[[#This Row],[YearsAtCompany]]&lt;=2,"0-2 Years",
Table1[[#This Row],[YearsAtCompany]]&lt;=5,"3-5 Years",
Table1[[#This Row],[YearsAtCompany]]&lt;=10,"6-10 Years",
TRUE,"10+ Years")</f>
        <v>6-10 Years</v>
      </c>
    </row>
    <row r="426" spans="1:41"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tr">
        <f t="shared" si="12"/>
        <v>Management</v>
      </c>
      <c r="AK426">
        <f t="shared" si="13"/>
        <v>0</v>
      </c>
      <c r="AL426">
        <f>IF(Table1[[#This Row],[Attrition]]="Yes", Table1[[#This Row],[MonthlyIncome]]*12*1.5, 0)</f>
        <v>0</v>
      </c>
      <c r="AM426" t="str" cm="1">
        <f t="array" ref="AM426">_xlfn.IFS(
Table1[[#This Row],[MonthlyIncome]]&lt;3000,"Under 3K",
Table1[[#This Row],[MonthlyIncome]]&lt;6000,"3K-6K",
Table1[[#This Row],[MonthlyIncome]]&lt;9000,"6K-9K",
Table1[[#This Row],[MonthlyIncome]]&lt;12000,"9K-12K",
TRUE,"12K+")</f>
        <v>12K+</v>
      </c>
      <c r="AN426">
        <f>1</f>
        <v>1</v>
      </c>
      <c r="AO426" t="str" cm="1">
        <f t="array" ref="AO426">_xlfn.IFS(
Table1[[#This Row],[YearsAtCompany]]&lt;=2,"0-2 Years",
Table1[[#This Row],[YearsAtCompany]]&lt;=5,"3-5 Years",
Table1[[#This Row],[YearsAtCompany]]&lt;=10,"6-10 Years",
TRUE,"10+ Years")</f>
        <v>0-2 Years</v>
      </c>
    </row>
    <row r="427" spans="1:41"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tr">
        <f t="shared" si="12"/>
        <v>Management</v>
      </c>
      <c r="AK427">
        <f t="shared" si="13"/>
        <v>0</v>
      </c>
      <c r="AL427">
        <f>IF(Table1[[#This Row],[Attrition]]="Yes", Table1[[#This Row],[MonthlyIncome]]*12*1.5, 0)</f>
        <v>0</v>
      </c>
      <c r="AM427" t="str" cm="1">
        <f t="array" ref="AM427">_xlfn.IFS(
Table1[[#This Row],[MonthlyIncome]]&lt;3000,"Under 3K",
Table1[[#This Row],[MonthlyIncome]]&lt;6000,"3K-6K",
Table1[[#This Row],[MonthlyIncome]]&lt;9000,"6K-9K",
Table1[[#This Row],[MonthlyIncome]]&lt;12000,"9K-12K",
TRUE,"12K+")</f>
        <v>12K+</v>
      </c>
      <c r="AN427">
        <f>1</f>
        <v>1</v>
      </c>
      <c r="AO427" t="str" cm="1">
        <f t="array" ref="AO427">_xlfn.IFS(
Table1[[#This Row],[YearsAtCompany]]&lt;=2,"0-2 Years",
Table1[[#This Row],[YearsAtCompany]]&lt;=5,"3-5 Years",
Table1[[#This Row],[YearsAtCompany]]&lt;=10,"6-10 Years",
TRUE,"10+ Years")</f>
        <v>10+ Years</v>
      </c>
    </row>
    <row r="428" spans="1:41"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tr">
        <f t="shared" si="12"/>
        <v>Research</v>
      </c>
      <c r="AK428">
        <f t="shared" si="13"/>
        <v>0</v>
      </c>
      <c r="AL428">
        <f>IF(Table1[[#This Row],[Attrition]]="Yes", Table1[[#This Row],[MonthlyIncome]]*12*1.5, 0)</f>
        <v>0</v>
      </c>
      <c r="AM428" t="str" cm="1">
        <f t="array" ref="AM428">_xlfn.IFS(
Table1[[#This Row],[MonthlyIncome]]&lt;3000,"Under 3K",
Table1[[#This Row],[MonthlyIncome]]&lt;6000,"3K-6K",
Table1[[#This Row],[MonthlyIncome]]&lt;9000,"6K-9K",
Table1[[#This Row],[MonthlyIncome]]&lt;12000,"9K-12K",
TRUE,"12K+")</f>
        <v>Under 3K</v>
      </c>
      <c r="AN428">
        <f>1</f>
        <v>1</v>
      </c>
      <c r="AO428" t="str" cm="1">
        <f t="array" ref="AO428">_xlfn.IFS(
Table1[[#This Row],[YearsAtCompany]]&lt;=2,"0-2 Years",
Table1[[#This Row],[YearsAtCompany]]&lt;=5,"3-5 Years",
Table1[[#This Row],[YearsAtCompany]]&lt;=10,"6-10 Years",
TRUE,"10+ Years")</f>
        <v>10+ Years</v>
      </c>
    </row>
    <row r="429" spans="1:41"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tr">
        <f t="shared" si="12"/>
        <v>Sales</v>
      </c>
      <c r="AK429">
        <f t="shared" si="13"/>
        <v>0</v>
      </c>
      <c r="AL429">
        <f>IF(Table1[[#This Row],[Attrition]]="Yes", Table1[[#This Row],[MonthlyIncome]]*12*1.5, 0)</f>
        <v>0</v>
      </c>
      <c r="AM429" t="str" cm="1">
        <f t="array" ref="AM429">_xlfn.IFS(
Table1[[#This Row],[MonthlyIncome]]&lt;3000,"Under 3K",
Table1[[#This Row],[MonthlyIncome]]&lt;6000,"3K-6K",
Table1[[#This Row],[MonthlyIncome]]&lt;9000,"6K-9K",
Table1[[#This Row],[MonthlyIncome]]&lt;12000,"9K-12K",
TRUE,"12K+")</f>
        <v>9K-12K</v>
      </c>
      <c r="AN429">
        <f>1</f>
        <v>1</v>
      </c>
      <c r="AO429" t="str" cm="1">
        <f t="array" ref="AO429">_xlfn.IFS(
Table1[[#This Row],[YearsAtCompany]]&lt;=2,"0-2 Years",
Table1[[#This Row],[YearsAtCompany]]&lt;=5,"3-5 Years",
Table1[[#This Row],[YearsAtCompany]]&lt;=10,"6-10 Years",
TRUE,"10+ Years")</f>
        <v>10+ Years</v>
      </c>
    </row>
    <row r="430" spans="1:41"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tr">
        <f t="shared" si="12"/>
        <v>Operations</v>
      </c>
      <c r="AK430">
        <f t="shared" si="13"/>
        <v>0</v>
      </c>
      <c r="AL430">
        <f>IF(Table1[[#This Row],[Attrition]]="Yes", Table1[[#This Row],[MonthlyIncome]]*12*1.5, 0)</f>
        <v>0</v>
      </c>
      <c r="AM430" t="str" cm="1">
        <f t="array" ref="AM430">_xlfn.IFS(
Table1[[#This Row],[MonthlyIncome]]&lt;3000,"Under 3K",
Table1[[#This Row],[MonthlyIncome]]&lt;6000,"3K-6K",
Table1[[#This Row],[MonthlyIncome]]&lt;9000,"6K-9K",
Table1[[#This Row],[MonthlyIncome]]&lt;12000,"9K-12K",
TRUE,"12K+")</f>
        <v>3K-6K</v>
      </c>
      <c r="AN430">
        <f>1</f>
        <v>1</v>
      </c>
      <c r="AO430" t="str" cm="1">
        <f t="array" ref="AO430">_xlfn.IFS(
Table1[[#This Row],[YearsAtCompany]]&lt;=2,"0-2 Years",
Table1[[#This Row],[YearsAtCompany]]&lt;=5,"3-5 Years",
Table1[[#This Row],[YearsAtCompany]]&lt;=10,"6-10 Years",
TRUE,"10+ Years")</f>
        <v>3-5 Years</v>
      </c>
    </row>
    <row r="431" spans="1:41"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tr">
        <f t="shared" si="12"/>
        <v>Research</v>
      </c>
      <c r="AK431">
        <f t="shared" si="13"/>
        <v>0</v>
      </c>
      <c r="AL431">
        <f>IF(Table1[[#This Row],[Attrition]]="Yes", Table1[[#This Row],[MonthlyIncome]]*12*1.5, 0)</f>
        <v>0</v>
      </c>
      <c r="AM431" t="str" cm="1">
        <f t="array" ref="AM431">_xlfn.IFS(
Table1[[#This Row],[MonthlyIncome]]&lt;3000,"Under 3K",
Table1[[#This Row],[MonthlyIncome]]&lt;6000,"3K-6K",
Table1[[#This Row],[MonthlyIncome]]&lt;9000,"6K-9K",
Table1[[#This Row],[MonthlyIncome]]&lt;12000,"9K-12K",
TRUE,"12K+")</f>
        <v>12K+</v>
      </c>
      <c r="AN431">
        <f>1</f>
        <v>1</v>
      </c>
      <c r="AO431" t="str" cm="1">
        <f t="array" ref="AO431">_xlfn.IFS(
Table1[[#This Row],[YearsAtCompany]]&lt;=2,"0-2 Years",
Table1[[#This Row],[YearsAtCompany]]&lt;=5,"3-5 Years",
Table1[[#This Row],[YearsAtCompany]]&lt;=10,"6-10 Years",
TRUE,"10+ Years")</f>
        <v>3-5 Years</v>
      </c>
    </row>
    <row r="432" spans="1:41"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tr">
        <f t="shared" si="12"/>
        <v>Research</v>
      </c>
      <c r="AK432">
        <f t="shared" si="13"/>
        <v>0</v>
      </c>
      <c r="AL432">
        <f>IF(Table1[[#This Row],[Attrition]]="Yes", Table1[[#This Row],[MonthlyIncome]]*12*1.5, 0)</f>
        <v>0</v>
      </c>
      <c r="AM432" t="str" cm="1">
        <f t="array" ref="AM432">_xlfn.IFS(
Table1[[#This Row],[MonthlyIncome]]&lt;3000,"Under 3K",
Table1[[#This Row],[MonthlyIncome]]&lt;6000,"3K-6K",
Table1[[#This Row],[MonthlyIncome]]&lt;9000,"6K-9K",
Table1[[#This Row],[MonthlyIncome]]&lt;12000,"9K-12K",
TRUE,"12K+")</f>
        <v>3K-6K</v>
      </c>
      <c r="AN432">
        <f>1</f>
        <v>1</v>
      </c>
      <c r="AO432" t="str" cm="1">
        <f t="array" ref="AO432">_xlfn.IFS(
Table1[[#This Row],[YearsAtCompany]]&lt;=2,"0-2 Years",
Table1[[#This Row],[YearsAtCompany]]&lt;=5,"3-5 Years",
Table1[[#This Row],[YearsAtCompany]]&lt;=10,"6-10 Years",
TRUE,"10+ Years")</f>
        <v>3-5 Years</v>
      </c>
    </row>
    <row r="433" spans="1:41"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tr">
        <f t="shared" si="12"/>
        <v>Research</v>
      </c>
      <c r="AK433">
        <f t="shared" si="13"/>
        <v>0</v>
      </c>
      <c r="AL433">
        <f>IF(Table1[[#This Row],[Attrition]]="Yes", Table1[[#This Row],[MonthlyIncome]]*12*1.5, 0)</f>
        <v>0</v>
      </c>
      <c r="AM433" t="str" cm="1">
        <f t="array" ref="AM433">_xlfn.IFS(
Table1[[#This Row],[MonthlyIncome]]&lt;3000,"Under 3K",
Table1[[#This Row],[MonthlyIncome]]&lt;6000,"3K-6K",
Table1[[#This Row],[MonthlyIncome]]&lt;9000,"6K-9K",
Table1[[#This Row],[MonthlyIncome]]&lt;12000,"9K-12K",
TRUE,"12K+")</f>
        <v>3K-6K</v>
      </c>
      <c r="AN433">
        <f>1</f>
        <v>1</v>
      </c>
      <c r="AO433" t="str" cm="1">
        <f t="array" ref="AO433">_xlfn.IFS(
Table1[[#This Row],[YearsAtCompany]]&lt;=2,"0-2 Years",
Table1[[#This Row],[YearsAtCompany]]&lt;=5,"3-5 Years",
Table1[[#This Row],[YearsAtCompany]]&lt;=10,"6-10 Years",
TRUE,"10+ Years")</f>
        <v>0-2 Years</v>
      </c>
    </row>
    <row r="434" spans="1:41"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tr">
        <f t="shared" si="12"/>
        <v>Research</v>
      </c>
      <c r="AK434">
        <f t="shared" si="13"/>
        <v>0</v>
      </c>
      <c r="AL434">
        <f>IF(Table1[[#This Row],[Attrition]]="Yes", Table1[[#This Row],[MonthlyIncome]]*12*1.5, 0)</f>
        <v>0</v>
      </c>
      <c r="AM434" t="str" cm="1">
        <f t="array" ref="AM434">_xlfn.IFS(
Table1[[#This Row],[MonthlyIncome]]&lt;3000,"Under 3K",
Table1[[#This Row],[MonthlyIncome]]&lt;6000,"3K-6K",
Table1[[#This Row],[MonthlyIncome]]&lt;9000,"6K-9K",
Table1[[#This Row],[MonthlyIncome]]&lt;12000,"9K-12K",
TRUE,"12K+")</f>
        <v>Under 3K</v>
      </c>
      <c r="AN434">
        <f>1</f>
        <v>1</v>
      </c>
      <c r="AO434" t="str" cm="1">
        <f t="array" ref="AO434">_xlfn.IFS(
Table1[[#This Row],[YearsAtCompany]]&lt;=2,"0-2 Years",
Table1[[#This Row],[YearsAtCompany]]&lt;=5,"3-5 Years",
Table1[[#This Row],[YearsAtCompany]]&lt;=10,"6-10 Years",
TRUE,"10+ Years")</f>
        <v>6-10 Years</v>
      </c>
    </row>
    <row r="435" spans="1:41"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tr">
        <f t="shared" si="12"/>
        <v>Sales</v>
      </c>
      <c r="AK435">
        <f t="shared" si="13"/>
        <v>0</v>
      </c>
      <c r="AL435">
        <f>IF(Table1[[#This Row],[Attrition]]="Yes", Table1[[#This Row],[MonthlyIncome]]*12*1.5, 0)</f>
        <v>0</v>
      </c>
      <c r="AM435" t="str" cm="1">
        <f t="array" ref="AM435">_xlfn.IFS(
Table1[[#This Row],[MonthlyIncome]]&lt;3000,"Under 3K",
Table1[[#This Row],[MonthlyIncome]]&lt;6000,"3K-6K",
Table1[[#This Row],[MonthlyIncome]]&lt;9000,"6K-9K",
Table1[[#This Row],[MonthlyIncome]]&lt;12000,"9K-12K",
TRUE,"12K+")</f>
        <v>9K-12K</v>
      </c>
      <c r="AN435">
        <f>1</f>
        <v>1</v>
      </c>
      <c r="AO435" t="str" cm="1">
        <f t="array" ref="AO435">_xlfn.IFS(
Table1[[#This Row],[YearsAtCompany]]&lt;=2,"0-2 Years",
Table1[[#This Row],[YearsAtCompany]]&lt;=5,"3-5 Years",
Table1[[#This Row],[YearsAtCompany]]&lt;=10,"6-10 Years",
TRUE,"10+ Years")</f>
        <v>3-5 Years</v>
      </c>
    </row>
    <row r="436" spans="1:41"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tr">
        <f t="shared" si="12"/>
        <v>Operations</v>
      </c>
      <c r="AK436">
        <f t="shared" si="13"/>
        <v>0</v>
      </c>
      <c r="AL436">
        <f>IF(Table1[[#This Row],[Attrition]]="Yes", Table1[[#This Row],[MonthlyIncome]]*12*1.5, 0)</f>
        <v>0</v>
      </c>
      <c r="AM436" t="str" cm="1">
        <f t="array" ref="AM436">_xlfn.IFS(
Table1[[#This Row],[MonthlyIncome]]&lt;3000,"Under 3K",
Table1[[#This Row],[MonthlyIncome]]&lt;6000,"3K-6K",
Table1[[#This Row],[MonthlyIncome]]&lt;9000,"6K-9K",
Table1[[#This Row],[MonthlyIncome]]&lt;12000,"9K-12K",
TRUE,"12K+")</f>
        <v>9K-12K</v>
      </c>
      <c r="AN436">
        <f>1</f>
        <v>1</v>
      </c>
      <c r="AO436" t="str" cm="1">
        <f t="array" ref="AO436">_xlfn.IFS(
Table1[[#This Row],[YearsAtCompany]]&lt;=2,"0-2 Years",
Table1[[#This Row],[YearsAtCompany]]&lt;=5,"3-5 Years",
Table1[[#This Row],[YearsAtCompany]]&lt;=10,"6-10 Years",
TRUE,"10+ Years")</f>
        <v>10+ Years</v>
      </c>
    </row>
    <row r="437" spans="1:41"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tr">
        <f t="shared" si="12"/>
        <v>Management</v>
      </c>
      <c r="AK437">
        <f t="shared" si="13"/>
        <v>1</v>
      </c>
      <c r="AL437">
        <f>IF(Table1[[#This Row],[Attrition]]="Yes", Table1[[#This Row],[MonthlyIncome]]*12*1.5, 0)</f>
        <v>244980</v>
      </c>
      <c r="AM437" t="str" cm="1">
        <f t="array" ref="AM437">_xlfn.IFS(
Table1[[#This Row],[MonthlyIncome]]&lt;3000,"Under 3K",
Table1[[#This Row],[MonthlyIncome]]&lt;6000,"3K-6K",
Table1[[#This Row],[MonthlyIncome]]&lt;9000,"6K-9K",
Table1[[#This Row],[MonthlyIncome]]&lt;12000,"9K-12K",
TRUE,"12K+")</f>
        <v>12K+</v>
      </c>
      <c r="AN437">
        <f>1</f>
        <v>1</v>
      </c>
      <c r="AO437" t="str" cm="1">
        <f t="array" ref="AO437">_xlfn.IFS(
Table1[[#This Row],[YearsAtCompany]]&lt;=2,"0-2 Years",
Table1[[#This Row],[YearsAtCompany]]&lt;=5,"3-5 Years",
Table1[[#This Row],[YearsAtCompany]]&lt;=10,"6-10 Years",
TRUE,"10+ Years")</f>
        <v>6-10 Years</v>
      </c>
    </row>
    <row r="438" spans="1:41"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tr">
        <f t="shared" si="12"/>
        <v>Research</v>
      </c>
      <c r="AK438">
        <f t="shared" si="13"/>
        <v>1</v>
      </c>
      <c r="AL438">
        <f>IF(Table1[[#This Row],[Attrition]]="Yes", Table1[[#This Row],[MonthlyIncome]]*12*1.5, 0)</f>
        <v>61344</v>
      </c>
      <c r="AM438" t="str" cm="1">
        <f t="array" ref="AM438">_xlfn.IFS(
Table1[[#This Row],[MonthlyIncome]]&lt;3000,"Under 3K",
Table1[[#This Row],[MonthlyIncome]]&lt;6000,"3K-6K",
Table1[[#This Row],[MonthlyIncome]]&lt;9000,"6K-9K",
Table1[[#This Row],[MonthlyIncome]]&lt;12000,"9K-12K",
TRUE,"12K+")</f>
        <v>3K-6K</v>
      </c>
      <c r="AN438">
        <f>1</f>
        <v>1</v>
      </c>
      <c r="AO438" t="str" cm="1">
        <f t="array" ref="AO438">_xlfn.IFS(
Table1[[#This Row],[YearsAtCompany]]&lt;=2,"0-2 Years",
Table1[[#This Row],[YearsAtCompany]]&lt;=5,"3-5 Years",
Table1[[#This Row],[YearsAtCompany]]&lt;=10,"6-10 Years",
TRUE,"10+ Years")</f>
        <v>3-5 Years</v>
      </c>
    </row>
    <row r="439" spans="1:41"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tr">
        <f t="shared" si="12"/>
        <v>Sales</v>
      </c>
      <c r="AK439">
        <f t="shared" si="13"/>
        <v>0</v>
      </c>
      <c r="AL439">
        <f>IF(Table1[[#This Row],[Attrition]]="Yes", Table1[[#This Row],[MonthlyIncome]]*12*1.5, 0)</f>
        <v>0</v>
      </c>
      <c r="AM439" t="str" cm="1">
        <f t="array" ref="AM439">_xlfn.IFS(
Table1[[#This Row],[MonthlyIncome]]&lt;3000,"Under 3K",
Table1[[#This Row],[MonthlyIncome]]&lt;6000,"3K-6K",
Table1[[#This Row],[MonthlyIncome]]&lt;9000,"6K-9K",
Table1[[#This Row],[MonthlyIncome]]&lt;12000,"9K-12K",
TRUE,"12K+")</f>
        <v>Under 3K</v>
      </c>
      <c r="AN439">
        <f>1</f>
        <v>1</v>
      </c>
      <c r="AO439" t="str" cm="1">
        <f t="array" ref="AO439">_xlfn.IFS(
Table1[[#This Row],[YearsAtCompany]]&lt;=2,"0-2 Years",
Table1[[#This Row],[YearsAtCompany]]&lt;=5,"3-5 Years",
Table1[[#This Row],[YearsAtCompany]]&lt;=10,"6-10 Years",
TRUE,"10+ Years")</f>
        <v>3-5 Years</v>
      </c>
    </row>
    <row r="440" spans="1:41"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tr">
        <f t="shared" si="12"/>
        <v>Healthcare</v>
      </c>
      <c r="AK440">
        <f t="shared" si="13"/>
        <v>0</v>
      </c>
      <c r="AL440">
        <f>IF(Table1[[#This Row],[Attrition]]="Yes", Table1[[#This Row],[MonthlyIncome]]*12*1.5, 0)</f>
        <v>0</v>
      </c>
      <c r="AM440" t="str" cm="1">
        <f t="array" ref="AM440">_xlfn.IFS(
Table1[[#This Row],[MonthlyIncome]]&lt;3000,"Under 3K",
Table1[[#This Row],[MonthlyIncome]]&lt;6000,"3K-6K",
Table1[[#This Row],[MonthlyIncome]]&lt;9000,"6K-9K",
Table1[[#This Row],[MonthlyIncome]]&lt;12000,"9K-12K",
TRUE,"12K+")</f>
        <v>6K-9K</v>
      </c>
      <c r="AN440">
        <f>1</f>
        <v>1</v>
      </c>
      <c r="AO440" t="str" cm="1">
        <f t="array" ref="AO440">_xlfn.IFS(
Table1[[#This Row],[YearsAtCompany]]&lt;=2,"0-2 Years",
Table1[[#This Row],[YearsAtCompany]]&lt;=5,"3-5 Years",
Table1[[#This Row],[YearsAtCompany]]&lt;=10,"6-10 Years",
TRUE,"10+ Years")</f>
        <v>6-10 Years</v>
      </c>
    </row>
    <row r="441" spans="1:41"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tr">
        <f t="shared" si="12"/>
        <v>Healthcare</v>
      </c>
      <c r="AK441">
        <f t="shared" si="13"/>
        <v>1</v>
      </c>
      <c r="AL441">
        <f>IF(Table1[[#This Row],[Attrition]]="Yes", Table1[[#This Row],[MonthlyIncome]]*12*1.5, 0)</f>
        <v>176832</v>
      </c>
      <c r="AM441" t="str" cm="1">
        <f t="array" ref="AM441">_xlfn.IFS(
Table1[[#This Row],[MonthlyIncome]]&lt;3000,"Under 3K",
Table1[[#This Row],[MonthlyIncome]]&lt;6000,"3K-6K",
Table1[[#This Row],[MonthlyIncome]]&lt;9000,"6K-9K",
Table1[[#This Row],[MonthlyIncome]]&lt;12000,"9K-12K",
TRUE,"12K+")</f>
        <v>9K-12K</v>
      </c>
      <c r="AN441">
        <f>1</f>
        <v>1</v>
      </c>
      <c r="AO441" t="str" cm="1">
        <f t="array" ref="AO441">_xlfn.IFS(
Table1[[#This Row],[YearsAtCompany]]&lt;=2,"0-2 Years",
Table1[[#This Row],[YearsAtCompany]]&lt;=5,"3-5 Years",
Table1[[#This Row],[YearsAtCompany]]&lt;=10,"6-10 Years",
TRUE,"10+ Years")</f>
        <v>0-2 Years</v>
      </c>
    </row>
    <row r="442" spans="1:41"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tr">
        <f t="shared" si="12"/>
        <v>Human Resources</v>
      </c>
      <c r="AK442">
        <f t="shared" si="13"/>
        <v>1</v>
      </c>
      <c r="AL442">
        <f>IF(Table1[[#This Row],[Attrition]]="Yes", Table1[[#This Row],[MonthlyIncome]]*12*1.5, 0)</f>
        <v>179100</v>
      </c>
      <c r="AM442" t="str" cm="1">
        <f t="array" ref="AM442">_xlfn.IFS(
Table1[[#This Row],[MonthlyIncome]]&lt;3000,"Under 3K",
Table1[[#This Row],[MonthlyIncome]]&lt;6000,"3K-6K",
Table1[[#This Row],[MonthlyIncome]]&lt;9000,"6K-9K",
Table1[[#This Row],[MonthlyIncome]]&lt;12000,"9K-12K",
TRUE,"12K+")</f>
        <v>9K-12K</v>
      </c>
      <c r="AN442">
        <f>1</f>
        <v>1</v>
      </c>
      <c r="AO442" t="str" cm="1">
        <f t="array" ref="AO442">_xlfn.IFS(
Table1[[#This Row],[YearsAtCompany]]&lt;=2,"0-2 Years",
Table1[[#This Row],[YearsAtCompany]]&lt;=5,"3-5 Years",
Table1[[#This Row],[YearsAtCompany]]&lt;=10,"6-10 Years",
TRUE,"10+ Years")</f>
        <v>3-5 Years</v>
      </c>
    </row>
    <row r="443" spans="1:41"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tr">
        <f t="shared" si="12"/>
        <v>Research</v>
      </c>
      <c r="AK443">
        <f t="shared" si="13"/>
        <v>0</v>
      </c>
      <c r="AL443">
        <f>IF(Table1[[#This Row],[Attrition]]="Yes", Table1[[#This Row],[MonthlyIncome]]*12*1.5, 0)</f>
        <v>0</v>
      </c>
      <c r="AM443" t="str" cm="1">
        <f t="array" ref="AM443">_xlfn.IFS(
Table1[[#This Row],[MonthlyIncome]]&lt;3000,"Under 3K",
Table1[[#This Row],[MonthlyIncome]]&lt;6000,"3K-6K",
Table1[[#This Row],[MonthlyIncome]]&lt;9000,"6K-9K",
Table1[[#This Row],[MonthlyIncome]]&lt;12000,"9K-12K",
TRUE,"12K+")</f>
        <v>Under 3K</v>
      </c>
      <c r="AN443">
        <f>1</f>
        <v>1</v>
      </c>
      <c r="AO443" t="str" cm="1">
        <f t="array" ref="AO443">_xlfn.IFS(
Table1[[#This Row],[YearsAtCompany]]&lt;=2,"0-2 Years",
Table1[[#This Row],[YearsAtCompany]]&lt;=5,"3-5 Years",
Table1[[#This Row],[YearsAtCompany]]&lt;=10,"6-10 Years",
TRUE,"10+ Years")</f>
        <v>0-2 Years</v>
      </c>
    </row>
    <row r="444" spans="1:41"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tr">
        <f t="shared" si="12"/>
        <v>Sales</v>
      </c>
      <c r="AK444">
        <f t="shared" si="13"/>
        <v>0</v>
      </c>
      <c r="AL444">
        <f>IF(Table1[[#This Row],[Attrition]]="Yes", Table1[[#This Row],[MonthlyIncome]]*12*1.5, 0)</f>
        <v>0</v>
      </c>
      <c r="AM444" t="str" cm="1">
        <f t="array" ref="AM444">_xlfn.IFS(
Table1[[#This Row],[MonthlyIncome]]&lt;3000,"Under 3K",
Table1[[#This Row],[MonthlyIncome]]&lt;6000,"3K-6K",
Table1[[#This Row],[MonthlyIncome]]&lt;9000,"6K-9K",
Table1[[#This Row],[MonthlyIncome]]&lt;12000,"9K-12K",
TRUE,"12K+")</f>
        <v>9K-12K</v>
      </c>
      <c r="AN444">
        <f>1</f>
        <v>1</v>
      </c>
      <c r="AO444" t="str" cm="1">
        <f t="array" ref="AO444">_xlfn.IFS(
Table1[[#This Row],[YearsAtCompany]]&lt;=2,"0-2 Years",
Table1[[#This Row],[YearsAtCompany]]&lt;=5,"3-5 Years",
Table1[[#This Row],[YearsAtCompany]]&lt;=10,"6-10 Years",
TRUE,"10+ Years")</f>
        <v>6-10 Years</v>
      </c>
    </row>
    <row r="445" spans="1:41"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tr">
        <f t="shared" si="12"/>
        <v>Research</v>
      </c>
      <c r="AK445">
        <f t="shared" si="13"/>
        <v>1</v>
      </c>
      <c r="AL445">
        <f>IF(Table1[[#This Row],[Attrition]]="Yes", Table1[[#This Row],[MonthlyIncome]]*12*1.5, 0)</f>
        <v>70092</v>
      </c>
      <c r="AM445" t="str" cm="1">
        <f t="array" ref="AM445">_xlfn.IFS(
Table1[[#This Row],[MonthlyIncome]]&lt;3000,"Under 3K",
Table1[[#This Row],[MonthlyIncome]]&lt;6000,"3K-6K",
Table1[[#This Row],[MonthlyIncome]]&lt;9000,"6K-9K",
Table1[[#This Row],[MonthlyIncome]]&lt;12000,"9K-12K",
TRUE,"12K+")</f>
        <v>3K-6K</v>
      </c>
      <c r="AN445">
        <f>1</f>
        <v>1</v>
      </c>
      <c r="AO445" t="str" cm="1">
        <f t="array" ref="AO445">_xlfn.IFS(
Table1[[#This Row],[YearsAtCompany]]&lt;=2,"0-2 Years",
Table1[[#This Row],[YearsAtCompany]]&lt;=5,"3-5 Years",
Table1[[#This Row],[YearsAtCompany]]&lt;=10,"6-10 Years",
TRUE,"10+ Years")</f>
        <v>0-2 Years</v>
      </c>
    </row>
    <row r="446" spans="1:41"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tr">
        <f t="shared" si="12"/>
        <v>Sales</v>
      </c>
      <c r="AK446">
        <f t="shared" si="13"/>
        <v>0</v>
      </c>
      <c r="AL446">
        <f>IF(Table1[[#This Row],[Attrition]]="Yes", Table1[[#This Row],[MonthlyIncome]]*12*1.5, 0)</f>
        <v>0</v>
      </c>
      <c r="AM446" t="str" cm="1">
        <f t="array" ref="AM446">_xlfn.IFS(
Table1[[#This Row],[MonthlyIncome]]&lt;3000,"Under 3K",
Table1[[#This Row],[MonthlyIncome]]&lt;6000,"3K-6K",
Table1[[#This Row],[MonthlyIncome]]&lt;9000,"6K-9K",
Table1[[#This Row],[MonthlyIncome]]&lt;12000,"9K-12K",
TRUE,"12K+")</f>
        <v>3K-6K</v>
      </c>
      <c r="AN446">
        <f>1</f>
        <v>1</v>
      </c>
      <c r="AO446" t="str" cm="1">
        <f t="array" ref="AO446">_xlfn.IFS(
Table1[[#This Row],[YearsAtCompany]]&lt;=2,"0-2 Years",
Table1[[#This Row],[YearsAtCompany]]&lt;=5,"3-5 Years",
Table1[[#This Row],[YearsAtCompany]]&lt;=10,"6-10 Years",
TRUE,"10+ Years")</f>
        <v>6-10 Years</v>
      </c>
    </row>
    <row r="447" spans="1:41"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tr">
        <f t="shared" si="12"/>
        <v>Management</v>
      </c>
      <c r="AK447">
        <f t="shared" si="13"/>
        <v>0</v>
      </c>
      <c r="AL447">
        <f>IF(Table1[[#This Row],[Attrition]]="Yes", Table1[[#This Row],[MonthlyIncome]]*12*1.5, 0)</f>
        <v>0</v>
      </c>
      <c r="AM447" t="str" cm="1">
        <f t="array" ref="AM447">_xlfn.IFS(
Table1[[#This Row],[MonthlyIncome]]&lt;3000,"Under 3K",
Table1[[#This Row],[MonthlyIncome]]&lt;6000,"3K-6K",
Table1[[#This Row],[MonthlyIncome]]&lt;9000,"6K-9K",
Table1[[#This Row],[MonthlyIncome]]&lt;12000,"9K-12K",
TRUE,"12K+")</f>
        <v>12K+</v>
      </c>
      <c r="AN447">
        <f>1</f>
        <v>1</v>
      </c>
      <c r="AO447" t="str" cm="1">
        <f t="array" ref="AO447">_xlfn.IFS(
Table1[[#This Row],[YearsAtCompany]]&lt;=2,"0-2 Years",
Table1[[#This Row],[YearsAtCompany]]&lt;=5,"3-5 Years",
Table1[[#This Row],[YearsAtCompany]]&lt;=10,"6-10 Years",
TRUE,"10+ Years")</f>
        <v>6-10 Years</v>
      </c>
    </row>
    <row r="448" spans="1:41"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tr">
        <f t="shared" si="12"/>
        <v>Sales</v>
      </c>
      <c r="AK448">
        <f t="shared" si="13"/>
        <v>0</v>
      </c>
      <c r="AL448">
        <f>IF(Table1[[#This Row],[Attrition]]="Yes", Table1[[#This Row],[MonthlyIncome]]*12*1.5, 0)</f>
        <v>0</v>
      </c>
      <c r="AM448" t="str" cm="1">
        <f t="array" ref="AM448">_xlfn.IFS(
Table1[[#This Row],[MonthlyIncome]]&lt;3000,"Under 3K",
Table1[[#This Row],[MonthlyIncome]]&lt;6000,"3K-6K",
Table1[[#This Row],[MonthlyIncome]]&lt;9000,"6K-9K",
Table1[[#This Row],[MonthlyIncome]]&lt;12000,"9K-12K",
TRUE,"12K+")</f>
        <v>6K-9K</v>
      </c>
      <c r="AN448">
        <f>1</f>
        <v>1</v>
      </c>
      <c r="AO448" t="str" cm="1">
        <f t="array" ref="AO448">_xlfn.IFS(
Table1[[#This Row],[YearsAtCompany]]&lt;=2,"0-2 Years",
Table1[[#This Row],[YearsAtCompany]]&lt;=5,"3-5 Years",
Table1[[#This Row],[YearsAtCompany]]&lt;=10,"6-10 Years",
TRUE,"10+ Years")</f>
        <v>10+ Years</v>
      </c>
    </row>
    <row r="449" spans="1:41"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tr">
        <f t="shared" si="12"/>
        <v>Sales</v>
      </c>
      <c r="AK449">
        <f t="shared" si="13"/>
        <v>0</v>
      </c>
      <c r="AL449">
        <f>IF(Table1[[#This Row],[Attrition]]="Yes", Table1[[#This Row],[MonthlyIncome]]*12*1.5, 0)</f>
        <v>0</v>
      </c>
      <c r="AM449" t="str" cm="1">
        <f t="array" ref="AM449">_xlfn.IFS(
Table1[[#This Row],[MonthlyIncome]]&lt;3000,"Under 3K",
Table1[[#This Row],[MonthlyIncome]]&lt;6000,"3K-6K",
Table1[[#This Row],[MonthlyIncome]]&lt;9000,"6K-9K",
Table1[[#This Row],[MonthlyIncome]]&lt;12000,"9K-12K",
TRUE,"12K+")</f>
        <v>3K-6K</v>
      </c>
      <c r="AN449">
        <f>1</f>
        <v>1</v>
      </c>
      <c r="AO449" t="str" cm="1">
        <f t="array" ref="AO449">_xlfn.IFS(
Table1[[#This Row],[YearsAtCompany]]&lt;=2,"0-2 Years",
Table1[[#This Row],[YearsAtCompany]]&lt;=5,"3-5 Years",
Table1[[#This Row],[YearsAtCompany]]&lt;=10,"6-10 Years",
TRUE,"10+ Years")</f>
        <v>10+ Years</v>
      </c>
    </row>
    <row r="450" spans="1:41"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tr">
        <f t="shared" si="12"/>
        <v>Operations</v>
      </c>
      <c r="AK450">
        <f t="shared" si="13"/>
        <v>0</v>
      </c>
      <c r="AL450">
        <f>IF(Table1[[#This Row],[Attrition]]="Yes", Table1[[#This Row],[MonthlyIncome]]*12*1.5, 0)</f>
        <v>0</v>
      </c>
      <c r="AM450" t="str" cm="1">
        <f t="array" ref="AM450">_xlfn.IFS(
Table1[[#This Row],[MonthlyIncome]]&lt;3000,"Under 3K",
Table1[[#This Row],[MonthlyIncome]]&lt;6000,"3K-6K",
Table1[[#This Row],[MonthlyIncome]]&lt;9000,"6K-9K",
Table1[[#This Row],[MonthlyIncome]]&lt;12000,"9K-12K",
TRUE,"12K+")</f>
        <v>12K+</v>
      </c>
      <c r="AN450">
        <f>1</f>
        <v>1</v>
      </c>
      <c r="AO450" t="str" cm="1">
        <f t="array" ref="AO450">_xlfn.IFS(
Table1[[#This Row],[YearsAtCompany]]&lt;=2,"0-2 Years",
Table1[[#This Row],[YearsAtCompany]]&lt;=5,"3-5 Years",
Table1[[#This Row],[YearsAtCompany]]&lt;=10,"6-10 Years",
TRUE,"10+ Years")</f>
        <v>10+ Years</v>
      </c>
    </row>
    <row r="451" spans="1:41"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tr">
        <f t="shared" ref="AJ451:AJ514" si="14">_xlfn.XLOOKUP(P451, $AP$2:$AP$10,$AQ$2:$AQ$10)</f>
        <v>Research</v>
      </c>
      <c r="AK451">
        <f t="shared" ref="AK451:AK514" si="15">IF(B451 ="Yes",1,0)</f>
        <v>0</v>
      </c>
      <c r="AL451">
        <f>IF(Table1[[#This Row],[Attrition]]="Yes", Table1[[#This Row],[MonthlyIncome]]*12*1.5, 0)</f>
        <v>0</v>
      </c>
      <c r="AM451" t="str" cm="1">
        <f t="array" ref="AM451">_xlfn.IFS(
Table1[[#This Row],[MonthlyIncome]]&lt;3000,"Under 3K",
Table1[[#This Row],[MonthlyIncome]]&lt;6000,"3K-6K",
Table1[[#This Row],[MonthlyIncome]]&lt;9000,"6K-9K",
Table1[[#This Row],[MonthlyIncome]]&lt;12000,"9K-12K",
TRUE,"12K+")</f>
        <v>3K-6K</v>
      </c>
      <c r="AN451">
        <f>1</f>
        <v>1</v>
      </c>
      <c r="AO451" t="str" cm="1">
        <f t="array" ref="AO451">_xlfn.IFS(
Table1[[#This Row],[YearsAtCompany]]&lt;=2,"0-2 Years",
Table1[[#This Row],[YearsAtCompany]]&lt;=5,"3-5 Years",
Table1[[#This Row],[YearsAtCompany]]&lt;=10,"6-10 Years",
TRUE,"10+ Years")</f>
        <v>6-10 Years</v>
      </c>
    </row>
    <row r="452" spans="1:41"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tr">
        <f t="shared" si="14"/>
        <v>Sales</v>
      </c>
      <c r="AK452">
        <f t="shared" si="15"/>
        <v>0</v>
      </c>
      <c r="AL452">
        <f>IF(Table1[[#This Row],[Attrition]]="Yes", Table1[[#This Row],[MonthlyIncome]]*12*1.5, 0)</f>
        <v>0</v>
      </c>
      <c r="AM452" t="str" cm="1">
        <f t="array" ref="AM452">_xlfn.IFS(
Table1[[#This Row],[MonthlyIncome]]&lt;3000,"Under 3K",
Table1[[#This Row],[MonthlyIncome]]&lt;6000,"3K-6K",
Table1[[#This Row],[MonthlyIncome]]&lt;9000,"6K-9K",
Table1[[#This Row],[MonthlyIncome]]&lt;12000,"9K-12K",
TRUE,"12K+")</f>
        <v>6K-9K</v>
      </c>
      <c r="AN452">
        <f>1</f>
        <v>1</v>
      </c>
      <c r="AO452" t="str" cm="1">
        <f t="array" ref="AO452">_xlfn.IFS(
Table1[[#This Row],[YearsAtCompany]]&lt;=2,"0-2 Years",
Table1[[#This Row],[YearsAtCompany]]&lt;=5,"3-5 Years",
Table1[[#This Row],[YearsAtCompany]]&lt;=10,"6-10 Years",
TRUE,"10+ Years")</f>
        <v>6-10 Years</v>
      </c>
    </row>
    <row r="453" spans="1:41"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tr">
        <f t="shared" si="14"/>
        <v>Operations</v>
      </c>
      <c r="AK453">
        <f t="shared" si="15"/>
        <v>0</v>
      </c>
      <c r="AL453">
        <f>IF(Table1[[#This Row],[Attrition]]="Yes", Table1[[#This Row],[MonthlyIncome]]*12*1.5, 0)</f>
        <v>0</v>
      </c>
      <c r="AM453" t="str" cm="1">
        <f t="array" ref="AM453">_xlfn.IFS(
Table1[[#This Row],[MonthlyIncome]]&lt;3000,"Under 3K",
Table1[[#This Row],[MonthlyIncome]]&lt;6000,"3K-6K",
Table1[[#This Row],[MonthlyIncome]]&lt;9000,"6K-9K",
Table1[[#This Row],[MonthlyIncome]]&lt;12000,"9K-12K",
TRUE,"12K+")</f>
        <v>6K-9K</v>
      </c>
      <c r="AN453">
        <f>1</f>
        <v>1</v>
      </c>
      <c r="AO453" t="str" cm="1">
        <f t="array" ref="AO453">_xlfn.IFS(
Table1[[#This Row],[YearsAtCompany]]&lt;=2,"0-2 Years",
Table1[[#This Row],[YearsAtCompany]]&lt;=5,"3-5 Years",
Table1[[#This Row],[YearsAtCompany]]&lt;=10,"6-10 Years",
TRUE,"10+ Years")</f>
        <v>6-10 Years</v>
      </c>
    </row>
    <row r="454" spans="1:41"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tr">
        <f t="shared" si="14"/>
        <v>Sales</v>
      </c>
      <c r="AK454">
        <f t="shared" si="15"/>
        <v>0</v>
      </c>
      <c r="AL454">
        <f>IF(Table1[[#This Row],[Attrition]]="Yes", Table1[[#This Row],[MonthlyIncome]]*12*1.5, 0)</f>
        <v>0</v>
      </c>
      <c r="AM454" t="str" cm="1">
        <f t="array" ref="AM454">_xlfn.IFS(
Table1[[#This Row],[MonthlyIncome]]&lt;3000,"Under 3K",
Table1[[#This Row],[MonthlyIncome]]&lt;6000,"3K-6K",
Table1[[#This Row],[MonthlyIncome]]&lt;9000,"6K-9K",
Table1[[#This Row],[MonthlyIncome]]&lt;12000,"9K-12K",
TRUE,"12K+")</f>
        <v>3K-6K</v>
      </c>
      <c r="AN454">
        <f>1</f>
        <v>1</v>
      </c>
      <c r="AO454" t="str" cm="1">
        <f t="array" ref="AO454">_xlfn.IFS(
Table1[[#This Row],[YearsAtCompany]]&lt;=2,"0-2 Years",
Table1[[#This Row],[YearsAtCompany]]&lt;=5,"3-5 Years",
Table1[[#This Row],[YearsAtCompany]]&lt;=10,"6-10 Years",
TRUE,"10+ Years")</f>
        <v>6-10 Years</v>
      </c>
    </row>
    <row r="455" spans="1:41"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tr">
        <f t="shared" si="14"/>
        <v>Human Resources</v>
      </c>
      <c r="AK455">
        <f t="shared" si="15"/>
        <v>1</v>
      </c>
      <c r="AL455">
        <f>IF(Table1[[#This Row],[Attrition]]="Yes", Table1[[#This Row],[MonthlyIncome]]*12*1.5, 0)</f>
        <v>49338</v>
      </c>
      <c r="AM455" t="str" cm="1">
        <f t="array" ref="AM455">_xlfn.IFS(
Table1[[#This Row],[MonthlyIncome]]&lt;3000,"Under 3K",
Table1[[#This Row],[MonthlyIncome]]&lt;6000,"3K-6K",
Table1[[#This Row],[MonthlyIncome]]&lt;9000,"6K-9K",
Table1[[#This Row],[MonthlyIncome]]&lt;12000,"9K-12K",
TRUE,"12K+")</f>
        <v>Under 3K</v>
      </c>
      <c r="AN455">
        <f>1</f>
        <v>1</v>
      </c>
      <c r="AO455" t="str" cm="1">
        <f t="array" ref="AO455">_xlfn.IFS(
Table1[[#This Row],[YearsAtCompany]]&lt;=2,"0-2 Years",
Table1[[#This Row],[YearsAtCompany]]&lt;=5,"3-5 Years",
Table1[[#This Row],[YearsAtCompany]]&lt;=10,"6-10 Years",
TRUE,"10+ Years")</f>
        <v>6-10 Years</v>
      </c>
    </row>
    <row r="456" spans="1:41"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tr">
        <f t="shared" si="14"/>
        <v>Operations</v>
      </c>
      <c r="AK456">
        <f t="shared" si="15"/>
        <v>0</v>
      </c>
      <c r="AL456">
        <f>IF(Table1[[#This Row],[Attrition]]="Yes", Table1[[#This Row],[MonthlyIncome]]*12*1.5, 0)</f>
        <v>0</v>
      </c>
      <c r="AM456" t="str" cm="1">
        <f t="array" ref="AM456">_xlfn.IFS(
Table1[[#This Row],[MonthlyIncome]]&lt;3000,"Under 3K",
Table1[[#This Row],[MonthlyIncome]]&lt;6000,"3K-6K",
Table1[[#This Row],[MonthlyIncome]]&lt;9000,"6K-9K",
Table1[[#This Row],[MonthlyIncome]]&lt;12000,"9K-12K",
TRUE,"12K+")</f>
        <v>3K-6K</v>
      </c>
      <c r="AN456">
        <f>1</f>
        <v>1</v>
      </c>
      <c r="AO456" t="str" cm="1">
        <f t="array" ref="AO456">_xlfn.IFS(
Table1[[#This Row],[YearsAtCompany]]&lt;=2,"0-2 Years",
Table1[[#This Row],[YearsAtCompany]]&lt;=5,"3-5 Years",
Table1[[#This Row],[YearsAtCompany]]&lt;=10,"6-10 Years",
TRUE,"10+ Years")</f>
        <v>3-5 Years</v>
      </c>
    </row>
    <row r="457" spans="1:41"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tr">
        <f t="shared" si="14"/>
        <v>Research</v>
      </c>
      <c r="AK457">
        <f t="shared" si="15"/>
        <v>0</v>
      </c>
      <c r="AL457">
        <f>IF(Table1[[#This Row],[Attrition]]="Yes", Table1[[#This Row],[MonthlyIncome]]*12*1.5, 0)</f>
        <v>0</v>
      </c>
      <c r="AM457" t="str" cm="1">
        <f t="array" ref="AM457">_xlfn.IFS(
Table1[[#This Row],[MonthlyIncome]]&lt;3000,"Under 3K",
Table1[[#This Row],[MonthlyIncome]]&lt;6000,"3K-6K",
Table1[[#This Row],[MonthlyIncome]]&lt;9000,"6K-9K",
Table1[[#This Row],[MonthlyIncome]]&lt;12000,"9K-12K",
TRUE,"12K+")</f>
        <v>12K+</v>
      </c>
      <c r="AN457">
        <f>1</f>
        <v>1</v>
      </c>
      <c r="AO457" t="str" cm="1">
        <f t="array" ref="AO457">_xlfn.IFS(
Table1[[#This Row],[YearsAtCompany]]&lt;=2,"0-2 Years",
Table1[[#This Row],[YearsAtCompany]]&lt;=5,"3-5 Years",
Table1[[#This Row],[YearsAtCompany]]&lt;=10,"6-10 Years",
TRUE,"10+ Years")</f>
        <v>6-10 Years</v>
      </c>
    </row>
    <row r="458" spans="1:41"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tr">
        <f t="shared" si="14"/>
        <v>Management</v>
      </c>
      <c r="AK458">
        <f t="shared" si="15"/>
        <v>0</v>
      </c>
      <c r="AL458">
        <f>IF(Table1[[#This Row],[Attrition]]="Yes", Table1[[#This Row],[MonthlyIncome]]*12*1.5, 0)</f>
        <v>0</v>
      </c>
      <c r="AM458" t="str" cm="1">
        <f t="array" ref="AM458">_xlfn.IFS(
Table1[[#This Row],[MonthlyIncome]]&lt;3000,"Under 3K",
Table1[[#This Row],[MonthlyIncome]]&lt;6000,"3K-6K",
Table1[[#This Row],[MonthlyIncome]]&lt;9000,"6K-9K",
Table1[[#This Row],[MonthlyIncome]]&lt;12000,"9K-12K",
TRUE,"12K+")</f>
        <v>9K-12K</v>
      </c>
      <c r="AN458">
        <f>1</f>
        <v>1</v>
      </c>
      <c r="AO458" t="str" cm="1">
        <f t="array" ref="AO458">_xlfn.IFS(
Table1[[#This Row],[YearsAtCompany]]&lt;=2,"0-2 Years",
Table1[[#This Row],[YearsAtCompany]]&lt;=5,"3-5 Years",
Table1[[#This Row],[YearsAtCompany]]&lt;=10,"6-10 Years",
TRUE,"10+ Years")</f>
        <v>3-5 Years</v>
      </c>
    </row>
    <row r="459" spans="1:41"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tr">
        <f t="shared" si="14"/>
        <v>Sales</v>
      </c>
      <c r="AK459">
        <f t="shared" si="15"/>
        <v>1</v>
      </c>
      <c r="AL459">
        <f>IF(Table1[[#This Row],[Attrition]]="Yes", Table1[[#This Row],[MonthlyIncome]]*12*1.5, 0)</f>
        <v>33804</v>
      </c>
      <c r="AM459" t="str" cm="1">
        <f t="array" ref="AM459">_xlfn.IFS(
Table1[[#This Row],[MonthlyIncome]]&lt;3000,"Under 3K",
Table1[[#This Row],[MonthlyIncome]]&lt;6000,"3K-6K",
Table1[[#This Row],[MonthlyIncome]]&lt;9000,"6K-9K",
Table1[[#This Row],[MonthlyIncome]]&lt;12000,"9K-12K",
TRUE,"12K+")</f>
        <v>Under 3K</v>
      </c>
      <c r="AN459">
        <f>1</f>
        <v>1</v>
      </c>
      <c r="AO459" t="str" cm="1">
        <f t="array" ref="AO459">_xlfn.IFS(
Table1[[#This Row],[YearsAtCompany]]&lt;=2,"0-2 Years",
Table1[[#This Row],[YearsAtCompany]]&lt;=5,"3-5 Years",
Table1[[#This Row],[YearsAtCompany]]&lt;=10,"6-10 Years",
TRUE,"10+ Years")</f>
        <v>0-2 Years</v>
      </c>
    </row>
    <row r="460" spans="1:41"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tr">
        <f t="shared" si="14"/>
        <v>Sales</v>
      </c>
      <c r="AK460">
        <f t="shared" si="15"/>
        <v>0</v>
      </c>
      <c r="AL460">
        <f>IF(Table1[[#This Row],[Attrition]]="Yes", Table1[[#This Row],[MonthlyIncome]]*12*1.5, 0)</f>
        <v>0</v>
      </c>
      <c r="AM460" t="str" cm="1">
        <f t="array" ref="AM460">_xlfn.IFS(
Table1[[#This Row],[MonthlyIncome]]&lt;3000,"Under 3K",
Table1[[#This Row],[MonthlyIncome]]&lt;6000,"3K-6K",
Table1[[#This Row],[MonthlyIncome]]&lt;9000,"6K-9K",
Table1[[#This Row],[MonthlyIncome]]&lt;12000,"9K-12K",
TRUE,"12K+")</f>
        <v>9K-12K</v>
      </c>
      <c r="AN460">
        <f>1</f>
        <v>1</v>
      </c>
      <c r="AO460" t="str" cm="1">
        <f t="array" ref="AO460">_xlfn.IFS(
Table1[[#This Row],[YearsAtCompany]]&lt;=2,"0-2 Years",
Table1[[#This Row],[YearsAtCompany]]&lt;=5,"3-5 Years",
Table1[[#This Row],[YearsAtCompany]]&lt;=10,"6-10 Years",
TRUE,"10+ Years")</f>
        <v>0-2 Years</v>
      </c>
    </row>
    <row r="461" spans="1:41"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tr">
        <f t="shared" si="14"/>
        <v>Healthcare</v>
      </c>
      <c r="AK461">
        <f t="shared" si="15"/>
        <v>0</v>
      </c>
      <c r="AL461">
        <f>IF(Table1[[#This Row],[Attrition]]="Yes", Table1[[#This Row],[MonthlyIncome]]*12*1.5, 0)</f>
        <v>0</v>
      </c>
      <c r="AM461" t="str" cm="1">
        <f t="array" ref="AM461">_xlfn.IFS(
Table1[[#This Row],[MonthlyIncome]]&lt;3000,"Under 3K",
Table1[[#This Row],[MonthlyIncome]]&lt;6000,"3K-6K",
Table1[[#This Row],[MonthlyIncome]]&lt;9000,"6K-9K",
Table1[[#This Row],[MonthlyIncome]]&lt;12000,"9K-12K",
TRUE,"12K+")</f>
        <v>6K-9K</v>
      </c>
      <c r="AN461">
        <f>1</f>
        <v>1</v>
      </c>
      <c r="AO461" t="str" cm="1">
        <f t="array" ref="AO461">_xlfn.IFS(
Table1[[#This Row],[YearsAtCompany]]&lt;=2,"0-2 Years",
Table1[[#This Row],[YearsAtCompany]]&lt;=5,"3-5 Years",
Table1[[#This Row],[YearsAtCompany]]&lt;=10,"6-10 Years",
TRUE,"10+ Years")</f>
        <v>6-10 Years</v>
      </c>
    </row>
    <row r="462" spans="1:41"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tr">
        <f t="shared" si="14"/>
        <v>Sales</v>
      </c>
      <c r="AK462">
        <f t="shared" si="15"/>
        <v>0</v>
      </c>
      <c r="AL462">
        <f>IF(Table1[[#This Row],[Attrition]]="Yes", Table1[[#This Row],[MonthlyIncome]]*12*1.5, 0)</f>
        <v>0</v>
      </c>
      <c r="AM462" t="str" cm="1">
        <f t="array" ref="AM462">_xlfn.IFS(
Table1[[#This Row],[MonthlyIncome]]&lt;3000,"Under 3K",
Table1[[#This Row],[MonthlyIncome]]&lt;6000,"3K-6K",
Table1[[#This Row],[MonthlyIncome]]&lt;9000,"6K-9K",
Table1[[#This Row],[MonthlyIncome]]&lt;12000,"9K-12K",
TRUE,"12K+")</f>
        <v>3K-6K</v>
      </c>
      <c r="AN462">
        <f>1</f>
        <v>1</v>
      </c>
      <c r="AO462" t="str" cm="1">
        <f t="array" ref="AO462">_xlfn.IFS(
Table1[[#This Row],[YearsAtCompany]]&lt;=2,"0-2 Years",
Table1[[#This Row],[YearsAtCompany]]&lt;=5,"3-5 Years",
Table1[[#This Row],[YearsAtCompany]]&lt;=10,"6-10 Years",
TRUE,"10+ Years")</f>
        <v>0-2 Years</v>
      </c>
    </row>
    <row r="463" spans="1:41"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tr">
        <f t="shared" si="14"/>
        <v>Sales</v>
      </c>
      <c r="AK463">
        <f t="shared" si="15"/>
        <v>0</v>
      </c>
      <c r="AL463">
        <f>IF(Table1[[#This Row],[Attrition]]="Yes", Table1[[#This Row],[MonthlyIncome]]*12*1.5, 0)</f>
        <v>0</v>
      </c>
      <c r="AM463" t="str" cm="1">
        <f t="array" ref="AM463">_xlfn.IFS(
Table1[[#This Row],[MonthlyIncome]]&lt;3000,"Under 3K",
Table1[[#This Row],[MonthlyIncome]]&lt;6000,"3K-6K",
Table1[[#This Row],[MonthlyIncome]]&lt;9000,"6K-9K",
Table1[[#This Row],[MonthlyIncome]]&lt;12000,"9K-12K",
TRUE,"12K+")</f>
        <v>3K-6K</v>
      </c>
      <c r="AN463">
        <f>1</f>
        <v>1</v>
      </c>
      <c r="AO463" t="str" cm="1">
        <f t="array" ref="AO463">_xlfn.IFS(
Table1[[#This Row],[YearsAtCompany]]&lt;=2,"0-2 Years",
Table1[[#This Row],[YearsAtCompany]]&lt;=5,"3-5 Years",
Table1[[#This Row],[YearsAtCompany]]&lt;=10,"6-10 Years",
TRUE,"10+ Years")</f>
        <v>3-5 Years</v>
      </c>
    </row>
    <row r="464" spans="1:41"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tr">
        <f t="shared" si="14"/>
        <v>Sales</v>
      </c>
      <c r="AK464">
        <f t="shared" si="15"/>
        <v>0</v>
      </c>
      <c r="AL464">
        <f>IF(Table1[[#This Row],[Attrition]]="Yes", Table1[[#This Row],[MonthlyIncome]]*12*1.5, 0)</f>
        <v>0</v>
      </c>
      <c r="AM464" t="str" cm="1">
        <f t="array" ref="AM464">_xlfn.IFS(
Table1[[#This Row],[MonthlyIncome]]&lt;3000,"Under 3K",
Table1[[#This Row],[MonthlyIncome]]&lt;6000,"3K-6K",
Table1[[#This Row],[MonthlyIncome]]&lt;9000,"6K-9K",
Table1[[#This Row],[MonthlyIncome]]&lt;12000,"9K-12K",
TRUE,"12K+")</f>
        <v>3K-6K</v>
      </c>
      <c r="AN464">
        <f>1</f>
        <v>1</v>
      </c>
      <c r="AO464" t="str" cm="1">
        <f t="array" ref="AO464">_xlfn.IFS(
Table1[[#This Row],[YearsAtCompany]]&lt;=2,"0-2 Years",
Table1[[#This Row],[YearsAtCompany]]&lt;=5,"3-5 Years",
Table1[[#This Row],[YearsAtCompany]]&lt;=10,"6-10 Years",
TRUE,"10+ Years")</f>
        <v>6-10 Years</v>
      </c>
    </row>
    <row r="465" spans="1:41"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tr">
        <f t="shared" si="14"/>
        <v>Research</v>
      </c>
      <c r="AK465">
        <f t="shared" si="15"/>
        <v>1</v>
      </c>
      <c r="AL465">
        <f>IF(Table1[[#This Row],[Attrition]]="Yes", Table1[[#This Row],[MonthlyIncome]]*12*1.5, 0)</f>
        <v>42120</v>
      </c>
      <c r="AM465" t="str" cm="1">
        <f t="array" ref="AM465">_xlfn.IFS(
Table1[[#This Row],[MonthlyIncome]]&lt;3000,"Under 3K",
Table1[[#This Row],[MonthlyIncome]]&lt;6000,"3K-6K",
Table1[[#This Row],[MonthlyIncome]]&lt;9000,"6K-9K",
Table1[[#This Row],[MonthlyIncome]]&lt;12000,"9K-12K",
TRUE,"12K+")</f>
        <v>Under 3K</v>
      </c>
      <c r="AN465">
        <f>1</f>
        <v>1</v>
      </c>
      <c r="AO465" t="str" cm="1">
        <f t="array" ref="AO465">_xlfn.IFS(
Table1[[#This Row],[YearsAtCompany]]&lt;=2,"0-2 Years",
Table1[[#This Row],[YearsAtCompany]]&lt;=5,"3-5 Years",
Table1[[#This Row],[YearsAtCompany]]&lt;=10,"6-10 Years",
TRUE,"10+ Years")</f>
        <v>0-2 Years</v>
      </c>
    </row>
    <row r="466" spans="1:41"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tr">
        <f t="shared" si="14"/>
        <v>Operations</v>
      </c>
      <c r="AK466">
        <f t="shared" si="15"/>
        <v>0</v>
      </c>
      <c r="AL466">
        <f>IF(Table1[[#This Row],[Attrition]]="Yes", Table1[[#This Row],[MonthlyIncome]]*12*1.5, 0)</f>
        <v>0</v>
      </c>
      <c r="AM466" t="str" cm="1">
        <f t="array" ref="AM466">_xlfn.IFS(
Table1[[#This Row],[MonthlyIncome]]&lt;3000,"Under 3K",
Table1[[#This Row],[MonthlyIncome]]&lt;6000,"3K-6K",
Table1[[#This Row],[MonthlyIncome]]&lt;9000,"6K-9K",
Table1[[#This Row],[MonthlyIncome]]&lt;12000,"9K-12K",
TRUE,"12K+")</f>
        <v>6K-9K</v>
      </c>
      <c r="AN466">
        <f>1</f>
        <v>1</v>
      </c>
      <c r="AO466" t="str" cm="1">
        <f t="array" ref="AO466">_xlfn.IFS(
Table1[[#This Row],[YearsAtCompany]]&lt;=2,"0-2 Years",
Table1[[#This Row],[YearsAtCompany]]&lt;=5,"3-5 Years",
Table1[[#This Row],[YearsAtCompany]]&lt;=10,"6-10 Years",
TRUE,"10+ Years")</f>
        <v>6-10 Years</v>
      </c>
    </row>
    <row r="467" spans="1:41"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tr">
        <f t="shared" si="14"/>
        <v>Healthcare</v>
      </c>
      <c r="AK467">
        <f t="shared" si="15"/>
        <v>0</v>
      </c>
      <c r="AL467">
        <f>IF(Table1[[#This Row],[Attrition]]="Yes", Table1[[#This Row],[MonthlyIncome]]*12*1.5, 0)</f>
        <v>0</v>
      </c>
      <c r="AM467" t="str" cm="1">
        <f t="array" ref="AM467">_xlfn.IFS(
Table1[[#This Row],[MonthlyIncome]]&lt;3000,"Under 3K",
Table1[[#This Row],[MonthlyIncome]]&lt;6000,"3K-6K",
Table1[[#This Row],[MonthlyIncome]]&lt;9000,"6K-9K",
Table1[[#This Row],[MonthlyIncome]]&lt;12000,"9K-12K",
TRUE,"12K+")</f>
        <v>9K-12K</v>
      </c>
      <c r="AN467">
        <f>1</f>
        <v>1</v>
      </c>
      <c r="AO467" t="str" cm="1">
        <f t="array" ref="AO467">_xlfn.IFS(
Table1[[#This Row],[YearsAtCompany]]&lt;=2,"0-2 Years",
Table1[[#This Row],[YearsAtCompany]]&lt;=5,"3-5 Years",
Table1[[#This Row],[YearsAtCompany]]&lt;=10,"6-10 Years",
TRUE,"10+ Years")</f>
        <v>0-2 Years</v>
      </c>
    </row>
    <row r="468" spans="1:41"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tr">
        <f t="shared" si="14"/>
        <v>Management</v>
      </c>
      <c r="AK468">
        <f t="shared" si="15"/>
        <v>0</v>
      </c>
      <c r="AL468">
        <f>IF(Table1[[#This Row],[Attrition]]="Yes", Table1[[#This Row],[MonthlyIncome]]*12*1.5, 0)</f>
        <v>0</v>
      </c>
      <c r="AM468" t="str" cm="1">
        <f t="array" ref="AM468">_xlfn.IFS(
Table1[[#This Row],[MonthlyIncome]]&lt;3000,"Under 3K",
Table1[[#This Row],[MonthlyIncome]]&lt;6000,"3K-6K",
Table1[[#This Row],[MonthlyIncome]]&lt;9000,"6K-9K",
Table1[[#This Row],[MonthlyIncome]]&lt;12000,"9K-12K",
TRUE,"12K+")</f>
        <v>12K+</v>
      </c>
      <c r="AN468">
        <f>1</f>
        <v>1</v>
      </c>
      <c r="AO468" t="str" cm="1">
        <f t="array" ref="AO468">_xlfn.IFS(
Table1[[#This Row],[YearsAtCompany]]&lt;=2,"0-2 Years",
Table1[[#This Row],[YearsAtCompany]]&lt;=5,"3-5 Years",
Table1[[#This Row],[YearsAtCompany]]&lt;=10,"6-10 Years",
TRUE,"10+ Years")</f>
        <v>10+ Years</v>
      </c>
    </row>
    <row r="469" spans="1:41"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tr">
        <f t="shared" si="14"/>
        <v>Sales</v>
      </c>
      <c r="AK469">
        <f t="shared" si="15"/>
        <v>0</v>
      </c>
      <c r="AL469">
        <f>IF(Table1[[#This Row],[Attrition]]="Yes", Table1[[#This Row],[MonthlyIncome]]*12*1.5, 0)</f>
        <v>0</v>
      </c>
      <c r="AM469" t="str" cm="1">
        <f t="array" ref="AM469">_xlfn.IFS(
Table1[[#This Row],[MonthlyIncome]]&lt;3000,"Under 3K",
Table1[[#This Row],[MonthlyIncome]]&lt;6000,"3K-6K",
Table1[[#This Row],[MonthlyIncome]]&lt;9000,"6K-9K",
Table1[[#This Row],[MonthlyIncome]]&lt;12000,"9K-12K",
TRUE,"12K+")</f>
        <v>6K-9K</v>
      </c>
      <c r="AN469">
        <f>1</f>
        <v>1</v>
      </c>
      <c r="AO469" t="str" cm="1">
        <f t="array" ref="AO469">_xlfn.IFS(
Table1[[#This Row],[YearsAtCompany]]&lt;=2,"0-2 Years",
Table1[[#This Row],[YearsAtCompany]]&lt;=5,"3-5 Years",
Table1[[#This Row],[YearsAtCompany]]&lt;=10,"6-10 Years",
TRUE,"10+ Years")</f>
        <v>6-10 Years</v>
      </c>
    </row>
    <row r="470" spans="1:41"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tr">
        <f t="shared" si="14"/>
        <v>Research</v>
      </c>
      <c r="AK470">
        <f t="shared" si="15"/>
        <v>0</v>
      </c>
      <c r="AL470">
        <f>IF(Table1[[#This Row],[Attrition]]="Yes", Table1[[#This Row],[MonthlyIncome]]*12*1.5, 0)</f>
        <v>0</v>
      </c>
      <c r="AM470" t="str" cm="1">
        <f t="array" ref="AM470">_xlfn.IFS(
Table1[[#This Row],[MonthlyIncome]]&lt;3000,"Under 3K",
Table1[[#This Row],[MonthlyIncome]]&lt;6000,"3K-6K",
Table1[[#This Row],[MonthlyIncome]]&lt;9000,"6K-9K",
Table1[[#This Row],[MonthlyIncome]]&lt;12000,"9K-12K",
TRUE,"12K+")</f>
        <v>3K-6K</v>
      </c>
      <c r="AN470">
        <f>1</f>
        <v>1</v>
      </c>
      <c r="AO470" t="str" cm="1">
        <f t="array" ref="AO470">_xlfn.IFS(
Table1[[#This Row],[YearsAtCompany]]&lt;=2,"0-2 Years",
Table1[[#This Row],[YearsAtCompany]]&lt;=5,"3-5 Years",
Table1[[#This Row],[YearsAtCompany]]&lt;=10,"6-10 Years",
TRUE,"10+ Years")</f>
        <v>6-10 Years</v>
      </c>
    </row>
    <row r="471" spans="1:41"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tr">
        <f t="shared" si="14"/>
        <v>Sales</v>
      </c>
      <c r="AK471">
        <f t="shared" si="15"/>
        <v>1</v>
      </c>
      <c r="AL471">
        <f>IF(Table1[[#This Row],[Attrition]]="Yes", Table1[[#This Row],[MonthlyIncome]]*12*1.5, 0)</f>
        <v>84726</v>
      </c>
      <c r="AM471" t="str" cm="1">
        <f t="array" ref="AM471">_xlfn.IFS(
Table1[[#This Row],[MonthlyIncome]]&lt;3000,"Under 3K",
Table1[[#This Row],[MonthlyIncome]]&lt;6000,"3K-6K",
Table1[[#This Row],[MonthlyIncome]]&lt;9000,"6K-9K",
Table1[[#This Row],[MonthlyIncome]]&lt;12000,"9K-12K",
TRUE,"12K+")</f>
        <v>3K-6K</v>
      </c>
      <c r="AN471">
        <f>1</f>
        <v>1</v>
      </c>
      <c r="AO471" t="str" cm="1">
        <f t="array" ref="AO471">_xlfn.IFS(
Table1[[#This Row],[YearsAtCompany]]&lt;=2,"0-2 Years",
Table1[[#This Row],[YearsAtCompany]]&lt;=5,"3-5 Years",
Table1[[#This Row],[YearsAtCompany]]&lt;=10,"6-10 Years",
TRUE,"10+ Years")</f>
        <v>3-5 Years</v>
      </c>
    </row>
    <row r="472" spans="1:41"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tr">
        <f t="shared" si="14"/>
        <v>Sales</v>
      </c>
      <c r="AK472">
        <f t="shared" si="15"/>
        <v>0</v>
      </c>
      <c r="AL472">
        <f>IF(Table1[[#This Row],[Attrition]]="Yes", Table1[[#This Row],[MonthlyIncome]]*12*1.5, 0)</f>
        <v>0</v>
      </c>
      <c r="AM472" t="str" cm="1">
        <f t="array" ref="AM472">_xlfn.IFS(
Table1[[#This Row],[MonthlyIncome]]&lt;3000,"Under 3K",
Table1[[#This Row],[MonthlyIncome]]&lt;6000,"3K-6K",
Table1[[#This Row],[MonthlyIncome]]&lt;9000,"6K-9K",
Table1[[#This Row],[MonthlyIncome]]&lt;12000,"9K-12K",
TRUE,"12K+")</f>
        <v>Under 3K</v>
      </c>
      <c r="AN472">
        <f>1</f>
        <v>1</v>
      </c>
      <c r="AO472" t="str" cm="1">
        <f t="array" ref="AO472">_xlfn.IFS(
Table1[[#This Row],[YearsAtCompany]]&lt;=2,"0-2 Years",
Table1[[#This Row],[YearsAtCompany]]&lt;=5,"3-5 Years",
Table1[[#This Row],[YearsAtCompany]]&lt;=10,"6-10 Years",
TRUE,"10+ Years")</f>
        <v>0-2 Years</v>
      </c>
    </row>
    <row r="473" spans="1:41"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tr">
        <f t="shared" si="14"/>
        <v>Healthcare</v>
      </c>
      <c r="AK473">
        <f t="shared" si="15"/>
        <v>0</v>
      </c>
      <c r="AL473">
        <f>IF(Table1[[#This Row],[Attrition]]="Yes", Table1[[#This Row],[MonthlyIncome]]*12*1.5, 0)</f>
        <v>0</v>
      </c>
      <c r="AM473" t="str" cm="1">
        <f t="array" ref="AM473">_xlfn.IFS(
Table1[[#This Row],[MonthlyIncome]]&lt;3000,"Under 3K",
Table1[[#This Row],[MonthlyIncome]]&lt;6000,"3K-6K",
Table1[[#This Row],[MonthlyIncome]]&lt;9000,"6K-9K",
Table1[[#This Row],[MonthlyIncome]]&lt;12000,"9K-12K",
TRUE,"12K+")</f>
        <v>9K-12K</v>
      </c>
      <c r="AN473">
        <f>1</f>
        <v>1</v>
      </c>
      <c r="AO473" t="str" cm="1">
        <f t="array" ref="AO473">_xlfn.IFS(
Table1[[#This Row],[YearsAtCompany]]&lt;=2,"0-2 Years",
Table1[[#This Row],[YearsAtCompany]]&lt;=5,"3-5 Years",
Table1[[#This Row],[YearsAtCompany]]&lt;=10,"6-10 Years",
TRUE,"10+ Years")</f>
        <v>0-2 Years</v>
      </c>
    </row>
    <row r="474" spans="1:41"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tr">
        <f t="shared" si="14"/>
        <v>Operations</v>
      </c>
      <c r="AK474">
        <f t="shared" si="15"/>
        <v>0</v>
      </c>
      <c r="AL474">
        <f>IF(Table1[[#This Row],[Attrition]]="Yes", Table1[[#This Row],[MonthlyIncome]]*12*1.5, 0)</f>
        <v>0</v>
      </c>
      <c r="AM474" t="str" cm="1">
        <f t="array" ref="AM474">_xlfn.IFS(
Table1[[#This Row],[MonthlyIncome]]&lt;3000,"Under 3K",
Table1[[#This Row],[MonthlyIncome]]&lt;6000,"3K-6K",
Table1[[#This Row],[MonthlyIncome]]&lt;9000,"6K-9K",
Table1[[#This Row],[MonthlyIncome]]&lt;12000,"9K-12K",
TRUE,"12K+")</f>
        <v>6K-9K</v>
      </c>
      <c r="AN474">
        <f>1</f>
        <v>1</v>
      </c>
      <c r="AO474" t="str" cm="1">
        <f t="array" ref="AO474">_xlfn.IFS(
Table1[[#This Row],[YearsAtCompany]]&lt;=2,"0-2 Years",
Table1[[#This Row],[YearsAtCompany]]&lt;=5,"3-5 Years",
Table1[[#This Row],[YearsAtCompany]]&lt;=10,"6-10 Years",
TRUE,"10+ Years")</f>
        <v>6-10 Years</v>
      </c>
    </row>
    <row r="475" spans="1:41"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tr">
        <f t="shared" si="14"/>
        <v>Research</v>
      </c>
      <c r="AK475">
        <f t="shared" si="15"/>
        <v>0</v>
      </c>
      <c r="AL475">
        <f>IF(Table1[[#This Row],[Attrition]]="Yes", Table1[[#This Row],[MonthlyIncome]]*12*1.5, 0)</f>
        <v>0</v>
      </c>
      <c r="AM475" t="str" cm="1">
        <f t="array" ref="AM475">_xlfn.IFS(
Table1[[#This Row],[MonthlyIncome]]&lt;3000,"Under 3K",
Table1[[#This Row],[MonthlyIncome]]&lt;6000,"3K-6K",
Table1[[#This Row],[MonthlyIncome]]&lt;9000,"6K-9K",
Table1[[#This Row],[MonthlyIncome]]&lt;12000,"9K-12K",
TRUE,"12K+")</f>
        <v>12K+</v>
      </c>
      <c r="AN475">
        <f>1</f>
        <v>1</v>
      </c>
      <c r="AO475" t="str" cm="1">
        <f t="array" ref="AO475">_xlfn.IFS(
Table1[[#This Row],[YearsAtCompany]]&lt;=2,"0-2 Years",
Table1[[#This Row],[YearsAtCompany]]&lt;=5,"3-5 Years",
Table1[[#This Row],[YearsAtCompany]]&lt;=10,"6-10 Years",
TRUE,"10+ Years")</f>
        <v>10+ Years</v>
      </c>
    </row>
    <row r="476" spans="1:41"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tr">
        <f t="shared" si="14"/>
        <v>Research</v>
      </c>
      <c r="AK476">
        <f t="shared" si="15"/>
        <v>0</v>
      </c>
      <c r="AL476">
        <f>IF(Table1[[#This Row],[Attrition]]="Yes", Table1[[#This Row],[MonthlyIncome]]*12*1.5, 0)</f>
        <v>0</v>
      </c>
      <c r="AM476" t="str" cm="1">
        <f t="array" ref="AM476">_xlfn.IFS(
Table1[[#This Row],[MonthlyIncome]]&lt;3000,"Under 3K",
Table1[[#This Row],[MonthlyIncome]]&lt;6000,"3K-6K",
Table1[[#This Row],[MonthlyIncome]]&lt;9000,"6K-9K",
Table1[[#This Row],[MonthlyIncome]]&lt;12000,"9K-12K",
TRUE,"12K+")</f>
        <v>Under 3K</v>
      </c>
      <c r="AN476">
        <f>1</f>
        <v>1</v>
      </c>
      <c r="AO476" t="str" cm="1">
        <f t="array" ref="AO476">_xlfn.IFS(
Table1[[#This Row],[YearsAtCompany]]&lt;=2,"0-2 Years",
Table1[[#This Row],[YearsAtCompany]]&lt;=5,"3-5 Years",
Table1[[#This Row],[YearsAtCompany]]&lt;=10,"6-10 Years",
TRUE,"10+ Years")</f>
        <v>6-10 Years</v>
      </c>
    </row>
    <row r="477" spans="1:41"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tr">
        <f t="shared" si="14"/>
        <v>Sales</v>
      </c>
      <c r="AK477">
        <f t="shared" si="15"/>
        <v>0</v>
      </c>
      <c r="AL477">
        <f>IF(Table1[[#This Row],[Attrition]]="Yes", Table1[[#This Row],[MonthlyIncome]]*12*1.5, 0)</f>
        <v>0</v>
      </c>
      <c r="AM477" t="str" cm="1">
        <f t="array" ref="AM477">_xlfn.IFS(
Table1[[#This Row],[MonthlyIncome]]&lt;3000,"Under 3K",
Table1[[#This Row],[MonthlyIncome]]&lt;6000,"3K-6K",
Table1[[#This Row],[MonthlyIncome]]&lt;9000,"6K-9K",
Table1[[#This Row],[MonthlyIncome]]&lt;12000,"9K-12K",
TRUE,"12K+")</f>
        <v>6K-9K</v>
      </c>
      <c r="AN477">
        <f>1</f>
        <v>1</v>
      </c>
      <c r="AO477" t="str" cm="1">
        <f t="array" ref="AO477">_xlfn.IFS(
Table1[[#This Row],[YearsAtCompany]]&lt;=2,"0-2 Years",
Table1[[#This Row],[YearsAtCompany]]&lt;=5,"3-5 Years",
Table1[[#This Row],[YearsAtCompany]]&lt;=10,"6-10 Years",
TRUE,"10+ Years")</f>
        <v>3-5 Years</v>
      </c>
    </row>
    <row r="478" spans="1:41"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tr">
        <f t="shared" si="14"/>
        <v>Research</v>
      </c>
      <c r="AK478">
        <f t="shared" si="15"/>
        <v>0</v>
      </c>
      <c r="AL478">
        <f>IF(Table1[[#This Row],[Attrition]]="Yes", Table1[[#This Row],[MonthlyIncome]]*12*1.5, 0)</f>
        <v>0</v>
      </c>
      <c r="AM478" t="str" cm="1">
        <f t="array" ref="AM478">_xlfn.IFS(
Table1[[#This Row],[MonthlyIncome]]&lt;3000,"Under 3K",
Table1[[#This Row],[MonthlyIncome]]&lt;6000,"3K-6K",
Table1[[#This Row],[MonthlyIncome]]&lt;9000,"6K-9K",
Table1[[#This Row],[MonthlyIncome]]&lt;12000,"9K-12K",
TRUE,"12K+")</f>
        <v>Under 3K</v>
      </c>
      <c r="AN478">
        <f>1</f>
        <v>1</v>
      </c>
      <c r="AO478" t="str" cm="1">
        <f t="array" ref="AO478">_xlfn.IFS(
Table1[[#This Row],[YearsAtCompany]]&lt;=2,"0-2 Years",
Table1[[#This Row],[YearsAtCompany]]&lt;=5,"3-5 Years",
Table1[[#This Row],[YearsAtCompany]]&lt;=10,"6-10 Years",
TRUE,"10+ Years")</f>
        <v>0-2 Years</v>
      </c>
    </row>
    <row r="479" spans="1:41"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tr">
        <f t="shared" si="14"/>
        <v>Management</v>
      </c>
      <c r="AK479">
        <f t="shared" si="15"/>
        <v>0</v>
      </c>
      <c r="AL479">
        <f>IF(Table1[[#This Row],[Attrition]]="Yes", Table1[[#This Row],[MonthlyIncome]]*12*1.5, 0)</f>
        <v>0</v>
      </c>
      <c r="AM479" t="str" cm="1">
        <f t="array" ref="AM479">_xlfn.IFS(
Table1[[#This Row],[MonthlyIncome]]&lt;3000,"Under 3K",
Table1[[#This Row],[MonthlyIncome]]&lt;6000,"3K-6K",
Table1[[#This Row],[MonthlyIncome]]&lt;9000,"6K-9K",
Table1[[#This Row],[MonthlyIncome]]&lt;12000,"9K-12K",
TRUE,"12K+")</f>
        <v>12K+</v>
      </c>
      <c r="AN479">
        <f>1</f>
        <v>1</v>
      </c>
      <c r="AO479" t="str" cm="1">
        <f t="array" ref="AO479">_xlfn.IFS(
Table1[[#This Row],[YearsAtCompany]]&lt;=2,"0-2 Years",
Table1[[#This Row],[YearsAtCompany]]&lt;=5,"3-5 Years",
Table1[[#This Row],[YearsAtCompany]]&lt;=10,"6-10 Years",
TRUE,"10+ Years")</f>
        <v>10+ Years</v>
      </c>
    </row>
    <row r="480" spans="1:41"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tr">
        <f t="shared" si="14"/>
        <v>Sales</v>
      </c>
      <c r="AK480">
        <f t="shared" si="15"/>
        <v>0</v>
      </c>
      <c r="AL480">
        <f>IF(Table1[[#This Row],[Attrition]]="Yes", Table1[[#This Row],[MonthlyIncome]]*12*1.5, 0)</f>
        <v>0</v>
      </c>
      <c r="AM480" t="str" cm="1">
        <f t="array" ref="AM480">_xlfn.IFS(
Table1[[#This Row],[MonthlyIncome]]&lt;3000,"Under 3K",
Table1[[#This Row],[MonthlyIncome]]&lt;6000,"3K-6K",
Table1[[#This Row],[MonthlyIncome]]&lt;9000,"6K-9K",
Table1[[#This Row],[MonthlyIncome]]&lt;12000,"9K-12K",
TRUE,"12K+")</f>
        <v>Under 3K</v>
      </c>
      <c r="AN480">
        <f>1</f>
        <v>1</v>
      </c>
      <c r="AO480" t="str" cm="1">
        <f t="array" ref="AO480">_xlfn.IFS(
Table1[[#This Row],[YearsAtCompany]]&lt;=2,"0-2 Years",
Table1[[#This Row],[YearsAtCompany]]&lt;=5,"3-5 Years",
Table1[[#This Row],[YearsAtCompany]]&lt;=10,"6-10 Years",
TRUE,"10+ Years")</f>
        <v>6-10 Years</v>
      </c>
    </row>
    <row r="481" spans="1:41"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tr">
        <f t="shared" si="14"/>
        <v>Research</v>
      </c>
      <c r="AK481">
        <f t="shared" si="15"/>
        <v>1</v>
      </c>
      <c r="AL481">
        <f>IF(Table1[[#This Row],[Attrition]]="Yes", Table1[[#This Row],[MonthlyIncome]]*12*1.5, 0)</f>
        <v>51948</v>
      </c>
      <c r="AM481" t="str" cm="1">
        <f t="array" ref="AM481">_xlfn.IFS(
Table1[[#This Row],[MonthlyIncome]]&lt;3000,"Under 3K",
Table1[[#This Row],[MonthlyIncome]]&lt;6000,"3K-6K",
Table1[[#This Row],[MonthlyIncome]]&lt;9000,"6K-9K",
Table1[[#This Row],[MonthlyIncome]]&lt;12000,"9K-12K",
TRUE,"12K+")</f>
        <v>Under 3K</v>
      </c>
      <c r="AN481">
        <f>1</f>
        <v>1</v>
      </c>
      <c r="AO481" t="str" cm="1">
        <f t="array" ref="AO481">_xlfn.IFS(
Table1[[#This Row],[YearsAtCompany]]&lt;=2,"0-2 Years",
Table1[[#This Row],[YearsAtCompany]]&lt;=5,"3-5 Years",
Table1[[#This Row],[YearsAtCompany]]&lt;=10,"6-10 Years",
TRUE,"10+ Years")</f>
        <v>6-10 Years</v>
      </c>
    </row>
    <row r="482" spans="1:41"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tr">
        <f t="shared" si="14"/>
        <v>Sales</v>
      </c>
      <c r="AK482">
        <f t="shared" si="15"/>
        <v>1</v>
      </c>
      <c r="AL482">
        <f>IF(Table1[[#This Row],[Attrition]]="Yes", Table1[[#This Row],[MonthlyIncome]]*12*1.5, 0)</f>
        <v>36594</v>
      </c>
      <c r="AM482" t="str" cm="1">
        <f t="array" ref="AM482">_xlfn.IFS(
Table1[[#This Row],[MonthlyIncome]]&lt;3000,"Under 3K",
Table1[[#This Row],[MonthlyIncome]]&lt;6000,"3K-6K",
Table1[[#This Row],[MonthlyIncome]]&lt;9000,"6K-9K",
Table1[[#This Row],[MonthlyIncome]]&lt;12000,"9K-12K",
TRUE,"12K+")</f>
        <v>Under 3K</v>
      </c>
      <c r="AN482">
        <f>1</f>
        <v>1</v>
      </c>
      <c r="AO482" t="str" cm="1">
        <f t="array" ref="AO482">_xlfn.IFS(
Table1[[#This Row],[YearsAtCompany]]&lt;=2,"0-2 Years",
Table1[[#This Row],[YearsAtCompany]]&lt;=5,"3-5 Years",
Table1[[#This Row],[YearsAtCompany]]&lt;=10,"6-10 Years",
TRUE,"10+ Years")</f>
        <v>0-2 Years</v>
      </c>
    </row>
    <row r="483" spans="1:41"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tr">
        <f t="shared" si="14"/>
        <v>Research</v>
      </c>
      <c r="AK483">
        <f t="shared" si="15"/>
        <v>0</v>
      </c>
      <c r="AL483">
        <f>IF(Table1[[#This Row],[Attrition]]="Yes", Table1[[#This Row],[MonthlyIncome]]*12*1.5, 0)</f>
        <v>0</v>
      </c>
      <c r="AM483" t="str" cm="1">
        <f t="array" ref="AM483">_xlfn.IFS(
Table1[[#This Row],[MonthlyIncome]]&lt;3000,"Under 3K",
Table1[[#This Row],[MonthlyIncome]]&lt;6000,"3K-6K",
Table1[[#This Row],[MonthlyIncome]]&lt;9000,"6K-9K",
Table1[[#This Row],[MonthlyIncome]]&lt;12000,"9K-12K",
TRUE,"12K+")</f>
        <v>3K-6K</v>
      </c>
      <c r="AN483">
        <f>1</f>
        <v>1</v>
      </c>
      <c r="AO483" t="str" cm="1">
        <f t="array" ref="AO483">_xlfn.IFS(
Table1[[#This Row],[YearsAtCompany]]&lt;=2,"0-2 Years",
Table1[[#This Row],[YearsAtCompany]]&lt;=5,"3-5 Years",
Table1[[#This Row],[YearsAtCompany]]&lt;=10,"6-10 Years",
TRUE,"10+ Years")</f>
        <v>6-10 Years</v>
      </c>
    </row>
    <row r="484" spans="1:41"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tr">
        <f t="shared" si="14"/>
        <v>Sales</v>
      </c>
      <c r="AK484">
        <f t="shared" si="15"/>
        <v>1</v>
      </c>
      <c r="AL484">
        <f>IF(Table1[[#This Row],[Attrition]]="Yes", Table1[[#This Row],[MonthlyIncome]]*12*1.5, 0)</f>
        <v>76194</v>
      </c>
      <c r="AM484" t="str" cm="1">
        <f t="array" ref="AM484">_xlfn.IFS(
Table1[[#This Row],[MonthlyIncome]]&lt;3000,"Under 3K",
Table1[[#This Row],[MonthlyIncome]]&lt;6000,"3K-6K",
Table1[[#This Row],[MonthlyIncome]]&lt;9000,"6K-9K",
Table1[[#This Row],[MonthlyIncome]]&lt;12000,"9K-12K",
TRUE,"12K+")</f>
        <v>3K-6K</v>
      </c>
      <c r="AN484">
        <f>1</f>
        <v>1</v>
      </c>
      <c r="AO484" t="str" cm="1">
        <f t="array" ref="AO484">_xlfn.IFS(
Table1[[#This Row],[YearsAtCompany]]&lt;=2,"0-2 Years",
Table1[[#This Row],[YearsAtCompany]]&lt;=5,"3-5 Years",
Table1[[#This Row],[YearsAtCompany]]&lt;=10,"6-10 Years",
TRUE,"10+ Years")</f>
        <v>3-5 Years</v>
      </c>
    </row>
    <row r="485" spans="1:41"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tr">
        <f t="shared" si="14"/>
        <v>Research</v>
      </c>
      <c r="AK485">
        <f t="shared" si="15"/>
        <v>0</v>
      </c>
      <c r="AL485">
        <f>IF(Table1[[#This Row],[Attrition]]="Yes", Table1[[#This Row],[MonthlyIncome]]*12*1.5, 0)</f>
        <v>0</v>
      </c>
      <c r="AM485" t="str" cm="1">
        <f t="array" ref="AM485">_xlfn.IFS(
Table1[[#This Row],[MonthlyIncome]]&lt;3000,"Under 3K",
Table1[[#This Row],[MonthlyIncome]]&lt;6000,"3K-6K",
Table1[[#This Row],[MonthlyIncome]]&lt;9000,"6K-9K",
Table1[[#This Row],[MonthlyIncome]]&lt;12000,"9K-12K",
TRUE,"12K+")</f>
        <v>3K-6K</v>
      </c>
      <c r="AN485">
        <f>1</f>
        <v>1</v>
      </c>
      <c r="AO485" t="str" cm="1">
        <f t="array" ref="AO485">_xlfn.IFS(
Table1[[#This Row],[YearsAtCompany]]&lt;=2,"0-2 Years",
Table1[[#This Row],[YearsAtCompany]]&lt;=5,"3-5 Years",
Table1[[#This Row],[YearsAtCompany]]&lt;=10,"6-10 Years",
TRUE,"10+ Years")</f>
        <v>3-5 Years</v>
      </c>
    </row>
    <row r="486" spans="1:41"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tr">
        <f t="shared" si="14"/>
        <v>Sales</v>
      </c>
      <c r="AK486">
        <f t="shared" si="15"/>
        <v>0</v>
      </c>
      <c r="AL486">
        <f>IF(Table1[[#This Row],[Attrition]]="Yes", Table1[[#This Row],[MonthlyIncome]]*12*1.5, 0)</f>
        <v>0</v>
      </c>
      <c r="AM486" t="str" cm="1">
        <f t="array" ref="AM486">_xlfn.IFS(
Table1[[#This Row],[MonthlyIncome]]&lt;3000,"Under 3K",
Table1[[#This Row],[MonthlyIncome]]&lt;6000,"3K-6K",
Table1[[#This Row],[MonthlyIncome]]&lt;9000,"6K-9K",
Table1[[#This Row],[MonthlyIncome]]&lt;12000,"9K-12K",
TRUE,"12K+")</f>
        <v>3K-6K</v>
      </c>
      <c r="AN486">
        <f>1</f>
        <v>1</v>
      </c>
      <c r="AO486" t="str" cm="1">
        <f t="array" ref="AO486">_xlfn.IFS(
Table1[[#This Row],[YearsAtCompany]]&lt;=2,"0-2 Years",
Table1[[#This Row],[YearsAtCompany]]&lt;=5,"3-5 Years",
Table1[[#This Row],[YearsAtCompany]]&lt;=10,"6-10 Years",
TRUE,"10+ Years")</f>
        <v>6-10 Years</v>
      </c>
    </row>
    <row r="487" spans="1:41"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tr">
        <f t="shared" si="14"/>
        <v>Research</v>
      </c>
      <c r="AK487">
        <f t="shared" si="15"/>
        <v>0</v>
      </c>
      <c r="AL487">
        <f>IF(Table1[[#This Row],[Attrition]]="Yes", Table1[[#This Row],[MonthlyIncome]]*12*1.5, 0)</f>
        <v>0</v>
      </c>
      <c r="AM487" t="str" cm="1">
        <f t="array" ref="AM487">_xlfn.IFS(
Table1[[#This Row],[MonthlyIncome]]&lt;3000,"Under 3K",
Table1[[#This Row],[MonthlyIncome]]&lt;6000,"3K-6K",
Table1[[#This Row],[MonthlyIncome]]&lt;9000,"6K-9K",
Table1[[#This Row],[MonthlyIncome]]&lt;12000,"9K-12K",
TRUE,"12K+")</f>
        <v>Under 3K</v>
      </c>
      <c r="AN487">
        <f>1</f>
        <v>1</v>
      </c>
      <c r="AO487" t="str" cm="1">
        <f t="array" ref="AO487">_xlfn.IFS(
Table1[[#This Row],[YearsAtCompany]]&lt;=2,"0-2 Years",
Table1[[#This Row],[YearsAtCompany]]&lt;=5,"3-5 Years",
Table1[[#This Row],[YearsAtCompany]]&lt;=10,"6-10 Years",
TRUE,"10+ Years")</f>
        <v>3-5 Years</v>
      </c>
    </row>
    <row r="488" spans="1:41"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tr">
        <f t="shared" si="14"/>
        <v>Sales</v>
      </c>
      <c r="AK488">
        <f t="shared" si="15"/>
        <v>0</v>
      </c>
      <c r="AL488">
        <f>IF(Table1[[#This Row],[Attrition]]="Yes", Table1[[#This Row],[MonthlyIncome]]*12*1.5, 0)</f>
        <v>0</v>
      </c>
      <c r="AM488" t="str" cm="1">
        <f t="array" ref="AM488">_xlfn.IFS(
Table1[[#This Row],[MonthlyIncome]]&lt;3000,"Under 3K",
Table1[[#This Row],[MonthlyIncome]]&lt;6000,"3K-6K",
Table1[[#This Row],[MonthlyIncome]]&lt;9000,"6K-9K",
Table1[[#This Row],[MonthlyIncome]]&lt;12000,"9K-12K",
TRUE,"12K+")</f>
        <v>9K-12K</v>
      </c>
      <c r="AN488">
        <f>1</f>
        <v>1</v>
      </c>
      <c r="AO488" t="str" cm="1">
        <f t="array" ref="AO488">_xlfn.IFS(
Table1[[#This Row],[YearsAtCompany]]&lt;=2,"0-2 Years",
Table1[[#This Row],[YearsAtCompany]]&lt;=5,"3-5 Years",
Table1[[#This Row],[YearsAtCompany]]&lt;=10,"6-10 Years",
TRUE,"10+ Years")</f>
        <v>3-5 Years</v>
      </c>
    </row>
    <row r="489" spans="1:41"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tr">
        <f t="shared" si="14"/>
        <v>Research</v>
      </c>
      <c r="AK489">
        <f t="shared" si="15"/>
        <v>0</v>
      </c>
      <c r="AL489">
        <f>IF(Table1[[#This Row],[Attrition]]="Yes", Table1[[#This Row],[MonthlyIncome]]*12*1.5, 0)</f>
        <v>0</v>
      </c>
      <c r="AM489" t="str" cm="1">
        <f t="array" ref="AM489">_xlfn.IFS(
Table1[[#This Row],[MonthlyIncome]]&lt;3000,"Under 3K",
Table1[[#This Row],[MonthlyIncome]]&lt;6000,"3K-6K",
Table1[[#This Row],[MonthlyIncome]]&lt;9000,"6K-9K",
Table1[[#This Row],[MonthlyIncome]]&lt;12000,"9K-12K",
TRUE,"12K+")</f>
        <v>Under 3K</v>
      </c>
      <c r="AN489">
        <f>1</f>
        <v>1</v>
      </c>
      <c r="AO489" t="str" cm="1">
        <f t="array" ref="AO489">_xlfn.IFS(
Table1[[#This Row],[YearsAtCompany]]&lt;=2,"0-2 Years",
Table1[[#This Row],[YearsAtCompany]]&lt;=5,"3-5 Years",
Table1[[#This Row],[YearsAtCompany]]&lt;=10,"6-10 Years",
TRUE,"10+ Years")</f>
        <v>0-2 Years</v>
      </c>
    </row>
    <row r="490" spans="1:41"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tr">
        <f t="shared" si="14"/>
        <v>Healthcare</v>
      </c>
      <c r="AK490">
        <f t="shared" si="15"/>
        <v>0</v>
      </c>
      <c r="AL490">
        <f>IF(Table1[[#This Row],[Attrition]]="Yes", Table1[[#This Row],[MonthlyIncome]]*12*1.5, 0)</f>
        <v>0</v>
      </c>
      <c r="AM490" t="str" cm="1">
        <f t="array" ref="AM490">_xlfn.IFS(
Table1[[#This Row],[MonthlyIncome]]&lt;3000,"Under 3K",
Table1[[#This Row],[MonthlyIncome]]&lt;6000,"3K-6K",
Table1[[#This Row],[MonthlyIncome]]&lt;9000,"6K-9K",
Table1[[#This Row],[MonthlyIncome]]&lt;12000,"9K-12K",
TRUE,"12K+")</f>
        <v>3K-6K</v>
      </c>
      <c r="AN490">
        <f>1</f>
        <v>1</v>
      </c>
      <c r="AO490" t="str" cm="1">
        <f t="array" ref="AO490">_xlfn.IFS(
Table1[[#This Row],[YearsAtCompany]]&lt;=2,"0-2 Years",
Table1[[#This Row],[YearsAtCompany]]&lt;=5,"3-5 Years",
Table1[[#This Row],[YearsAtCompany]]&lt;=10,"6-10 Years",
TRUE,"10+ Years")</f>
        <v>6-10 Years</v>
      </c>
    </row>
    <row r="491" spans="1:41"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tr">
        <f t="shared" si="14"/>
        <v>Research</v>
      </c>
      <c r="AK491">
        <f t="shared" si="15"/>
        <v>0</v>
      </c>
      <c r="AL491">
        <f>IF(Table1[[#This Row],[Attrition]]="Yes", Table1[[#This Row],[MonthlyIncome]]*12*1.5, 0)</f>
        <v>0</v>
      </c>
      <c r="AM491" t="str" cm="1">
        <f t="array" ref="AM491">_xlfn.IFS(
Table1[[#This Row],[MonthlyIncome]]&lt;3000,"Under 3K",
Table1[[#This Row],[MonthlyIncome]]&lt;6000,"3K-6K",
Table1[[#This Row],[MonthlyIncome]]&lt;9000,"6K-9K",
Table1[[#This Row],[MonthlyIncome]]&lt;12000,"9K-12K",
TRUE,"12K+")</f>
        <v>12K+</v>
      </c>
      <c r="AN491">
        <f>1</f>
        <v>1</v>
      </c>
      <c r="AO491" t="str" cm="1">
        <f t="array" ref="AO491">_xlfn.IFS(
Table1[[#This Row],[YearsAtCompany]]&lt;=2,"0-2 Years",
Table1[[#This Row],[YearsAtCompany]]&lt;=5,"3-5 Years",
Table1[[#This Row],[YearsAtCompany]]&lt;=10,"6-10 Years",
TRUE,"10+ Years")</f>
        <v>0-2 Years</v>
      </c>
    </row>
    <row r="492" spans="1:41"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tr">
        <f t="shared" si="14"/>
        <v>Research</v>
      </c>
      <c r="AK492">
        <f t="shared" si="15"/>
        <v>0</v>
      </c>
      <c r="AL492">
        <f>IF(Table1[[#This Row],[Attrition]]="Yes", Table1[[#This Row],[MonthlyIncome]]*12*1.5, 0)</f>
        <v>0</v>
      </c>
      <c r="AM492" t="str" cm="1">
        <f t="array" ref="AM492">_xlfn.IFS(
Table1[[#This Row],[MonthlyIncome]]&lt;3000,"Under 3K",
Table1[[#This Row],[MonthlyIncome]]&lt;6000,"3K-6K",
Table1[[#This Row],[MonthlyIncome]]&lt;9000,"6K-9K",
Table1[[#This Row],[MonthlyIncome]]&lt;12000,"9K-12K",
TRUE,"12K+")</f>
        <v>Under 3K</v>
      </c>
      <c r="AN492">
        <f>1</f>
        <v>1</v>
      </c>
      <c r="AO492" t="str" cm="1">
        <f t="array" ref="AO492">_xlfn.IFS(
Table1[[#This Row],[YearsAtCompany]]&lt;=2,"0-2 Years",
Table1[[#This Row],[YearsAtCompany]]&lt;=5,"3-5 Years",
Table1[[#This Row],[YearsAtCompany]]&lt;=10,"6-10 Years",
TRUE,"10+ Years")</f>
        <v>0-2 Years</v>
      </c>
    </row>
    <row r="493" spans="1:41"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tr">
        <f t="shared" si="14"/>
        <v>Research</v>
      </c>
      <c r="AK493">
        <f t="shared" si="15"/>
        <v>0</v>
      </c>
      <c r="AL493">
        <f>IF(Table1[[#This Row],[Attrition]]="Yes", Table1[[#This Row],[MonthlyIncome]]*12*1.5, 0)</f>
        <v>0</v>
      </c>
      <c r="AM493" t="str" cm="1">
        <f t="array" ref="AM493">_xlfn.IFS(
Table1[[#This Row],[MonthlyIncome]]&lt;3000,"Under 3K",
Table1[[#This Row],[MonthlyIncome]]&lt;6000,"3K-6K",
Table1[[#This Row],[MonthlyIncome]]&lt;9000,"6K-9K",
Table1[[#This Row],[MonthlyIncome]]&lt;12000,"9K-12K",
TRUE,"12K+")</f>
        <v>3K-6K</v>
      </c>
      <c r="AN493">
        <f>1</f>
        <v>1</v>
      </c>
      <c r="AO493" t="str" cm="1">
        <f t="array" ref="AO493">_xlfn.IFS(
Table1[[#This Row],[YearsAtCompany]]&lt;=2,"0-2 Years",
Table1[[#This Row],[YearsAtCompany]]&lt;=5,"3-5 Years",
Table1[[#This Row],[YearsAtCompany]]&lt;=10,"6-10 Years",
TRUE,"10+ Years")</f>
        <v>6-10 Years</v>
      </c>
    </row>
    <row r="494" spans="1:41"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tr">
        <f t="shared" si="14"/>
        <v>Management</v>
      </c>
      <c r="AK494">
        <f t="shared" si="15"/>
        <v>0</v>
      </c>
      <c r="AL494">
        <f>IF(Table1[[#This Row],[Attrition]]="Yes", Table1[[#This Row],[MonthlyIncome]]*12*1.5, 0)</f>
        <v>0</v>
      </c>
      <c r="AM494" t="str" cm="1">
        <f t="array" ref="AM494">_xlfn.IFS(
Table1[[#This Row],[MonthlyIncome]]&lt;3000,"Under 3K",
Table1[[#This Row],[MonthlyIncome]]&lt;6000,"3K-6K",
Table1[[#This Row],[MonthlyIncome]]&lt;9000,"6K-9K",
Table1[[#This Row],[MonthlyIncome]]&lt;12000,"9K-12K",
TRUE,"12K+")</f>
        <v>12K+</v>
      </c>
      <c r="AN494">
        <f>1</f>
        <v>1</v>
      </c>
      <c r="AO494" t="str" cm="1">
        <f t="array" ref="AO494">_xlfn.IFS(
Table1[[#This Row],[YearsAtCompany]]&lt;=2,"0-2 Years",
Table1[[#This Row],[YearsAtCompany]]&lt;=5,"3-5 Years",
Table1[[#This Row],[YearsAtCompany]]&lt;=10,"6-10 Years",
TRUE,"10+ Years")</f>
        <v>3-5 Years</v>
      </c>
    </row>
    <row r="495" spans="1:41"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tr">
        <f t="shared" si="14"/>
        <v>Human Resources</v>
      </c>
      <c r="AK495">
        <f t="shared" si="15"/>
        <v>0</v>
      </c>
      <c r="AL495">
        <f>IF(Table1[[#This Row],[Attrition]]="Yes", Table1[[#This Row],[MonthlyIncome]]*12*1.5, 0)</f>
        <v>0</v>
      </c>
      <c r="AM495" t="str" cm="1">
        <f t="array" ref="AM495">_xlfn.IFS(
Table1[[#This Row],[MonthlyIncome]]&lt;3000,"Under 3K",
Table1[[#This Row],[MonthlyIncome]]&lt;6000,"3K-6K",
Table1[[#This Row],[MonthlyIncome]]&lt;9000,"6K-9K",
Table1[[#This Row],[MonthlyIncome]]&lt;12000,"9K-12K",
TRUE,"12K+")</f>
        <v>3K-6K</v>
      </c>
      <c r="AN495">
        <f>1</f>
        <v>1</v>
      </c>
      <c r="AO495" t="str" cm="1">
        <f t="array" ref="AO495">_xlfn.IFS(
Table1[[#This Row],[YearsAtCompany]]&lt;=2,"0-2 Years",
Table1[[#This Row],[YearsAtCompany]]&lt;=5,"3-5 Years",
Table1[[#This Row],[YearsAtCompany]]&lt;=10,"6-10 Years",
TRUE,"10+ Years")</f>
        <v>0-2 Years</v>
      </c>
    </row>
    <row r="496" spans="1:41"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tr">
        <f t="shared" si="14"/>
        <v>Sales</v>
      </c>
      <c r="AK496">
        <f t="shared" si="15"/>
        <v>0</v>
      </c>
      <c r="AL496">
        <f>IF(Table1[[#This Row],[Attrition]]="Yes", Table1[[#This Row],[MonthlyIncome]]*12*1.5, 0)</f>
        <v>0</v>
      </c>
      <c r="AM496" t="str" cm="1">
        <f t="array" ref="AM496">_xlfn.IFS(
Table1[[#This Row],[MonthlyIncome]]&lt;3000,"Under 3K",
Table1[[#This Row],[MonthlyIncome]]&lt;6000,"3K-6K",
Table1[[#This Row],[MonthlyIncome]]&lt;9000,"6K-9K",
Table1[[#This Row],[MonthlyIncome]]&lt;12000,"9K-12K",
TRUE,"12K+")</f>
        <v>Under 3K</v>
      </c>
      <c r="AN496">
        <f>1</f>
        <v>1</v>
      </c>
      <c r="AO496" t="str" cm="1">
        <f t="array" ref="AO496">_xlfn.IFS(
Table1[[#This Row],[YearsAtCompany]]&lt;=2,"0-2 Years",
Table1[[#This Row],[YearsAtCompany]]&lt;=5,"3-5 Years",
Table1[[#This Row],[YearsAtCompany]]&lt;=10,"6-10 Years",
TRUE,"10+ Years")</f>
        <v>6-10 Years</v>
      </c>
    </row>
    <row r="497" spans="1:41"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tr">
        <f t="shared" si="14"/>
        <v>Sales</v>
      </c>
      <c r="AK497">
        <f t="shared" si="15"/>
        <v>1</v>
      </c>
      <c r="AL497">
        <f>IF(Table1[[#This Row],[Attrition]]="Yes", Table1[[#This Row],[MonthlyIncome]]*12*1.5, 0)</f>
        <v>54738</v>
      </c>
      <c r="AM497" t="str" cm="1">
        <f t="array" ref="AM497">_xlfn.IFS(
Table1[[#This Row],[MonthlyIncome]]&lt;3000,"Under 3K",
Table1[[#This Row],[MonthlyIncome]]&lt;6000,"3K-6K",
Table1[[#This Row],[MonthlyIncome]]&lt;9000,"6K-9K",
Table1[[#This Row],[MonthlyIncome]]&lt;12000,"9K-12K",
TRUE,"12K+")</f>
        <v>3K-6K</v>
      </c>
      <c r="AN497">
        <f>1</f>
        <v>1</v>
      </c>
      <c r="AO497" t="str" cm="1">
        <f t="array" ref="AO497">_xlfn.IFS(
Table1[[#This Row],[YearsAtCompany]]&lt;=2,"0-2 Years",
Table1[[#This Row],[YearsAtCompany]]&lt;=5,"3-5 Years",
Table1[[#This Row],[YearsAtCompany]]&lt;=10,"6-10 Years",
TRUE,"10+ Years")</f>
        <v>3-5 Years</v>
      </c>
    </row>
    <row r="498" spans="1:41"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tr">
        <f t="shared" si="14"/>
        <v>Sales</v>
      </c>
      <c r="AK498">
        <f t="shared" si="15"/>
        <v>0</v>
      </c>
      <c r="AL498">
        <f>IF(Table1[[#This Row],[Attrition]]="Yes", Table1[[#This Row],[MonthlyIncome]]*12*1.5, 0)</f>
        <v>0</v>
      </c>
      <c r="AM498" t="str" cm="1">
        <f t="array" ref="AM498">_xlfn.IFS(
Table1[[#This Row],[MonthlyIncome]]&lt;3000,"Under 3K",
Table1[[#This Row],[MonthlyIncome]]&lt;6000,"3K-6K",
Table1[[#This Row],[MonthlyIncome]]&lt;9000,"6K-9K",
Table1[[#This Row],[MonthlyIncome]]&lt;12000,"9K-12K",
TRUE,"12K+")</f>
        <v>3K-6K</v>
      </c>
      <c r="AN498">
        <f>1</f>
        <v>1</v>
      </c>
      <c r="AO498" t="str" cm="1">
        <f t="array" ref="AO498">_xlfn.IFS(
Table1[[#This Row],[YearsAtCompany]]&lt;=2,"0-2 Years",
Table1[[#This Row],[YearsAtCompany]]&lt;=5,"3-5 Years",
Table1[[#This Row],[YearsAtCompany]]&lt;=10,"6-10 Years",
TRUE,"10+ Years")</f>
        <v>3-5 Years</v>
      </c>
    </row>
    <row r="499" spans="1:41"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tr">
        <f t="shared" si="14"/>
        <v>Management</v>
      </c>
      <c r="AK499">
        <f t="shared" si="15"/>
        <v>0</v>
      </c>
      <c r="AL499">
        <f>IF(Table1[[#This Row],[Attrition]]="Yes", Table1[[#This Row],[MonthlyIncome]]*12*1.5, 0)</f>
        <v>0</v>
      </c>
      <c r="AM499" t="str" cm="1">
        <f t="array" ref="AM499">_xlfn.IFS(
Table1[[#This Row],[MonthlyIncome]]&lt;3000,"Under 3K",
Table1[[#This Row],[MonthlyIncome]]&lt;6000,"3K-6K",
Table1[[#This Row],[MonthlyIncome]]&lt;9000,"6K-9K",
Table1[[#This Row],[MonthlyIncome]]&lt;12000,"9K-12K",
TRUE,"12K+")</f>
        <v>12K+</v>
      </c>
      <c r="AN499">
        <f>1</f>
        <v>1</v>
      </c>
      <c r="AO499" t="str" cm="1">
        <f t="array" ref="AO499">_xlfn.IFS(
Table1[[#This Row],[YearsAtCompany]]&lt;=2,"0-2 Years",
Table1[[#This Row],[YearsAtCompany]]&lt;=5,"3-5 Years",
Table1[[#This Row],[YearsAtCompany]]&lt;=10,"6-10 Years",
TRUE,"10+ Years")</f>
        <v>0-2 Years</v>
      </c>
    </row>
    <row r="500" spans="1:41"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tr">
        <f t="shared" si="14"/>
        <v>Research</v>
      </c>
      <c r="AK500">
        <f t="shared" si="15"/>
        <v>0</v>
      </c>
      <c r="AL500">
        <f>IF(Table1[[#This Row],[Attrition]]="Yes", Table1[[#This Row],[MonthlyIncome]]*12*1.5, 0)</f>
        <v>0</v>
      </c>
      <c r="AM500" t="str" cm="1">
        <f t="array" ref="AM500">_xlfn.IFS(
Table1[[#This Row],[MonthlyIncome]]&lt;3000,"Under 3K",
Table1[[#This Row],[MonthlyIncome]]&lt;6000,"3K-6K",
Table1[[#This Row],[MonthlyIncome]]&lt;9000,"6K-9K",
Table1[[#This Row],[MonthlyIncome]]&lt;12000,"9K-12K",
TRUE,"12K+")</f>
        <v>Under 3K</v>
      </c>
      <c r="AN500">
        <f>1</f>
        <v>1</v>
      </c>
      <c r="AO500" t="str" cm="1">
        <f t="array" ref="AO500">_xlfn.IFS(
Table1[[#This Row],[YearsAtCompany]]&lt;=2,"0-2 Years",
Table1[[#This Row],[YearsAtCompany]]&lt;=5,"3-5 Years",
Table1[[#This Row],[YearsAtCompany]]&lt;=10,"6-10 Years",
TRUE,"10+ Years")</f>
        <v>0-2 Years</v>
      </c>
    </row>
    <row r="501" spans="1:41"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tr">
        <f t="shared" si="14"/>
        <v>Sales</v>
      </c>
      <c r="AK501">
        <f t="shared" si="15"/>
        <v>0</v>
      </c>
      <c r="AL501">
        <f>IF(Table1[[#This Row],[Attrition]]="Yes", Table1[[#This Row],[MonthlyIncome]]*12*1.5, 0)</f>
        <v>0</v>
      </c>
      <c r="AM501" t="str" cm="1">
        <f t="array" ref="AM501">_xlfn.IFS(
Table1[[#This Row],[MonthlyIncome]]&lt;3000,"Under 3K",
Table1[[#This Row],[MonthlyIncome]]&lt;6000,"3K-6K",
Table1[[#This Row],[MonthlyIncome]]&lt;9000,"6K-9K",
Table1[[#This Row],[MonthlyIncome]]&lt;12000,"9K-12K",
TRUE,"12K+")</f>
        <v>6K-9K</v>
      </c>
      <c r="AN501">
        <f>1</f>
        <v>1</v>
      </c>
      <c r="AO501" t="str" cm="1">
        <f t="array" ref="AO501">_xlfn.IFS(
Table1[[#This Row],[YearsAtCompany]]&lt;=2,"0-2 Years",
Table1[[#This Row],[YearsAtCompany]]&lt;=5,"3-5 Years",
Table1[[#This Row],[YearsAtCompany]]&lt;=10,"6-10 Years",
TRUE,"10+ Years")</f>
        <v>3-5 Years</v>
      </c>
    </row>
    <row r="502" spans="1:41"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tr">
        <f t="shared" si="14"/>
        <v>Research</v>
      </c>
      <c r="AK502">
        <f t="shared" si="15"/>
        <v>0</v>
      </c>
      <c r="AL502">
        <f>IF(Table1[[#This Row],[Attrition]]="Yes", Table1[[#This Row],[MonthlyIncome]]*12*1.5, 0)</f>
        <v>0</v>
      </c>
      <c r="AM502" t="str" cm="1">
        <f t="array" ref="AM502">_xlfn.IFS(
Table1[[#This Row],[MonthlyIncome]]&lt;3000,"Under 3K",
Table1[[#This Row],[MonthlyIncome]]&lt;6000,"3K-6K",
Table1[[#This Row],[MonthlyIncome]]&lt;9000,"6K-9K",
Table1[[#This Row],[MonthlyIncome]]&lt;12000,"9K-12K",
TRUE,"12K+")</f>
        <v>6K-9K</v>
      </c>
      <c r="AN502">
        <f>1</f>
        <v>1</v>
      </c>
      <c r="AO502" t="str" cm="1">
        <f t="array" ref="AO502">_xlfn.IFS(
Table1[[#This Row],[YearsAtCompany]]&lt;=2,"0-2 Years",
Table1[[#This Row],[YearsAtCompany]]&lt;=5,"3-5 Years",
Table1[[#This Row],[YearsAtCompany]]&lt;=10,"6-10 Years",
TRUE,"10+ Years")</f>
        <v>6-10 Years</v>
      </c>
    </row>
    <row r="503" spans="1:41"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tr">
        <f t="shared" si="14"/>
        <v>Research</v>
      </c>
      <c r="AK503">
        <f t="shared" si="15"/>
        <v>0</v>
      </c>
      <c r="AL503">
        <f>IF(Table1[[#This Row],[Attrition]]="Yes", Table1[[#This Row],[MonthlyIncome]]*12*1.5, 0)</f>
        <v>0</v>
      </c>
      <c r="AM503" t="str" cm="1">
        <f t="array" ref="AM503">_xlfn.IFS(
Table1[[#This Row],[MonthlyIncome]]&lt;3000,"Under 3K",
Table1[[#This Row],[MonthlyIncome]]&lt;6000,"3K-6K",
Table1[[#This Row],[MonthlyIncome]]&lt;9000,"6K-9K",
Table1[[#This Row],[MonthlyIncome]]&lt;12000,"9K-12K",
TRUE,"12K+")</f>
        <v>Under 3K</v>
      </c>
      <c r="AN503">
        <f>1</f>
        <v>1</v>
      </c>
      <c r="AO503" t="str" cm="1">
        <f t="array" ref="AO503">_xlfn.IFS(
Table1[[#This Row],[YearsAtCompany]]&lt;=2,"0-2 Years",
Table1[[#This Row],[YearsAtCompany]]&lt;=5,"3-5 Years",
Table1[[#This Row],[YearsAtCompany]]&lt;=10,"6-10 Years",
TRUE,"10+ Years")</f>
        <v>0-2 Years</v>
      </c>
    </row>
    <row r="504" spans="1:41"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tr">
        <f t="shared" si="14"/>
        <v>Sales</v>
      </c>
      <c r="AK504">
        <f t="shared" si="15"/>
        <v>0</v>
      </c>
      <c r="AL504">
        <f>IF(Table1[[#This Row],[Attrition]]="Yes", Table1[[#This Row],[MonthlyIncome]]*12*1.5, 0)</f>
        <v>0</v>
      </c>
      <c r="AM504" t="str" cm="1">
        <f t="array" ref="AM504">_xlfn.IFS(
Table1[[#This Row],[MonthlyIncome]]&lt;3000,"Under 3K",
Table1[[#This Row],[MonthlyIncome]]&lt;6000,"3K-6K",
Table1[[#This Row],[MonthlyIncome]]&lt;9000,"6K-9K",
Table1[[#This Row],[MonthlyIncome]]&lt;12000,"9K-12K",
TRUE,"12K+")</f>
        <v>6K-9K</v>
      </c>
      <c r="AN504">
        <f>1</f>
        <v>1</v>
      </c>
      <c r="AO504" t="str" cm="1">
        <f t="array" ref="AO504">_xlfn.IFS(
Table1[[#This Row],[YearsAtCompany]]&lt;=2,"0-2 Years",
Table1[[#This Row],[YearsAtCompany]]&lt;=5,"3-5 Years",
Table1[[#This Row],[YearsAtCompany]]&lt;=10,"6-10 Years",
TRUE,"10+ Years")</f>
        <v>10+ Years</v>
      </c>
    </row>
    <row r="505" spans="1:41"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tr">
        <f t="shared" si="14"/>
        <v>Research</v>
      </c>
      <c r="AK505">
        <f t="shared" si="15"/>
        <v>0</v>
      </c>
      <c r="AL505">
        <f>IF(Table1[[#This Row],[Attrition]]="Yes", Table1[[#This Row],[MonthlyIncome]]*12*1.5, 0)</f>
        <v>0</v>
      </c>
      <c r="AM505" t="str" cm="1">
        <f t="array" ref="AM505">_xlfn.IFS(
Table1[[#This Row],[MonthlyIncome]]&lt;3000,"Under 3K",
Table1[[#This Row],[MonthlyIncome]]&lt;6000,"3K-6K",
Table1[[#This Row],[MonthlyIncome]]&lt;9000,"6K-9K",
Table1[[#This Row],[MonthlyIncome]]&lt;12000,"9K-12K",
TRUE,"12K+")</f>
        <v>Under 3K</v>
      </c>
      <c r="AN505">
        <f>1</f>
        <v>1</v>
      </c>
      <c r="AO505" t="str" cm="1">
        <f t="array" ref="AO505">_xlfn.IFS(
Table1[[#This Row],[YearsAtCompany]]&lt;=2,"0-2 Years",
Table1[[#This Row],[YearsAtCompany]]&lt;=5,"3-5 Years",
Table1[[#This Row],[YearsAtCompany]]&lt;=10,"6-10 Years",
TRUE,"10+ Years")</f>
        <v>6-10 Years</v>
      </c>
    </row>
    <row r="506" spans="1:41"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tr">
        <f t="shared" si="14"/>
        <v>Sales</v>
      </c>
      <c r="AK506">
        <f t="shared" si="15"/>
        <v>1</v>
      </c>
      <c r="AL506">
        <f>IF(Table1[[#This Row],[Attrition]]="Yes", Table1[[#This Row],[MonthlyIncome]]*12*1.5, 0)</f>
        <v>77148</v>
      </c>
      <c r="AM506" t="str" cm="1">
        <f t="array" ref="AM506">_xlfn.IFS(
Table1[[#This Row],[MonthlyIncome]]&lt;3000,"Under 3K",
Table1[[#This Row],[MonthlyIncome]]&lt;6000,"3K-6K",
Table1[[#This Row],[MonthlyIncome]]&lt;9000,"6K-9K",
Table1[[#This Row],[MonthlyIncome]]&lt;12000,"9K-12K",
TRUE,"12K+")</f>
        <v>3K-6K</v>
      </c>
      <c r="AN506">
        <f>1</f>
        <v>1</v>
      </c>
      <c r="AO506" t="str" cm="1">
        <f t="array" ref="AO506">_xlfn.IFS(
Table1[[#This Row],[YearsAtCompany]]&lt;=2,"0-2 Years",
Table1[[#This Row],[YearsAtCompany]]&lt;=5,"3-5 Years",
Table1[[#This Row],[YearsAtCompany]]&lt;=10,"6-10 Years",
TRUE,"10+ Years")</f>
        <v>0-2 Years</v>
      </c>
    </row>
    <row r="507" spans="1:41"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tr">
        <f t="shared" si="14"/>
        <v>Research</v>
      </c>
      <c r="AK507">
        <f t="shared" si="15"/>
        <v>0</v>
      </c>
      <c r="AL507">
        <f>IF(Table1[[#This Row],[Attrition]]="Yes", Table1[[#This Row],[MonthlyIncome]]*12*1.5, 0)</f>
        <v>0</v>
      </c>
      <c r="AM507" t="str" cm="1">
        <f t="array" ref="AM507">_xlfn.IFS(
Table1[[#This Row],[MonthlyIncome]]&lt;3000,"Under 3K",
Table1[[#This Row],[MonthlyIncome]]&lt;6000,"3K-6K",
Table1[[#This Row],[MonthlyIncome]]&lt;9000,"6K-9K",
Table1[[#This Row],[MonthlyIncome]]&lt;12000,"9K-12K",
TRUE,"12K+")</f>
        <v>Under 3K</v>
      </c>
      <c r="AN507">
        <f>1</f>
        <v>1</v>
      </c>
      <c r="AO507" t="str" cm="1">
        <f t="array" ref="AO507">_xlfn.IFS(
Table1[[#This Row],[YearsAtCompany]]&lt;=2,"0-2 Years",
Table1[[#This Row],[YearsAtCompany]]&lt;=5,"3-5 Years",
Table1[[#This Row],[YearsAtCompany]]&lt;=10,"6-10 Years",
TRUE,"10+ Years")</f>
        <v>3-5 Years</v>
      </c>
    </row>
    <row r="508" spans="1:41"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tr">
        <f t="shared" si="14"/>
        <v>Operations</v>
      </c>
      <c r="AK508">
        <f t="shared" si="15"/>
        <v>0</v>
      </c>
      <c r="AL508">
        <f>IF(Table1[[#This Row],[Attrition]]="Yes", Table1[[#This Row],[MonthlyIncome]]*12*1.5, 0)</f>
        <v>0</v>
      </c>
      <c r="AM508" t="str" cm="1">
        <f t="array" ref="AM508">_xlfn.IFS(
Table1[[#This Row],[MonthlyIncome]]&lt;3000,"Under 3K",
Table1[[#This Row],[MonthlyIncome]]&lt;6000,"3K-6K",
Table1[[#This Row],[MonthlyIncome]]&lt;9000,"6K-9K",
Table1[[#This Row],[MonthlyIncome]]&lt;12000,"9K-12K",
TRUE,"12K+")</f>
        <v>9K-12K</v>
      </c>
      <c r="AN508">
        <f>1</f>
        <v>1</v>
      </c>
      <c r="AO508" t="str" cm="1">
        <f t="array" ref="AO508">_xlfn.IFS(
Table1[[#This Row],[YearsAtCompany]]&lt;=2,"0-2 Years",
Table1[[#This Row],[YearsAtCompany]]&lt;=5,"3-5 Years",
Table1[[#This Row],[YearsAtCompany]]&lt;=10,"6-10 Years",
TRUE,"10+ Years")</f>
        <v>6-10 Years</v>
      </c>
    </row>
    <row r="509" spans="1:41"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tr">
        <f t="shared" si="14"/>
        <v>Sales</v>
      </c>
      <c r="AK509">
        <f t="shared" si="15"/>
        <v>0</v>
      </c>
      <c r="AL509">
        <f>IF(Table1[[#This Row],[Attrition]]="Yes", Table1[[#This Row],[MonthlyIncome]]*12*1.5, 0)</f>
        <v>0</v>
      </c>
      <c r="AM509" t="str" cm="1">
        <f t="array" ref="AM509">_xlfn.IFS(
Table1[[#This Row],[MonthlyIncome]]&lt;3000,"Under 3K",
Table1[[#This Row],[MonthlyIncome]]&lt;6000,"3K-6K",
Table1[[#This Row],[MonthlyIncome]]&lt;9000,"6K-9K",
Table1[[#This Row],[MonthlyIncome]]&lt;12000,"9K-12K",
TRUE,"12K+")</f>
        <v>3K-6K</v>
      </c>
      <c r="AN509">
        <f>1</f>
        <v>1</v>
      </c>
      <c r="AO509" t="str" cm="1">
        <f t="array" ref="AO509">_xlfn.IFS(
Table1[[#This Row],[YearsAtCompany]]&lt;=2,"0-2 Years",
Table1[[#This Row],[YearsAtCompany]]&lt;=5,"3-5 Years",
Table1[[#This Row],[YearsAtCompany]]&lt;=10,"6-10 Years",
TRUE,"10+ Years")</f>
        <v>6-10 Years</v>
      </c>
    </row>
    <row r="510" spans="1:41"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tr">
        <f t="shared" si="14"/>
        <v>Research</v>
      </c>
      <c r="AK510">
        <f t="shared" si="15"/>
        <v>0</v>
      </c>
      <c r="AL510">
        <f>IF(Table1[[#This Row],[Attrition]]="Yes", Table1[[#This Row],[MonthlyIncome]]*12*1.5, 0)</f>
        <v>0</v>
      </c>
      <c r="AM510" t="str" cm="1">
        <f t="array" ref="AM510">_xlfn.IFS(
Table1[[#This Row],[MonthlyIncome]]&lt;3000,"Under 3K",
Table1[[#This Row],[MonthlyIncome]]&lt;6000,"3K-6K",
Table1[[#This Row],[MonthlyIncome]]&lt;9000,"6K-9K",
Table1[[#This Row],[MonthlyIncome]]&lt;12000,"9K-12K",
TRUE,"12K+")</f>
        <v>6K-9K</v>
      </c>
      <c r="AN510">
        <f>1</f>
        <v>1</v>
      </c>
      <c r="AO510" t="str" cm="1">
        <f t="array" ref="AO510">_xlfn.IFS(
Table1[[#This Row],[YearsAtCompany]]&lt;=2,"0-2 Years",
Table1[[#This Row],[YearsAtCompany]]&lt;=5,"3-5 Years",
Table1[[#This Row],[YearsAtCompany]]&lt;=10,"6-10 Years",
TRUE,"10+ Years")</f>
        <v>10+ Years</v>
      </c>
    </row>
    <row r="511" spans="1:41"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tr">
        <f t="shared" si="14"/>
        <v>Healthcare</v>
      </c>
      <c r="AK511">
        <f t="shared" si="15"/>
        <v>0</v>
      </c>
      <c r="AL511">
        <f>IF(Table1[[#This Row],[Attrition]]="Yes", Table1[[#This Row],[MonthlyIncome]]*12*1.5, 0)</f>
        <v>0</v>
      </c>
      <c r="AM511" t="str" cm="1">
        <f t="array" ref="AM511">_xlfn.IFS(
Table1[[#This Row],[MonthlyIncome]]&lt;3000,"Under 3K",
Table1[[#This Row],[MonthlyIncome]]&lt;6000,"3K-6K",
Table1[[#This Row],[MonthlyIncome]]&lt;9000,"6K-9K",
Table1[[#This Row],[MonthlyIncome]]&lt;12000,"9K-12K",
TRUE,"12K+")</f>
        <v>6K-9K</v>
      </c>
      <c r="AN511">
        <f>1</f>
        <v>1</v>
      </c>
      <c r="AO511" t="str" cm="1">
        <f t="array" ref="AO511">_xlfn.IFS(
Table1[[#This Row],[YearsAtCompany]]&lt;=2,"0-2 Years",
Table1[[#This Row],[YearsAtCompany]]&lt;=5,"3-5 Years",
Table1[[#This Row],[YearsAtCompany]]&lt;=10,"6-10 Years",
TRUE,"10+ Years")</f>
        <v>10+ Years</v>
      </c>
    </row>
    <row r="512" spans="1:41"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tr">
        <f t="shared" si="14"/>
        <v>Human Resources</v>
      </c>
      <c r="AK512">
        <f t="shared" si="15"/>
        <v>0</v>
      </c>
      <c r="AL512">
        <f>IF(Table1[[#This Row],[Attrition]]="Yes", Table1[[#This Row],[MonthlyIncome]]*12*1.5, 0)</f>
        <v>0</v>
      </c>
      <c r="AM512" t="str" cm="1">
        <f t="array" ref="AM512">_xlfn.IFS(
Table1[[#This Row],[MonthlyIncome]]&lt;3000,"Under 3K",
Table1[[#This Row],[MonthlyIncome]]&lt;6000,"3K-6K",
Table1[[#This Row],[MonthlyIncome]]&lt;9000,"6K-9K",
Table1[[#This Row],[MonthlyIncome]]&lt;12000,"9K-12K",
TRUE,"12K+")</f>
        <v>9K-12K</v>
      </c>
      <c r="AN512">
        <f>1</f>
        <v>1</v>
      </c>
      <c r="AO512" t="str" cm="1">
        <f t="array" ref="AO512">_xlfn.IFS(
Table1[[#This Row],[YearsAtCompany]]&lt;=2,"0-2 Years",
Table1[[#This Row],[YearsAtCompany]]&lt;=5,"3-5 Years",
Table1[[#This Row],[YearsAtCompany]]&lt;=10,"6-10 Years",
TRUE,"10+ Years")</f>
        <v>6-10 Years</v>
      </c>
    </row>
    <row r="513" spans="1:41"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tr">
        <f t="shared" si="14"/>
        <v>Operations</v>
      </c>
      <c r="AK513">
        <f t="shared" si="15"/>
        <v>0</v>
      </c>
      <c r="AL513">
        <f>IF(Table1[[#This Row],[Attrition]]="Yes", Table1[[#This Row],[MonthlyIncome]]*12*1.5, 0)</f>
        <v>0</v>
      </c>
      <c r="AM513" t="str" cm="1">
        <f t="array" ref="AM513">_xlfn.IFS(
Table1[[#This Row],[MonthlyIncome]]&lt;3000,"Under 3K",
Table1[[#This Row],[MonthlyIncome]]&lt;6000,"3K-6K",
Table1[[#This Row],[MonthlyIncome]]&lt;9000,"6K-9K",
Table1[[#This Row],[MonthlyIncome]]&lt;12000,"9K-12K",
TRUE,"12K+")</f>
        <v>6K-9K</v>
      </c>
      <c r="AN513">
        <f>1</f>
        <v>1</v>
      </c>
      <c r="AO513" t="str" cm="1">
        <f t="array" ref="AO513">_xlfn.IFS(
Table1[[#This Row],[YearsAtCompany]]&lt;=2,"0-2 Years",
Table1[[#This Row],[YearsAtCompany]]&lt;=5,"3-5 Years",
Table1[[#This Row],[YearsAtCompany]]&lt;=10,"6-10 Years",
TRUE,"10+ Years")</f>
        <v>3-5 Years</v>
      </c>
    </row>
    <row r="514" spans="1:41"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tr">
        <f t="shared" si="14"/>
        <v>Research</v>
      </c>
      <c r="AK514">
        <f t="shared" si="15"/>
        <v>0</v>
      </c>
      <c r="AL514">
        <f>IF(Table1[[#This Row],[Attrition]]="Yes", Table1[[#This Row],[MonthlyIncome]]*12*1.5, 0)</f>
        <v>0</v>
      </c>
      <c r="AM514" t="str" cm="1">
        <f t="array" ref="AM514">_xlfn.IFS(
Table1[[#This Row],[MonthlyIncome]]&lt;3000,"Under 3K",
Table1[[#This Row],[MonthlyIncome]]&lt;6000,"3K-6K",
Table1[[#This Row],[MonthlyIncome]]&lt;9000,"6K-9K",
Table1[[#This Row],[MonthlyIncome]]&lt;12000,"9K-12K",
TRUE,"12K+")</f>
        <v>Under 3K</v>
      </c>
      <c r="AN514">
        <f>1</f>
        <v>1</v>
      </c>
      <c r="AO514" t="str" cm="1">
        <f t="array" ref="AO514">_xlfn.IFS(
Table1[[#This Row],[YearsAtCompany]]&lt;=2,"0-2 Years",
Table1[[#This Row],[YearsAtCompany]]&lt;=5,"3-5 Years",
Table1[[#This Row],[YearsAtCompany]]&lt;=10,"6-10 Years",
TRUE,"10+ Years")</f>
        <v>3-5 Years</v>
      </c>
    </row>
    <row r="515" spans="1:41"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tr">
        <f t="shared" ref="AJ515:AJ578" si="16">_xlfn.XLOOKUP(P515, $AP$2:$AP$10,$AQ$2:$AQ$10)</f>
        <v>Research</v>
      </c>
      <c r="AK515">
        <f t="shared" ref="AK515:AK578" si="17">IF(B515 ="Yes",1,0)</f>
        <v>1</v>
      </c>
      <c r="AL515">
        <f>IF(Table1[[#This Row],[Attrition]]="Yes", Table1[[#This Row],[MonthlyIncome]]*12*1.5, 0)</f>
        <v>18162</v>
      </c>
      <c r="AM515" t="str" cm="1">
        <f t="array" ref="AM515">_xlfn.IFS(
Table1[[#This Row],[MonthlyIncome]]&lt;3000,"Under 3K",
Table1[[#This Row],[MonthlyIncome]]&lt;6000,"3K-6K",
Table1[[#This Row],[MonthlyIncome]]&lt;9000,"6K-9K",
Table1[[#This Row],[MonthlyIncome]]&lt;12000,"9K-12K",
TRUE,"12K+")</f>
        <v>Under 3K</v>
      </c>
      <c r="AN515">
        <f>1</f>
        <v>1</v>
      </c>
      <c r="AO515" t="str" cm="1">
        <f t="array" ref="AO515">_xlfn.IFS(
Table1[[#This Row],[YearsAtCompany]]&lt;=2,"0-2 Years",
Table1[[#This Row],[YearsAtCompany]]&lt;=5,"3-5 Years",
Table1[[#This Row],[YearsAtCompany]]&lt;=10,"6-10 Years",
TRUE,"10+ Years")</f>
        <v>0-2 Years</v>
      </c>
    </row>
    <row r="516" spans="1:41"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tr">
        <f t="shared" si="16"/>
        <v>Research</v>
      </c>
      <c r="AK516">
        <f t="shared" si="17"/>
        <v>1</v>
      </c>
      <c r="AL516">
        <f>IF(Table1[[#This Row],[Attrition]]="Yes", Table1[[#This Row],[MonthlyIncome]]*12*1.5, 0)</f>
        <v>60264</v>
      </c>
      <c r="AM516" t="str" cm="1">
        <f t="array" ref="AM516">_xlfn.IFS(
Table1[[#This Row],[MonthlyIncome]]&lt;3000,"Under 3K",
Table1[[#This Row],[MonthlyIncome]]&lt;6000,"3K-6K",
Table1[[#This Row],[MonthlyIncome]]&lt;9000,"6K-9K",
Table1[[#This Row],[MonthlyIncome]]&lt;12000,"9K-12K",
TRUE,"12K+")</f>
        <v>3K-6K</v>
      </c>
      <c r="AN516">
        <f>1</f>
        <v>1</v>
      </c>
      <c r="AO516" t="str" cm="1">
        <f t="array" ref="AO516">_xlfn.IFS(
Table1[[#This Row],[YearsAtCompany]]&lt;=2,"0-2 Years",
Table1[[#This Row],[YearsAtCompany]]&lt;=5,"3-5 Years",
Table1[[#This Row],[YearsAtCompany]]&lt;=10,"6-10 Years",
TRUE,"10+ Years")</f>
        <v>6-10 Years</v>
      </c>
    </row>
    <row r="517" spans="1:41"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tr">
        <f t="shared" si="16"/>
        <v>Research</v>
      </c>
      <c r="AK517">
        <f t="shared" si="17"/>
        <v>0</v>
      </c>
      <c r="AL517">
        <f>IF(Table1[[#This Row],[Attrition]]="Yes", Table1[[#This Row],[MonthlyIncome]]*12*1.5, 0)</f>
        <v>0</v>
      </c>
      <c r="AM517" t="str" cm="1">
        <f t="array" ref="AM517">_xlfn.IFS(
Table1[[#This Row],[MonthlyIncome]]&lt;3000,"Under 3K",
Table1[[#This Row],[MonthlyIncome]]&lt;6000,"3K-6K",
Table1[[#This Row],[MonthlyIncome]]&lt;9000,"6K-9K",
Table1[[#This Row],[MonthlyIncome]]&lt;12000,"9K-12K",
TRUE,"12K+")</f>
        <v>Under 3K</v>
      </c>
      <c r="AN517">
        <f>1</f>
        <v>1</v>
      </c>
      <c r="AO517" t="str" cm="1">
        <f t="array" ref="AO517">_xlfn.IFS(
Table1[[#This Row],[YearsAtCompany]]&lt;=2,"0-2 Years",
Table1[[#This Row],[YearsAtCompany]]&lt;=5,"3-5 Years",
Table1[[#This Row],[YearsAtCompany]]&lt;=10,"6-10 Years",
TRUE,"10+ Years")</f>
        <v>0-2 Years</v>
      </c>
    </row>
    <row r="518" spans="1:41"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tr">
        <f t="shared" si="16"/>
        <v>Research</v>
      </c>
      <c r="AK518">
        <f t="shared" si="17"/>
        <v>0</v>
      </c>
      <c r="AL518">
        <f>IF(Table1[[#This Row],[Attrition]]="Yes", Table1[[#This Row],[MonthlyIncome]]*12*1.5, 0)</f>
        <v>0</v>
      </c>
      <c r="AM518" t="str" cm="1">
        <f t="array" ref="AM518">_xlfn.IFS(
Table1[[#This Row],[MonthlyIncome]]&lt;3000,"Under 3K",
Table1[[#This Row],[MonthlyIncome]]&lt;6000,"3K-6K",
Table1[[#This Row],[MonthlyIncome]]&lt;9000,"6K-9K",
Table1[[#This Row],[MonthlyIncome]]&lt;12000,"9K-12K",
TRUE,"12K+")</f>
        <v>Under 3K</v>
      </c>
      <c r="AN518">
        <f>1</f>
        <v>1</v>
      </c>
      <c r="AO518" t="str" cm="1">
        <f t="array" ref="AO518">_xlfn.IFS(
Table1[[#This Row],[YearsAtCompany]]&lt;=2,"0-2 Years",
Table1[[#This Row],[YearsAtCompany]]&lt;=5,"3-5 Years",
Table1[[#This Row],[YearsAtCompany]]&lt;=10,"6-10 Years",
TRUE,"10+ Years")</f>
        <v>3-5 Years</v>
      </c>
    </row>
    <row r="519" spans="1:41"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tr">
        <f t="shared" si="16"/>
        <v>Sales</v>
      </c>
      <c r="AK519">
        <f t="shared" si="17"/>
        <v>0</v>
      </c>
      <c r="AL519">
        <f>IF(Table1[[#This Row],[Attrition]]="Yes", Table1[[#This Row],[MonthlyIncome]]*12*1.5, 0)</f>
        <v>0</v>
      </c>
      <c r="AM519" t="str" cm="1">
        <f t="array" ref="AM519">_xlfn.IFS(
Table1[[#This Row],[MonthlyIncome]]&lt;3000,"Under 3K",
Table1[[#This Row],[MonthlyIncome]]&lt;6000,"3K-6K",
Table1[[#This Row],[MonthlyIncome]]&lt;9000,"6K-9K",
Table1[[#This Row],[MonthlyIncome]]&lt;12000,"9K-12K",
TRUE,"12K+")</f>
        <v>3K-6K</v>
      </c>
      <c r="AN519">
        <f>1</f>
        <v>1</v>
      </c>
      <c r="AO519" t="str" cm="1">
        <f t="array" ref="AO519">_xlfn.IFS(
Table1[[#This Row],[YearsAtCompany]]&lt;=2,"0-2 Years",
Table1[[#This Row],[YearsAtCompany]]&lt;=5,"3-5 Years",
Table1[[#This Row],[YearsAtCompany]]&lt;=10,"6-10 Years",
TRUE,"10+ Years")</f>
        <v>3-5 Years</v>
      </c>
    </row>
    <row r="520" spans="1:41"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tr">
        <f t="shared" si="16"/>
        <v>Sales</v>
      </c>
      <c r="AK520">
        <f t="shared" si="17"/>
        <v>0</v>
      </c>
      <c r="AL520">
        <f>IF(Table1[[#This Row],[Attrition]]="Yes", Table1[[#This Row],[MonthlyIncome]]*12*1.5, 0)</f>
        <v>0</v>
      </c>
      <c r="AM520" t="str" cm="1">
        <f t="array" ref="AM520">_xlfn.IFS(
Table1[[#This Row],[MonthlyIncome]]&lt;3000,"Under 3K",
Table1[[#This Row],[MonthlyIncome]]&lt;6000,"3K-6K",
Table1[[#This Row],[MonthlyIncome]]&lt;9000,"6K-9K",
Table1[[#This Row],[MonthlyIncome]]&lt;12000,"9K-12K",
TRUE,"12K+")</f>
        <v>3K-6K</v>
      </c>
      <c r="AN520">
        <f>1</f>
        <v>1</v>
      </c>
      <c r="AO520" t="str" cm="1">
        <f t="array" ref="AO520">_xlfn.IFS(
Table1[[#This Row],[YearsAtCompany]]&lt;=2,"0-2 Years",
Table1[[#This Row],[YearsAtCompany]]&lt;=5,"3-5 Years",
Table1[[#This Row],[YearsAtCompany]]&lt;=10,"6-10 Years",
TRUE,"10+ Years")</f>
        <v>6-10 Years</v>
      </c>
    </row>
    <row r="521" spans="1:41"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tr">
        <f t="shared" si="16"/>
        <v>Research</v>
      </c>
      <c r="AK521">
        <f t="shared" si="17"/>
        <v>0</v>
      </c>
      <c r="AL521">
        <f>IF(Table1[[#This Row],[Attrition]]="Yes", Table1[[#This Row],[MonthlyIncome]]*12*1.5, 0)</f>
        <v>0</v>
      </c>
      <c r="AM521" t="str" cm="1">
        <f t="array" ref="AM521">_xlfn.IFS(
Table1[[#This Row],[MonthlyIncome]]&lt;3000,"Under 3K",
Table1[[#This Row],[MonthlyIncome]]&lt;6000,"3K-6K",
Table1[[#This Row],[MonthlyIncome]]&lt;9000,"6K-9K",
Table1[[#This Row],[MonthlyIncome]]&lt;12000,"9K-12K",
TRUE,"12K+")</f>
        <v>Under 3K</v>
      </c>
      <c r="AN521">
        <f>1</f>
        <v>1</v>
      </c>
      <c r="AO521" t="str" cm="1">
        <f t="array" ref="AO521">_xlfn.IFS(
Table1[[#This Row],[YearsAtCompany]]&lt;=2,"0-2 Years",
Table1[[#This Row],[YearsAtCompany]]&lt;=5,"3-5 Years",
Table1[[#This Row],[YearsAtCompany]]&lt;=10,"6-10 Years",
TRUE,"10+ Years")</f>
        <v>6-10 Years</v>
      </c>
    </row>
    <row r="522" spans="1:41"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tr">
        <f t="shared" si="16"/>
        <v>Sales</v>
      </c>
      <c r="AK522">
        <f t="shared" si="17"/>
        <v>0</v>
      </c>
      <c r="AL522">
        <f>IF(Table1[[#This Row],[Attrition]]="Yes", Table1[[#This Row],[MonthlyIncome]]*12*1.5, 0)</f>
        <v>0</v>
      </c>
      <c r="AM522" t="str" cm="1">
        <f t="array" ref="AM522">_xlfn.IFS(
Table1[[#This Row],[MonthlyIncome]]&lt;3000,"Under 3K",
Table1[[#This Row],[MonthlyIncome]]&lt;6000,"3K-6K",
Table1[[#This Row],[MonthlyIncome]]&lt;9000,"6K-9K",
Table1[[#This Row],[MonthlyIncome]]&lt;12000,"9K-12K",
TRUE,"12K+")</f>
        <v>6K-9K</v>
      </c>
      <c r="AN522">
        <f>1</f>
        <v>1</v>
      </c>
      <c r="AO522" t="str" cm="1">
        <f t="array" ref="AO522">_xlfn.IFS(
Table1[[#This Row],[YearsAtCompany]]&lt;=2,"0-2 Years",
Table1[[#This Row],[YearsAtCompany]]&lt;=5,"3-5 Years",
Table1[[#This Row],[YearsAtCompany]]&lt;=10,"6-10 Years",
TRUE,"10+ Years")</f>
        <v>0-2 Years</v>
      </c>
    </row>
    <row r="523" spans="1:41"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tr">
        <f t="shared" si="16"/>
        <v>Sales</v>
      </c>
      <c r="AK523">
        <f t="shared" si="17"/>
        <v>0</v>
      </c>
      <c r="AL523">
        <f>IF(Table1[[#This Row],[Attrition]]="Yes", Table1[[#This Row],[MonthlyIncome]]*12*1.5, 0)</f>
        <v>0</v>
      </c>
      <c r="AM523" t="str" cm="1">
        <f t="array" ref="AM523">_xlfn.IFS(
Table1[[#This Row],[MonthlyIncome]]&lt;3000,"Under 3K",
Table1[[#This Row],[MonthlyIncome]]&lt;6000,"3K-6K",
Table1[[#This Row],[MonthlyIncome]]&lt;9000,"6K-9K",
Table1[[#This Row],[MonthlyIncome]]&lt;12000,"9K-12K",
TRUE,"12K+")</f>
        <v>3K-6K</v>
      </c>
      <c r="AN523">
        <f>1</f>
        <v>1</v>
      </c>
      <c r="AO523" t="str" cm="1">
        <f t="array" ref="AO523">_xlfn.IFS(
Table1[[#This Row],[YearsAtCompany]]&lt;=2,"0-2 Years",
Table1[[#This Row],[YearsAtCompany]]&lt;=5,"3-5 Years",
Table1[[#This Row],[YearsAtCompany]]&lt;=10,"6-10 Years",
TRUE,"10+ Years")</f>
        <v>6-10 Years</v>
      </c>
    </row>
    <row r="524" spans="1:41"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tr">
        <f t="shared" si="16"/>
        <v>Research</v>
      </c>
      <c r="AK524">
        <f t="shared" si="17"/>
        <v>0</v>
      </c>
      <c r="AL524">
        <f>IF(Table1[[#This Row],[Attrition]]="Yes", Table1[[#This Row],[MonthlyIncome]]*12*1.5, 0)</f>
        <v>0</v>
      </c>
      <c r="AM524" t="str" cm="1">
        <f t="array" ref="AM524">_xlfn.IFS(
Table1[[#This Row],[MonthlyIncome]]&lt;3000,"Under 3K",
Table1[[#This Row],[MonthlyIncome]]&lt;6000,"3K-6K",
Table1[[#This Row],[MonthlyIncome]]&lt;9000,"6K-9K",
Table1[[#This Row],[MonthlyIncome]]&lt;12000,"9K-12K",
TRUE,"12K+")</f>
        <v>3K-6K</v>
      </c>
      <c r="AN524">
        <f>1</f>
        <v>1</v>
      </c>
      <c r="AO524" t="str" cm="1">
        <f t="array" ref="AO524">_xlfn.IFS(
Table1[[#This Row],[YearsAtCompany]]&lt;=2,"0-2 Years",
Table1[[#This Row],[YearsAtCompany]]&lt;=5,"3-5 Years",
Table1[[#This Row],[YearsAtCompany]]&lt;=10,"6-10 Years",
TRUE,"10+ Years")</f>
        <v>0-2 Years</v>
      </c>
    </row>
    <row r="525" spans="1:41"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tr">
        <f t="shared" si="16"/>
        <v>Research</v>
      </c>
      <c r="AK525">
        <f t="shared" si="17"/>
        <v>0</v>
      </c>
      <c r="AL525">
        <f>IF(Table1[[#This Row],[Attrition]]="Yes", Table1[[#This Row],[MonthlyIncome]]*12*1.5, 0)</f>
        <v>0</v>
      </c>
      <c r="AM525" t="str" cm="1">
        <f t="array" ref="AM525">_xlfn.IFS(
Table1[[#This Row],[MonthlyIncome]]&lt;3000,"Under 3K",
Table1[[#This Row],[MonthlyIncome]]&lt;6000,"3K-6K",
Table1[[#This Row],[MonthlyIncome]]&lt;9000,"6K-9K",
Table1[[#This Row],[MonthlyIncome]]&lt;12000,"9K-12K",
TRUE,"12K+")</f>
        <v>3K-6K</v>
      </c>
      <c r="AN525">
        <f>1</f>
        <v>1</v>
      </c>
      <c r="AO525" t="str" cm="1">
        <f t="array" ref="AO525">_xlfn.IFS(
Table1[[#This Row],[YearsAtCompany]]&lt;=2,"0-2 Years",
Table1[[#This Row],[YearsAtCompany]]&lt;=5,"3-5 Years",
Table1[[#This Row],[YearsAtCompany]]&lt;=10,"6-10 Years",
TRUE,"10+ Years")</f>
        <v>10+ Years</v>
      </c>
    </row>
    <row r="526" spans="1:41"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tr">
        <f t="shared" si="16"/>
        <v>Healthcare</v>
      </c>
      <c r="AK526">
        <f t="shared" si="17"/>
        <v>0</v>
      </c>
      <c r="AL526">
        <f>IF(Table1[[#This Row],[Attrition]]="Yes", Table1[[#This Row],[MonthlyIncome]]*12*1.5, 0)</f>
        <v>0</v>
      </c>
      <c r="AM526" t="str" cm="1">
        <f t="array" ref="AM526">_xlfn.IFS(
Table1[[#This Row],[MonthlyIncome]]&lt;3000,"Under 3K",
Table1[[#This Row],[MonthlyIncome]]&lt;6000,"3K-6K",
Table1[[#This Row],[MonthlyIncome]]&lt;9000,"6K-9K",
Table1[[#This Row],[MonthlyIncome]]&lt;12000,"9K-12K",
TRUE,"12K+")</f>
        <v>6K-9K</v>
      </c>
      <c r="AN526">
        <f>1</f>
        <v>1</v>
      </c>
      <c r="AO526" t="str" cm="1">
        <f t="array" ref="AO526">_xlfn.IFS(
Table1[[#This Row],[YearsAtCompany]]&lt;=2,"0-2 Years",
Table1[[#This Row],[YearsAtCompany]]&lt;=5,"3-5 Years",
Table1[[#This Row],[YearsAtCompany]]&lt;=10,"6-10 Years",
TRUE,"10+ Years")</f>
        <v>6-10 Years</v>
      </c>
    </row>
    <row r="527" spans="1:41"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tr">
        <f t="shared" si="16"/>
        <v>Sales</v>
      </c>
      <c r="AK527">
        <f t="shared" si="17"/>
        <v>1</v>
      </c>
      <c r="AL527">
        <f>IF(Table1[[#This Row],[Attrition]]="Yes", Table1[[#This Row],[MonthlyIncome]]*12*1.5, 0)</f>
        <v>82386</v>
      </c>
      <c r="AM527" t="str" cm="1">
        <f t="array" ref="AM527">_xlfn.IFS(
Table1[[#This Row],[MonthlyIncome]]&lt;3000,"Under 3K",
Table1[[#This Row],[MonthlyIncome]]&lt;6000,"3K-6K",
Table1[[#This Row],[MonthlyIncome]]&lt;9000,"6K-9K",
Table1[[#This Row],[MonthlyIncome]]&lt;12000,"9K-12K",
TRUE,"12K+")</f>
        <v>3K-6K</v>
      </c>
      <c r="AN527">
        <f>1</f>
        <v>1</v>
      </c>
      <c r="AO527" t="str" cm="1">
        <f t="array" ref="AO527">_xlfn.IFS(
Table1[[#This Row],[YearsAtCompany]]&lt;=2,"0-2 Years",
Table1[[#This Row],[YearsAtCompany]]&lt;=5,"3-5 Years",
Table1[[#This Row],[YearsAtCompany]]&lt;=10,"6-10 Years",
TRUE,"10+ Years")</f>
        <v>0-2 Years</v>
      </c>
    </row>
    <row r="528" spans="1:41"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tr">
        <f t="shared" si="16"/>
        <v>Healthcare</v>
      </c>
      <c r="AK528">
        <f t="shared" si="17"/>
        <v>0</v>
      </c>
      <c r="AL528">
        <f>IF(Table1[[#This Row],[Attrition]]="Yes", Table1[[#This Row],[MonthlyIncome]]*12*1.5, 0)</f>
        <v>0</v>
      </c>
      <c r="AM528" t="str" cm="1">
        <f t="array" ref="AM528">_xlfn.IFS(
Table1[[#This Row],[MonthlyIncome]]&lt;3000,"Under 3K",
Table1[[#This Row],[MonthlyIncome]]&lt;6000,"3K-6K",
Table1[[#This Row],[MonthlyIncome]]&lt;9000,"6K-9K",
Table1[[#This Row],[MonthlyIncome]]&lt;12000,"9K-12K",
TRUE,"12K+")</f>
        <v>3K-6K</v>
      </c>
      <c r="AN528">
        <f>1</f>
        <v>1</v>
      </c>
      <c r="AO528" t="str" cm="1">
        <f t="array" ref="AO528">_xlfn.IFS(
Table1[[#This Row],[YearsAtCompany]]&lt;=2,"0-2 Years",
Table1[[#This Row],[YearsAtCompany]]&lt;=5,"3-5 Years",
Table1[[#This Row],[YearsAtCompany]]&lt;=10,"6-10 Years",
TRUE,"10+ Years")</f>
        <v>10+ Years</v>
      </c>
    </row>
    <row r="529" spans="1:41"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tr">
        <f t="shared" si="16"/>
        <v>Sales</v>
      </c>
      <c r="AK529">
        <f t="shared" si="17"/>
        <v>0</v>
      </c>
      <c r="AL529">
        <f>IF(Table1[[#This Row],[Attrition]]="Yes", Table1[[#This Row],[MonthlyIncome]]*12*1.5, 0)</f>
        <v>0</v>
      </c>
      <c r="AM529" t="str" cm="1">
        <f t="array" ref="AM529">_xlfn.IFS(
Table1[[#This Row],[MonthlyIncome]]&lt;3000,"Under 3K",
Table1[[#This Row],[MonthlyIncome]]&lt;6000,"3K-6K",
Table1[[#This Row],[MonthlyIncome]]&lt;9000,"6K-9K",
Table1[[#This Row],[MonthlyIncome]]&lt;12000,"9K-12K",
TRUE,"12K+")</f>
        <v>3K-6K</v>
      </c>
      <c r="AN529">
        <f>1</f>
        <v>1</v>
      </c>
      <c r="AO529" t="str" cm="1">
        <f t="array" ref="AO529">_xlfn.IFS(
Table1[[#This Row],[YearsAtCompany]]&lt;=2,"0-2 Years",
Table1[[#This Row],[YearsAtCompany]]&lt;=5,"3-5 Years",
Table1[[#This Row],[YearsAtCompany]]&lt;=10,"6-10 Years",
TRUE,"10+ Years")</f>
        <v>6-10 Years</v>
      </c>
    </row>
    <row r="530" spans="1:41"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tr">
        <f t="shared" si="16"/>
        <v>Sales</v>
      </c>
      <c r="AK530">
        <f t="shared" si="17"/>
        <v>1</v>
      </c>
      <c r="AL530">
        <f>IF(Table1[[#This Row],[Attrition]]="Yes", Table1[[#This Row],[MonthlyIncome]]*12*1.5, 0)</f>
        <v>122328</v>
      </c>
      <c r="AM530" t="str" cm="1">
        <f t="array" ref="AM530">_xlfn.IFS(
Table1[[#This Row],[MonthlyIncome]]&lt;3000,"Under 3K",
Table1[[#This Row],[MonthlyIncome]]&lt;6000,"3K-6K",
Table1[[#This Row],[MonthlyIncome]]&lt;9000,"6K-9K",
Table1[[#This Row],[MonthlyIncome]]&lt;12000,"9K-12K",
TRUE,"12K+")</f>
        <v>6K-9K</v>
      </c>
      <c r="AN530">
        <f>1</f>
        <v>1</v>
      </c>
      <c r="AO530" t="str" cm="1">
        <f t="array" ref="AO530">_xlfn.IFS(
Table1[[#This Row],[YearsAtCompany]]&lt;=2,"0-2 Years",
Table1[[#This Row],[YearsAtCompany]]&lt;=5,"3-5 Years",
Table1[[#This Row],[YearsAtCompany]]&lt;=10,"6-10 Years",
TRUE,"10+ Years")</f>
        <v>3-5 Years</v>
      </c>
    </row>
    <row r="531" spans="1:41"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tr">
        <f t="shared" si="16"/>
        <v>Healthcare</v>
      </c>
      <c r="AK531">
        <f t="shared" si="17"/>
        <v>0</v>
      </c>
      <c r="AL531">
        <f>IF(Table1[[#This Row],[Attrition]]="Yes", Table1[[#This Row],[MonthlyIncome]]*12*1.5, 0)</f>
        <v>0</v>
      </c>
      <c r="AM531" t="str" cm="1">
        <f t="array" ref="AM531">_xlfn.IFS(
Table1[[#This Row],[MonthlyIncome]]&lt;3000,"Under 3K",
Table1[[#This Row],[MonthlyIncome]]&lt;6000,"3K-6K",
Table1[[#This Row],[MonthlyIncome]]&lt;9000,"6K-9K",
Table1[[#This Row],[MonthlyIncome]]&lt;12000,"9K-12K",
TRUE,"12K+")</f>
        <v>6K-9K</v>
      </c>
      <c r="AN531">
        <f>1</f>
        <v>1</v>
      </c>
      <c r="AO531" t="str" cm="1">
        <f t="array" ref="AO531">_xlfn.IFS(
Table1[[#This Row],[YearsAtCompany]]&lt;=2,"0-2 Years",
Table1[[#This Row],[YearsAtCompany]]&lt;=5,"3-5 Years",
Table1[[#This Row],[YearsAtCompany]]&lt;=10,"6-10 Years",
TRUE,"10+ Years")</f>
        <v>6-10 Years</v>
      </c>
    </row>
    <row r="532" spans="1:41"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tr">
        <f t="shared" si="16"/>
        <v>Operations</v>
      </c>
      <c r="AK532">
        <f t="shared" si="17"/>
        <v>0</v>
      </c>
      <c r="AL532">
        <f>IF(Table1[[#This Row],[Attrition]]="Yes", Table1[[#This Row],[MonthlyIncome]]*12*1.5, 0)</f>
        <v>0</v>
      </c>
      <c r="AM532" t="str" cm="1">
        <f t="array" ref="AM532">_xlfn.IFS(
Table1[[#This Row],[MonthlyIncome]]&lt;3000,"Under 3K",
Table1[[#This Row],[MonthlyIncome]]&lt;6000,"3K-6K",
Table1[[#This Row],[MonthlyIncome]]&lt;9000,"6K-9K",
Table1[[#This Row],[MonthlyIncome]]&lt;12000,"9K-12K",
TRUE,"12K+")</f>
        <v>6K-9K</v>
      </c>
      <c r="AN532">
        <f>1</f>
        <v>1</v>
      </c>
      <c r="AO532" t="str" cm="1">
        <f t="array" ref="AO532">_xlfn.IFS(
Table1[[#This Row],[YearsAtCompany]]&lt;=2,"0-2 Years",
Table1[[#This Row],[YearsAtCompany]]&lt;=5,"3-5 Years",
Table1[[#This Row],[YearsAtCompany]]&lt;=10,"6-10 Years",
TRUE,"10+ Years")</f>
        <v>6-10 Years</v>
      </c>
    </row>
    <row r="533" spans="1:41"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tr">
        <f t="shared" si="16"/>
        <v>Research</v>
      </c>
      <c r="AK533">
        <f t="shared" si="17"/>
        <v>0</v>
      </c>
      <c r="AL533">
        <f>IF(Table1[[#This Row],[Attrition]]="Yes", Table1[[#This Row],[MonthlyIncome]]*12*1.5, 0)</f>
        <v>0</v>
      </c>
      <c r="AM533" t="str" cm="1">
        <f t="array" ref="AM533">_xlfn.IFS(
Table1[[#This Row],[MonthlyIncome]]&lt;3000,"Under 3K",
Table1[[#This Row],[MonthlyIncome]]&lt;6000,"3K-6K",
Table1[[#This Row],[MonthlyIncome]]&lt;9000,"6K-9K",
Table1[[#This Row],[MonthlyIncome]]&lt;12000,"9K-12K",
TRUE,"12K+")</f>
        <v>9K-12K</v>
      </c>
      <c r="AN533">
        <f>1</f>
        <v>1</v>
      </c>
      <c r="AO533" t="str" cm="1">
        <f t="array" ref="AO533">_xlfn.IFS(
Table1[[#This Row],[YearsAtCompany]]&lt;=2,"0-2 Years",
Table1[[#This Row],[YearsAtCompany]]&lt;=5,"3-5 Years",
Table1[[#This Row],[YearsAtCompany]]&lt;=10,"6-10 Years",
TRUE,"10+ Years")</f>
        <v>6-10 Years</v>
      </c>
    </row>
    <row r="534" spans="1:41"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tr">
        <f t="shared" si="16"/>
        <v>Sales</v>
      </c>
      <c r="AK534">
        <f t="shared" si="17"/>
        <v>0</v>
      </c>
      <c r="AL534">
        <f>IF(Table1[[#This Row],[Attrition]]="Yes", Table1[[#This Row],[MonthlyIncome]]*12*1.5, 0)</f>
        <v>0</v>
      </c>
      <c r="AM534" t="str" cm="1">
        <f t="array" ref="AM534">_xlfn.IFS(
Table1[[#This Row],[MonthlyIncome]]&lt;3000,"Under 3K",
Table1[[#This Row],[MonthlyIncome]]&lt;6000,"3K-6K",
Table1[[#This Row],[MonthlyIncome]]&lt;9000,"6K-9K",
Table1[[#This Row],[MonthlyIncome]]&lt;12000,"9K-12K",
TRUE,"12K+")</f>
        <v>3K-6K</v>
      </c>
      <c r="AN534">
        <f>1</f>
        <v>1</v>
      </c>
      <c r="AO534" t="str" cm="1">
        <f t="array" ref="AO534">_xlfn.IFS(
Table1[[#This Row],[YearsAtCompany]]&lt;=2,"0-2 Years",
Table1[[#This Row],[YearsAtCompany]]&lt;=5,"3-5 Years",
Table1[[#This Row],[YearsAtCompany]]&lt;=10,"6-10 Years",
TRUE,"10+ Years")</f>
        <v>6-10 Years</v>
      </c>
    </row>
    <row r="535" spans="1:41"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tr">
        <f t="shared" si="16"/>
        <v>Sales</v>
      </c>
      <c r="AK535">
        <f t="shared" si="17"/>
        <v>0</v>
      </c>
      <c r="AL535">
        <f>IF(Table1[[#This Row],[Attrition]]="Yes", Table1[[#This Row],[MonthlyIncome]]*12*1.5, 0)</f>
        <v>0</v>
      </c>
      <c r="AM535" t="str" cm="1">
        <f t="array" ref="AM535">_xlfn.IFS(
Table1[[#This Row],[MonthlyIncome]]&lt;3000,"Under 3K",
Table1[[#This Row],[MonthlyIncome]]&lt;6000,"3K-6K",
Table1[[#This Row],[MonthlyIncome]]&lt;9000,"6K-9K",
Table1[[#This Row],[MonthlyIncome]]&lt;12000,"9K-12K",
TRUE,"12K+")</f>
        <v>9K-12K</v>
      </c>
      <c r="AN535">
        <f>1</f>
        <v>1</v>
      </c>
      <c r="AO535" t="str" cm="1">
        <f t="array" ref="AO535">_xlfn.IFS(
Table1[[#This Row],[YearsAtCompany]]&lt;=2,"0-2 Years",
Table1[[#This Row],[YearsAtCompany]]&lt;=5,"3-5 Years",
Table1[[#This Row],[YearsAtCompany]]&lt;=10,"6-10 Years",
TRUE,"10+ Years")</f>
        <v>10+ Years</v>
      </c>
    </row>
    <row r="536" spans="1:41"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tr">
        <f t="shared" si="16"/>
        <v>Research</v>
      </c>
      <c r="AK536">
        <f t="shared" si="17"/>
        <v>0</v>
      </c>
      <c r="AL536">
        <f>IF(Table1[[#This Row],[Attrition]]="Yes", Table1[[#This Row],[MonthlyIncome]]*12*1.5, 0)</f>
        <v>0</v>
      </c>
      <c r="AM536" t="str" cm="1">
        <f t="array" ref="AM536">_xlfn.IFS(
Table1[[#This Row],[MonthlyIncome]]&lt;3000,"Under 3K",
Table1[[#This Row],[MonthlyIncome]]&lt;6000,"3K-6K",
Table1[[#This Row],[MonthlyIncome]]&lt;9000,"6K-9K",
Table1[[#This Row],[MonthlyIncome]]&lt;12000,"9K-12K",
TRUE,"12K+")</f>
        <v>12K+</v>
      </c>
      <c r="AN536">
        <f>1</f>
        <v>1</v>
      </c>
      <c r="AO536" t="str" cm="1">
        <f t="array" ref="AO536">_xlfn.IFS(
Table1[[#This Row],[YearsAtCompany]]&lt;=2,"0-2 Years",
Table1[[#This Row],[YearsAtCompany]]&lt;=5,"3-5 Years",
Table1[[#This Row],[YearsAtCompany]]&lt;=10,"6-10 Years",
TRUE,"10+ Years")</f>
        <v>3-5 Years</v>
      </c>
    </row>
    <row r="537" spans="1:41"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tr">
        <f t="shared" si="16"/>
        <v>Management</v>
      </c>
      <c r="AK537">
        <f t="shared" si="17"/>
        <v>0</v>
      </c>
      <c r="AL537">
        <f>IF(Table1[[#This Row],[Attrition]]="Yes", Table1[[#This Row],[MonthlyIncome]]*12*1.5, 0)</f>
        <v>0</v>
      </c>
      <c r="AM537" t="str" cm="1">
        <f t="array" ref="AM537">_xlfn.IFS(
Table1[[#This Row],[MonthlyIncome]]&lt;3000,"Under 3K",
Table1[[#This Row],[MonthlyIncome]]&lt;6000,"3K-6K",
Table1[[#This Row],[MonthlyIncome]]&lt;9000,"6K-9K",
Table1[[#This Row],[MonthlyIncome]]&lt;12000,"9K-12K",
TRUE,"12K+")</f>
        <v>12K+</v>
      </c>
      <c r="AN537">
        <f>1</f>
        <v>1</v>
      </c>
      <c r="AO537" t="str" cm="1">
        <f t="array" ref="AO537">_xlfn.IFS(
Table1[[#This Row],[YearsAtCompany]]&lt;=2,"0-2 Years",
Table1[[#This Row],[YearsAtCompany]]&lt;=5,"3-5 Years",
Table1[[#This Row],[YearsAtCompany]]&lt;=10,"6-10 Years",
TRUE,"10+ Years")</f>
        <v>10+ Years</v>
      </c>
    </row>
    <row r="538" spans="1:41"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tr">
        <f t="shared" si="16"/>
        <v>Sales</v>
      </c>
      <c r="AK538">
        <f t="shared" si="17"/>
        <v>0</v>
      </c>
      <c r="AL538">
        <f>IF(Table1[[#This Row],[Attrition]]="Yes", Table1[[#This Row],[MonthlyIncome]]*12*1.5, 0)</f>
        <v>0</v>
      </c>
      <c r="AM538" t="str" cm="1">
        <f t="array" ref="AM538">_xlfn.IFS(
Table1[[#This Row],[MonthlyIncome]]&lt;3000,"Under 3K",
Table1[[#This Row],[MonthlyIncome]]&lt;6000,"3K-6K",
Table1[[#This Row],[MonthlyIncome]]&lt;9000,"6K-9K",
Table1[[#This Row],[MonthlyIncome]]&lt;12000,"9K-12K",
TRUE,"12K+")</f>
        <v>3K-6K</v>
      </c>
      <c r="AN538">
        <f>1</f>
        <v>1</v>
      </c>
      <c r="AO538" t="str" cm="1">
        <f t="array" ref="AO538">_xlfn.IFS(
Table1[[#This Row],[YearsAtCompany]]&lt;=2,"0-2 Years",
Table1[[#This Row],[YearsAtCompany]]&lt;=5,"3-5 Years",
Table1[[#This Row],[YearsAtCompany]]&lt;=10,"6-10 Years",
TRUE,"10+ Years")</f>
        <v>0-2 Years</v>
      </c>
    </row>
    <row r="539" spans="1:41"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tr">
        <f t="shared" si="16"/>
        <v>Operations</v>
      </c>
      <c r="AK539">
        <f t="shared" si="17"/>
        <v>0</v>
      </c>
      <c r="AL539">
        <f>IF(Table1[[#This Row],[Attrition]]="Yes", Table1[[#This Row],[MonthlyIncome]]*12*1.5, 0)</f>
        <v>0</v>
      </c>
      <c r="AM539" t="str" cm="1">
        <f t="array" ref="AM539">_xlfn.IFS(
Table1[[#This Row],[MonthlyIncome]]&lt;3000,"Under 3K",
Table1[[#This Row],[MonthlyIncome]]&lt;6000,"3K-6K",
Table1[[#This Row],[MonthlyIncome]]&lt;9000,"6K-9K",
Table1[[#This Row],[MonthlyIncome]]&lt;12000,"9K-12K",
TRUE,"12K+")</f>
        <v>6K-9K</v>
      </c>
      <c r="AN539">
        <f>1</f>
        <v>1</v>
      </c>
      <c r="AO539" t="str" cm="1">
        <f t="array" ref="AO539">_xlfn.IFS(
Table1[[#This Row],[YearsAtCompany]]&lt;=2,"0-2 Years",
Table1[[#This Row],[YearsAtCompany]]&lt;=5,"3-5 Years",
Table1[[#This Row],[YearsAtCompany]]&lt;=10,"6-10 Years",
TRUE,"10+ Years")</f>
        <v>6-10 Years</v>
      </c>
    </row>
    <row r="540" spans="1:41"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tr">
        <f t="shared" si="16"/>
        <v>Management</v>
      </c>
      <c r="AK540">
        <f t="shared" si="17"/>
        <v>0</v>
      </c>
      <c r="AL540">
        <f>IF(Table1[[#This Row],[Attrition]]="Yes", Table1[[#This Row],[MonthlyIncome]]*12*1.5, 0)</f>
        <v>0</v>
      </c>
      <c r="AM540" t="str" cm="1">
        <f t="array" ref="AM540">_xlfn.IFS(
Table1[[#This Row],[MonthlyIncome]]&lt;3000,"Under 3K",
Table1[[#This Row],[MonthlyIncome]]&lt;6000,"3K-6K",
Table1[[#This Row],[MonthlyIncome]]&lt;9000,"6K-9K",
Table1[[#This Row],[MonthlyIncome]]&lt;12000,"9K-12K",
TRUE,"12K+")</f>
        <v>12K+</v>
      </c>
      <c r="AN540">
        <f>1</f>
        <v>1</v>
      </c>
      <c r="AO540" t="str" cm="1">
        <f t="array" ref="AO540">_xlfn.IFS(
Table1[[#This Row],[YearsAtCompany]]&lt;=2,"0-2 Years",
Table1[[#This Row],[YearsAtCompany]]&lt;=5,"3-5 Years",
Table1[[#This Row],[YearsAtCompany]]&lt;=10,"6-10 Years",
TRUE,"10+ Years")</f>
        <v>10+ Years</v>
      </c>
    </row>
    <row r="541" spans="1:41"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tr">
        <f t="shared" si="16"/>
        <v>Sales</v>
      </c>
      <c r="AK541">
        <f t="shared" si="17"/>
        <v>0</v>
      </c>
      <c r="AL541">
        <f>IF(Table1[[#This Row],[Attrition]]="Yes", Table1[[#This Row],[MonthlyIncome]]*12*1.5, 0)</f>
        <v>0</v>
      </c>
      <c r="AM541" t="str" cm="1">
        <f t="array" ref="AM541">_xlfn.IFS(
Table1[[#This Row],[MonthlyIncome]]&lt;3000,"Under 3K",
Table1[[#This Row],[MonthlyIncome]]&lt;6000,"3K-6K",
Table1[[#This Row],[MonthlyIncome]]&lt;9000,"6K-9K",
Table1[[#This Row],[MonthlyIncome]]&lt;12000,"9K-12K",
TRUE,"12K+")</f>
        <v>3K-6K</v>
      </c>
      <c r="AN541">
        <f>1</f>
        <v>1</v>
      </c>
      <c r="AO541" t="str" cm="1">
        <f t="array" ref="AO541">_xlfn.IFS(
Table1[[#This Row],[YearsAtCompany]]&lt;=2,"0-2 Years",
Table1[[#This Row],[YearsAtCompany]]&lt;=5,"3-5 Years",
Table1[[#This Row],[YearsAtCompany]]&lt;=10,"6-10 Years",
TRUE,"10+ Years")</f>
        <v>0-2 Years</v>
      </c>
    </row>
    <row r="542" spans="1:41"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tr">
        <f t="shared" si="16"/>
        <v>Research</v>
      </c>
      <c r="AK542">
        <f t="shared" si="17"/>
        <v>1</v>
      </c>
      <c r="AL542">
        <f>IF(Table1[[#This Row],[Attrition]]="Yes", Table1[[#This Row],[MonthlyIncome]]*12*1.5, 0)</f>
        <v>39888</v>
      </c>
      <c r="AM542" t="str" cm="1">
        <f t="array" ref="AM542">_xlfn.IFS(
Table1[[#This Row],[MonthlyIncome]]&lt;3000,"Under 3K",
Table1[[#This Row],[MonthlyIncome]]&lt;6000,"3K-6K",
Table1[[#This Row],[MonthlyIncome]]&lt;9000,"6K-9K",
Table1[[#This Row],[MonthlyIncome]]&lt;12000,"9K-12K",
TRUE,"12K+")</f>
        <v>Under 3K</v>
      </c>
      <c r="AN542">
        <f>1</f>
        <v>1</v>
      </c>
      <c r="AO542" t="str" cm="1">
        <f t="array" ref="AO542">_xlfn.IFS(
Table1[[#This Row],[YearsAtCompany]]&lt;=2,"0-2 Years",
Table1[[#This Row],[YearsAtCompany]]&lt;=5,"3-5 Years",
Table1[[#This Row],[YearsAtCompany]]&lt;=10,"6-10 Years",
TRUE,"10+ Years")</f>
        <v>6-10 Years</v>
      </c>
    </row>
    <row r="543" spans="1:41"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tr">
        <f t="shared" si="16"/>
        <v>Research</v>
      </c>
      <c r="AK543">
        <f t="shared" si="17"/>
        <v>0</v>
      </c>
      <c r="AL543">
        <f>IF(Table1[[#This Row],[Attrition]]="Yes", Table1[[#This Row],[MonthlyIncome]]*12*1.5, 0)</f>
        <v>0</v>
      </c>
      <c r="AM543" t="str" cm="1">
        <f t="array" ref="AM543">_xlfn.IFS(
Table1[[#This Row],[MonthlyIncome]]&lt;3000,"Under 3K",
Table1[[#This Row],[MonthlyIncome]]&lt;6000,"3K-6K",
Table1[[#This Row],[MonthlyIncome]]&lt;9000,"6K-9K",
Table1[[#This Row],[MonthlyIncome]]&lt;12000,"9K-12K",
TRUE,"12K+")</f>
        <v>9K-12K</v>
      </c>
      <c r="AN543">
        <f>1</f>
        <v>1</v>
      </c>
      <c r="AO543" t="str" cm="1">
        <f t="array" ref="AO543">_xlfn.IFS(
Table1[[#This Row],[YearsAtCompany]]&lt;=2,"0-2 Years",
Table1[[#This Row],[YearsAtCompany]]&lt;=5,"3-5 Years",
Table1[[#This Row],[YearsAtCompany]]&lt;=10,"6-10 Years",
TRUE,"10+ Years")</f>
        <v>6-10 Years</v>
      </c>
    </row>
    <row r="544" spans="1:41"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tr">
        <f t="shared" si="16"/>
        <v>Operations</v>
      </c>
      <c r="AK544">
        <f t="shared" si="17"/>
        <v>0</v>
      </c>
      <c r="AL544">
        <f>IF(Table1[[#This Row],[Attrition]]="Yes", Table1[[#This Row],[MonthlyIncome]]*12*1.5, 0)</f>
        <v>0</v>
      </c>
      <c r="AM544" t="str" cm="1">
        <f t="array" ref="AM544">_xlfn.IFS(
Table1[[#This Row],[MonthlyIncome]]&lt;3000,"Under 3K",
Table1[[#This Row],[MonthlyIncome]]&lt;6000,"3K-6K",
Table1[[#This Row],[MonthlyIncome]]&lt;9000,"6K-9K",
Table1[[#This Row],[MonthlyIncome]]&lt;12000,"9K-12K",
TRUE,"12K+")</f>
        <v>6K-9K</v>
      </c>
      <c r="AN544">
        <f>1</f>
        <v>1</v>
      </c>
      <c r="AO544" t="str" cm="1">
        <f t="array" ref="AO544">_xlfn.IFS(
Table1[[#This Row],[YearsAtCompany]]&lt;=2,"0-2 Years",
Table1[[#This Row],[YearsAtCompany]]&lt;=5,"3-5 Years",
Table1[[#This Row],[YearsAtCompany]]&lt;=10,"6-10 Years",
TRUE,"10+ Years")</f>
        <v>0-2 Years</v>
      </c>
    </row>
    <row r="545" spans="1:41"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tr">
        <f t="shared" si="16"/>
        <v>Research</v>
      </c>
      <c r="AK545">
        <f t="shared" si="17"/>
        <v>0</v>
      </c>
      <c r="AL545">
        <f>IF(Table1[[#This Row],[Attrition]]="Yes", Table1[[#This Row],[MonthlyIncome]]*12*1.5, 0)</f>
        <v>0</v>
      </c>
      <c r="AM545" t="str" cm="1">
        <f t="array" ref="AM545">_xlfn.IFS(
Table1[[#This Row],[MonthlyIncome]]&lt;3000,"Under 3K",
Table1[[#This Row],[MonthlyIncome]]&lt;6000,"3K-6K",
Table1[[#This Row],[MonthlyIncome]]&lt;9000,"6K-9K",
Table1[[#This Row],[MonthlyIncome]]&lt;12000,"9K-12K",
TRUE,"12K+")</f>
        <v>3K-6K</v>
      </c>
      <c r="AN545">
        <f>1</f>
        <v>1</v>
      </c>
      <c r="AO545" t="str" cm="1">
        <f t="array" ref="AO545">_xlfn.IFS(
Table1[[#This Row],[YearsAtCompany]]&lt;=2,"0-2 Years",
Table1[[#This Row],[YearsAtCompany]]&lt;=5,"3-5 Years",
Table1[[#This Row],[YearsAtCompany]]&lt;=10,"6-10 Years",
TRUE,"10+ Years")</f>
        <v>3-5 Years</v>
      </c>
    </row>
    <row r="546" spans="1:41"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tr">
        <f t="shared" si="16"/>
        <v>Sales</v>
      </c>
      <c r="AK546">
        <f t="shared" si="17"/>
        <v>0</v>
      </c>
      <c r="AL546">
        <f>IF(Table1[[#This Row],[Attrition]]="Yes", Table1[[#This Row],[MonthlyIncome]]*12*1.5, 0)</f>
        <v>0</v>
      </c>
      <c r="AM546" t="str" cm="1">
        <f t="array" ref="AM546">_xlfn.IFS(
Table1[[#This Row],[MonthlyIncome]]&lt;3000,"Under 3K",
Table1[[#This Row],[MonthlyIncome]]&lt;6000,"3K-6K",
Table1[[#This Row],[MonthlyIncome]]&lt;9000,"6K-9K",
Table1[[#This Row],[MonthlyIncome]]&lt;12000,"9K-12K",
TRUE,"12K+")</f>
        <v>12K+</v>
      </c>
      <c r="AN546">
        <f>1</f>
        <v>1</v>
      </c>
      <c r="AO546" t="str" cm="1">
        <f t="array" ref="AO546">_xlfn.IFS(
Table1[[#This Row],[YearsAtCompany]]&lt;=2,"0-2 Years",
Table1[[#This Row],[YearsAtCompany]]&lt;=5,"3-5 Years",
Table1[[#This Row],[YearsAtCompany]]&lt;=10,"6-10 Years",
TRUE,"10+ Years")</f>
        <v>10+ Years</v>
      </c>
    </row>
    <row r="547" spans="1:41"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tr">
        <f t="shared" si="16"/>
        <v>Sales</v>
      </c>
      <c r="AK547">
        <f t="shared" si="17"/>
        <v>0</v>
      </c>
      <c r="AL547">
        <f>IF(Table1[[#This Row],[Attrition]]="Yes", Table1[[#This Row],[MonthlyIncome]]*12*1.5, 0)</f>
        <v>0</v>
      </c>
      <c r="AM547" t="str" cm="1">
        <f t="array" ref="AM547">_xlfn.IFS(
Table1[[#This Row],[MonthlyIncome]]&lt;3000,"Under 3K",
Table1[[#This Row],[MonthlyIncome]]&lt;6000,"3K-6K",
Table1[[#This Row],[MonthlyIncome]]&lt;9000,"6K-9K",
Table1[[#This Row],[MonthlyIncome]]&lt;12000,"9K-12K",
TRUE,"12K+")</f>
        <v>3K-6K</v>
      </c>
      <c r="AN547">
        <f>1</f>
        <v>1</v>
      </c>
      <c r="AO547" t="str" cm="1">
        <f t="array" ref="AO547">_xlfn.IFS(
Table1[[#This Row],[YearsAtCompany]]&lt;=2,"0-2 Years",
Table1[[#This Row],[YearsAtCompany]]&lt;=5,"3-5 Years",
Table1[[#This Row],[YearsAtCompany]]&lt;=10,"6-10 Years",
TRUE,"10+ Years")</f>
        <v>6-10 Years</v>
      </c>
    </row>
    <row r="548" spans="1:41"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tr">
        <f t="shared" si="16"/>
        <v>Sales</v>
      </c>
      <c r="AK548">
        <f t="shared" si="17"/>
        <v>0</v>
      </c>
      <c r="AL548">
        <f>IF(Table1[[#This Row],[Attrition]]="Yes", Table1[[#This Row],[MonthlyIncome]]*12*1.5, 0)</f>
        <v>0</v>
      </c>
      <c r="AM548" t="str" cm="1">
        <f t="array" ref="AM548">_xlfn.IFS(
Table1[[#This Row],[MonthlyIncome]]&lt;3000,"Under 3K",
Table1[[#This Row],[MonthlyIncome]]&lt;6000,"3K-6K",
Table1[[#This Row],[MonthlyIncome]]&lt;9000,"6K-9K",
Table1[[#This Row],[MonthlyIncome]]&lt;12000,"9K-12K",
TRUE,"12K+")</f>
        <v>Under 3K</v>
      </c>
      <c r="AN548">
        <f>1</f>
        <v>1</v>
      </c>
      <c r="AO548" t="str" cm="1">
        <f t="array" ref="AO548">_xlfn.IFS(
Table1[[#This Row],[YearsAtCompany]]&lt;=2,"0-2 Years",
Table1[[#This Row],[YearsAtCompany]]&lt;=5,"3-5 Years",
Table1[[#This Row],[YearsAtCompany]]&lt;=10,"6-10 Years",
TRUE,"10+ Years")</f>
        <v>0-2 Years</v>
      </c>
    </row>
    <row r="549" spans="1:41"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tr">
        <f t="shared" si="16"/>
        <v>Research</v>
      </c>
      <c r="AK549">
        <f t="shared" si="17"/>
        <v>1</v>
      </c>
      <c r="AL549">
        <f>IF(Table1[[#This Row],[Attrition]]="Yes", Table1[[#This Row],[MonthlyIncome]]*12*1.5, 0)</f>
        <v>49662</v>
      </c>
      <c r="AM549" t="str" cm="1">
        <f t="array" ref="AM549">_xlfn.IFS(
Table1[[#This Row],[MonthlyIncome]]&lt;3000,"Under 3K",
Table1[[#This Row],[MonthlyIncome]]&lt;6000,"3K-6K",
Table1[[#This Row],[MonthlyIncome]]&lt;9000,"6K-9K",
Table1[[#This Row],[MonthlyIncome]]&lt;12000,"9K-12K",
TRUE,"12K+")</f>
        <v>Under 3K</v>
      </c>
      <c r="AN549">
        <f>1</f>
        <v>1</v>
      </c>
      <c r="AO549" t="str" cm="1">
        <f t="array" ref="AO549">_xlfn.IFS(
Table1[[#This Row],[YearsAtCompany]]&lt;=2,"0-2 Years",
Table1[[#This Row],[YearsAtCompany]]&lt;=5,"3-5 Years",
Table1[[#This Row],[YearsAtCompany]]&lt;=10,"6-10 Years",
TRUE,"10+ Years")</f>
        <v>0-2 Years</v>
      </c>
    </row>
    <row r="550" spans="1:41"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tr">
        <f t="shared" si="16"/>
        <v>Sales</v>
      </c>
      <c r="AK550">
        <f t="shared" si="17"/>
        <v>0</v>
      </c>
      <c r="AL550">
        <f>IF(Table1[[#This Row],[Attrition]]="Yes", Table1[[#This Row],[MonthlyIncome]]*12*1.5, 0)</f>
        <v>0</v>
      </c>
      <c r="AM550" t="str" cm="1">
        <f t="array" ref="AM550">_xlfn.IFS(
Table1[[#This Row],[MonthlyIncome]]&lt;3000,"Under 3K",
Table1[[#This Row],[MonthlyIncome]]&lt;6000,"3K-6K",
Table1[[#This Row],[MonthlyIncome]]&lt;9000,"6K-9K",
Table1[[#This Row],[MonthlyIncome]]&lt;12000,"9K-12K",
TRUE,"12K+")</f>
        <v>6K-9K</v>
      </c>
      <c r="AN550">
        <f>1</f>
        <v>1</v>
      </c>
      <c r="AO550" t="str" cm="1">
        <f t="array" ref="AO550">_xlfn.IFS(
Table1[[#This Row],[YearsAtCompany]]&lt;=2,"0-2 Years",
Table1[[#This Row],[YearsAtCompany]]&lt;=5,"3-5 Years",
Table1[[#This Row],[YearsAtCompany]]&lt;=10,"6-10 Years",
TRUE,"10+ Years")</f>
        <v>0-2 Years</v>
      </c>
    </row>
    <row r="551" spans="1:41"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tr">
        <f t="shared" si="16"/>
        <v>Healthcare</v>
      </c>
      <c r="AK551">
        <f t="shared" si="17"/>
        <v>0</v>
      </c>
      <c r="AL551">
        <f>IF(Table1[[#This Row],[Attrition]]="Yes", Table1[[#This Row],[MonthlyIncome]]*12*1.5, 0)</f>
        <v>0</v>
      </c>
      <c r="AM551" t="str" cm="1">
        <f t="array" ref="AM551">_xlfn.IFS(
Table1[[#This Row],[MonthlyIncome]]&lt;3000,"Under 3K",
Table1[[#This Row],[MonthlyIncome]]&lt;6000,"3K-6K",
Table1[[#This Row],[MonthlyIncome]]&lt;9000,"6K-9K",
Table1[[#This Row],[MonthlyIncome]]&lt;12000,"9K-12K",
TRUE,"12K+")</f>
        <v>6K-9K</v>
      </c>
      <c r="AN551">
        <f>1</f>
        <v>1</v>
      </c>
      <c r="AO551" t="str" cm="1">
        <f t="array" ref="AO551">_xlfn.IFS(
Table1[[#This Row],[YearsAtCompany]]&lt;=2,"0-2 Years",
Table1[[#This Row],[YearsAtCompany]]&lt;=5,"3-5 Years",
Table1[[#This Row],[YearsAtCompany]]&lt;=10,"6-10 Years",
TRUE,"10+ Years")</f>
        <v>3-5 Years</v>
      </c>
    </row>
    <row r="552" spans="1:41"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tr">
        <f t="shared" si="16"/>
        <v>Research</v>
      </c>
      <c r="AK552">
        <f t="shared" si="17"/>
        <v>0</v>
      </c>
      <c r="AL552">
        <f>IF(Table1[[#This Row],[Attrition]]="Yes", Table1[[#This Row],[MonthlyIncome]]*12*1.5, 0)</f>
        <v>0</v>
      </c>
      <c r="AM552" t="str" cm="1">
        <f t="array" ref="AM552">_xlfn.IFS(
Table1[[#This Row],[MonthlyIncome]]&lt;3000,"Under 3K",
Table1[[#This Row],[MonthlyIncome]]&lt;6000,"3K-6K",
Table1[[#This Row],[MonthlyIncome]]&lt;9000,"6K-9K",
Table1[[#This Row],[MonthlyIncome]]&lt;12000,"9K-12K",
TRUE,"12K+")</f>
        <v>Under 3K</v>
      </c>
      <c r="AN552">
        <f>1</f>
        <v>1</v>
      </c>
      <c r="AO552" t="str" cm="1">
        <f t="array" ref="AO552">_xlfn.IFS(
Table1[[#This Row],[YearsAtCompany]]&lt;=2,"0-2 Years",
Table1[[#This Row],[YearsAtCompany]]&lt;=5,"3-5 Years",
Table1[[#This Row],[YearsAtCompany]]&lt;=10,"6-10 Years",
TRUE,"10+ Years")</f>
        <v>3-5 Years</v>
      </c>
    </row>
    <row r="553" spans="1:41"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tr">
        <f t="shared" si="16"/>
        <v>Human Resources</v>
      </c>
      <c r="AK553">
        <f t="shared" si="17"/>
        <v>0</v>
      </c>
      <c r="AL553">
        <f>IF(Table1[[#This Row],[Attrition]]="Yes", Table1[[#This Row],[MonthlyIncome]]*12*1.5, 0)</f>
        <v>0</v>
      </c>
      <c r="AM553" t="str" cm="1">
        <f t="array" ref="AM553">_xlfn.IFS(
Table1[[#This Row],[MonthlyIncome]]&lt;3000,"Under 3K",
Table1[[#This Row],[MonthlyIncome]]&lt;6000,"3K-6K",
Table1[[#This Row],[MonthlyIncome]]&lt;9000,"6K-9K",
Table1[[#This Row],[MonthlyIncome]]&lt;12000,"9K-12K",
TRUE,"12K+")</f>
        <v>6K-9K</v>
      </c>
      <c r="AN553">
        <f>1</f>
        <v>1</v>
      </c>
      <c r="AO553" t="str" cm="1">
        <f t="array" ref="AO553">_xlfn.IFS(
Table1[[#This Row],[YearsAtCompany]]&lt;=2,"0-2 Years",
Table1[[#This Row],[YearsAtCompany]]&lt;=5,"3-5 Years",
Table1[[#This Row],[YearsAtCompany]]&lt;=10,"6-10 Years",
TRUE,"10+ Years")</f>
        <v>6-10 Years</v>
      </c>
    </row>
    <row r="554" spans="1:41"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tr">
        <f t="shared" si="16"/>
        <v>Healthcare</v>
      </c>
      <c r="AK554">
        <f t="shared" si="17"/>
        <v>0</v>
      </c>
      <c r="AL554">
        <f>IF(Table1[[#This Row],[Attrition]]="Yes", Table1[[#This Row],[MonthlyIncome]]*12*1.5, 0)</f>
        <v>0</v>
      </c>
      <c r="AM554" t="str" cm="1">
        <f t="array" ref="AM554">_xlfn.IFS(
Table1[[#This Row],[MonthlyIncome]]&lt;3000,"Under 3K",
Table1[[#This Row],[MonthlyIncome]]&lt;6000,"3K-6K",
Table1[[#This Row],[MonthlyIncome]]&lt;9000,"6K-9K",
Table1[[#This Row],[MonthlyIncome]]&lt;12000,"9K-12K",
TRUE,"12K+")</f>
        <v>9K-12K</v>
      </c>
      <c r="AN554">
        <f>1</f>
        <v>1</v>
      </c>
      <c r="AO554" t="str" cm="1">
        <f t="array" ref="AO554">_xlfn.IFS(
Table1[[#This Row],[YearsAtCompany]]&lt;=2,"0-2 Years",
Table1[[#This Row],[YearsAtCompany]]&lt;=5,"3-5 Years",
Table1[[#This Row],[YearsAtCompany]]&lt;=10,"6-10 Years",
TRUE,"10+ Years")</f>
        <v>6-10 Years</v>
      </c>
    </row>
    <row r="555" spans="1:41"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tr">
        <f t="shared" si="16"/>
        <v>Research</v>
      </c>
      <c r="AK555">
        <f t="shared" si="17"/>
        <v>0</v>
      </c>
      <c r="AL555">
        <f>IF(Table1[[#This Row],[Attrition]]="Yes", Table1[[#This Row],[MonthlyIncome]]*12*1.5, 0)</f>
        <v>0</v>
      </c>
      <c r="AM555" t="str" cm="1">
        <f t="array" ref="AM555">_xlfn.IFS(
Table1[[#This Row],[MonthlyIncome]]&lt;3000,"Under 3K",
Table1[[#This Row],[MonthlyIncome]]&lt;6000,"3K-6K",
Table1[[#This Row],[MonthlyIncome]]&lt;9000,"6K-9K",
Table1[[#This Row],[MonthlyIncome]]&lt;12000,"9K-12K",
TRUE,"12K+")</f>
        <v>Under 3K</v>
      </c>
      <c r="AN555">
        <f>1</f>
        <v>1</v>
      </c>
      <c r="AO555" t="str" cm="1">
        <f t="array" ref="AO555">_xlfn.IFS(
Table1[[#This Row],[YearsAtCompany]]&lt;=2,"0-2 Years",
Table1[[#This Row],[YearsAtCompany]]&lt;=5,"3-5 Years",
Table1[[#This Row],[YearsAtCompany]]&lt;=10,"6-10 Years",
TRUE,"10+ Years")</f>
        <v>3-5 Years</v>
      </c>
    </row>
    <row r="556" spans="1:41"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tr">
        <f t="shared" si="16"/>
        <v>Healthcare</v>
      </c>
      <c r="AK556">
        <f t="shared" si="17"/>
        <v>0</v>
      </c>
      <c r="AL556">
        <f>IF(Table1[[#This Row],[Attrition]]="Yes", Table1[[#This Row],[MonthlyIncome]]*12*1.5, 0)</f>
        <v>0</v>
      </c>
      <c r="AM556" t="str" cm="1">
        <f t="array" ref="AM556">_xlfn.IFS(
Table1[[#This Row],[MonthlyIncome]]&lt;3000,"Under 3K",
Table1[[#This Row],[MonthlyIncome]]&lt;6000,"3K-6K",
Table1[[#This Row],[MonthlyIncome]]&lt;9000,"6K-9K",
Table1[[#This Row],[MonthlyIncome]]&lt;12000,"9K-12K",
TRUE,"12K+")</f>
        <v>6K-9K</v>
      </c>
      <c r="AN556">
        <f>1</f>
        <v>1</v>
      </c>
      <c r="AO556" t="str" cm="1">
        <f t="array" ref="AO556">_xlfn.IFS(
Table1[[#This Row],[YearsAtCompany]]&lt;=2,"0-2 Years",
Table1[[#This Row],[YearsAtCompany]]&lt;=5,"3-5 Years",
Table1[[#This Row],[YearsAtCompany]]&lt;=10,"6-10 Years",
TRUE,"10+ Years")</f>
        <v>6-10 Years</v>
      </c>
    </row>
    <row r="557" spans="1:41"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tr">
        <f t="shared" si="16"/>
        <v>Sales</v>
      </c>
      <c r="AK557">
        <f t="shared" si="17"/>
        <v>0</v>
      </c>
      <c r="AL557">
        <f>IF(Table1[[#This Row],[Attrition]]="Yes", Table1[[#This Row],[MonthlyIncome]]*12*1.5, 0)</f>
        <v>0</v>
      </c>
      <c r="AM557" t="str" cm="1">
        <f t="array" ref="AM557">_xlfn.IFS(
Table1[[#This Row],[MonthlyIncome]]&lt;3000,"Under 3K",
Table1[[#This Row],[MonthlyIncome]]&lt;6000,"3K-6K",
Table1[[#This Row],[MonthlyIncome]]&lt;9000,"6K-9K",
Table1[[#This Row],[MonthlyIncome]]&lt;12000,"9K-12K",
TRUE,"12K+")</f>
        <v>Under 3K</v>
      </c>
      <c r="AN557">
        <f>1</f>
        <v>1</v>
      </c>
      <c r="AO557" t="str" cm="1">
        <f t="array" ref="AO557">_xlfn.IFS(
Table1[[#This Row],[YearsAtCompany]]&lt;=2,"0-2 Years",
Table1[[#This Row],[YearsAtCompany]]&lt;=5,"3-5 Years",
Table1[[#This Row],[YearsAtCompany]]&lt;=10,"6-10 Years",
TRUE,"10+ Years")</f>
        <v>0-2 Years</v>
      </c>
    </row>
    <row r="558" spans="1:41"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tr">
        <f t="shared" si="16"/>
        <v>Research</v>
      </c>
      <c r="AK558">
        <f t="shared" si="17"/>
        <v>0</v>
      </c>
      <c r="AL558">
        <f>IF(Table1[[#This Row],[Attrition]]="Yes", Table1[[#This Row],[MonthlyIncome]]*12*1.5, 0)</f>
        <v>0</v>
      </c>
      <c r="AM558" t="str" cm="1">
        <f t="array" ref="AM558">_xlfn.IFS(
Table1[[#This Row],[MonthlyIncome]]&lt;3000,"Under 3K",
Table1[[#This Row],[MonthlyIncome]]&lt;6000,"3K-6K",
Table1[[#This Row],[MonthlyIncome]]&lt;9000,"6K-9K",
Table1[[#This Row],[MonthlyIncome]]&lt;12000,"9K-12K",
TRUE,"12K+")</f>
        <v>Under 3K</v>
      </c>
      <c r="AN558">
        <f>1</f>
        <v>1</v>
      </c>
      <c r="AO558" t="str" cm="1">
        <f t="array" ref="AO558">_xlfn.IFS(
Table1[[#This Row],[YearsAtCompany]]&lt;=2,"0-2 Years",
Table1[[#This Row],[YearsAtCompany]]&lt;=5,"3-5 Years",
Table1[[#This Row],[YearsAtCompany]]&lt;=10,"6-10 Years",
TRUE,"10+ Years")</f>
        <v>0-2 Years</v>
      </c>
    </row>
    <row r="559" spans="1:41"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tr">
        <f t="shared" si="16"/>
        <v>Healthcare</v>
      </c>
      <c r="AK559">
        <f t="shared" si="17"/>
        <v>0</v>
      </c>
      <c r="AL559">
        <f>IF(Table1[[#This Row],[Attrition]]="Yes", Table1[[#This Row],[MonthlyIncome]]*12*1.5, 0)</f>
        <v>0</v>
      </c>
      <c r="AM559" t="str" cm="1">
        <f t="array" ref="AM559">_xlfn.IFS(
Table1[[#This Row],[MonthlyIncome]]&lt;3000,"Under 3K",
Table1[[#This Row],[MonthlyIncome]]&lt;6000,"3K-6K",
Table1[[#This Row],[MonthlyIncome]]&lt;9000,"6K-9K",
Table1[[#This Row],[MonthlyIncome]]&lt;12000,"9K-12K",
TRUE,"12K+")</f>
        <v>3K-6K</v>
      </c>
      <c r="AN559">
        <f>1</f>
        <v>1</v>
      </c>
      <c r="AO559" t="str" cm="1">
        <f t="array" ref="AO559">_xlfn.IFS(
Table1[[#This Row],[YearsAtCompany]]&lt;=2,"0-2 Years",
Table1[[#This Row],[YearsAtCompany]]&lt;=5,"3-5 Years",
Table1[[#This Row],[YearsAtCompany]]&lt;=10,"6-10 Years",
TRUE,"10+ Years")</f>
        <v>0-2 Years</v>
      </c>
    </row>
    <row r="560" spans="1:41"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tr">
        <f t="shared" si="16"/>
        <v>Research</v>
      </c>
      <c r="AK560">
        <f t="shared" si="17"/>
        <v>0</v>
      </c>
      <c r="AL560">
        <f>IF(Table1[[#This Row],[Attrition]]="Yes", Table1[[#This Row],[MonthlyIncome]]*12*1.5, 0)</f>
        <v>0</v>
      </c>
      <c r="AM560" t="str" cm="1">
        <f t="array" ref="AM560">_xlfn.IFS(
Table1[[#This Row],[MonthlyIncome]]&lt;3000,"Under 3K",
Table1[[#This Row],[MonthlyIncome]]&lt;6000,"3K-6K",
Table1[[#This Row],[MonthlyIncome]]&lt;9000,"6K-9K",
Table1[[#This Row],[MonthlyIncome]]&lt;12000,"9K-12K",
TRUE,"12K+")</f>
        <v>3K-6K</v>
      </c>
      <c r="AN560">
        <f>1</f>
        <v>1</v>
      </c>
      <c r="AO560" t="str" cm="1">
        <f t="array" ref="AO560">_xlfn.IFS(
Table1[[#This Row],[YearsAtCompany]]&lt;=2,"0-2 Years",
Table1[[#This Row],[YearsAtCompany]]&lt;=5,"3-5 Years",
Table1[[#This Row],[YearsAtCompany]]&lt;=10,"6-10 Years",
TRUE,"10+ Years")</f>
        <v>6-10 Years</v>
      </c>
    </row>
    <row r="561" spans="1:41"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tr">
        <f t="shared" si="16"/>
        <v>Research</v>
      </c>
      <c r="AK561">
        <f t="shared" si="17"/>
        <v>0</v>
      </c>
      <c r="AL561">
        <f>IF(Table1[[#This Row],[Attrition]]="Yes", Table1[[#This Row],[MonthlyIncome]]*12*1.5, 0)</f>
        <v>0</v>
      </c>
      <c r="AM561" t="str" cm="1">
        <f t="array" ref="AM561">_xlfn.IFS(
Table1[[#This Row],[MonthlyIncome]]&lt;3000,"Under 3K",
Table1[[#This Row],[MonthlyIncome]]&lt;6000,"3K-6K",
Table1[[#This Row],[MonthlyIncome]]&lt;9000,"6K-9K",
Table1[[#This Row],[MonthlyIncome]]&lt;12000,"9K-12K",
TRUE,"12K+")</f>
        <v>3K-6K</v>
      </c>
      <c r="AN561">
        <f>1</f>
        <v>1</v>
      </c>
      <c r="AO561" t="str" cm="1">
        <f t="array" ref="AO561">_xlfn.IFS(
Table1[[#This Row],[YearsAtCompany]]&lt;=2,"0-2 Years",
Table1[[#This Row],[YearsAtCompany]]&lt;=5,"3-5 Years",
Table1[[#This Row],[YearsAtCompany]]&lt;=10,"6-10 Years",
TRUE,"10+ Years")</f>
        <v>0-2 Years</v>
      </c>
    </row>
    <row r="562" spans="1:41"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tr">
        <f t="shared" si="16"/>
        <v>Operations</v>
      </c>
      <c r="AK562">
        <f t="shared" si="17"/>
        <v>0</v>
      </c>
      <c r="AL562">
        <f>IF(Table1[[#This Row],[Attrition]]="Yes", Table1[[#This Row],[MonthlyIncome]]*12*1.5, 0)</f>
        <v>0</v>
      </c>
      <c r="AM562" t="str" cm="1">
        <f t="array" ref="AM562">_xlfn.IFS(
Table1[[#This Row],[MonthlyIncome]]&lt;3000,"Under 3K",
Table1[[#This Row],[MonthlyIncome]]&lt;6000,"3K-6K",
Table1[[#This Row],[MonthlyIncome]]&lt;9000,"6K-9K",
Table1[[#This Row],[MonthlyIncome]]&lt;12000,"9K-12K",
TRUE,"12K+")</f>
        <v>3K-6K</v>
      </c>
      <c r="AN562">
        <f>1</f>
        <v>1</v>
      </c>
      <c r="AO562" t="str" cm="1">
        <f t="array" ref="AO562">_xlfn.IFS(
Table1[[#This Row],[YearsAtCompany]]&lt;=2,"0-2 Years",
Table1[[#This Row],[YearsAtCompany]]&lt;=5,"3-5 Years",
Table1[[#This Row],[YearsAtCompany]]&lt;=10,"6-10 Years",
TRUE,"10+ Years")</f>
        <v>0-2 Years</v>
      </c>
    </row>
    <row r="563" spans="1:41"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tr">
        <f t="shared" si="16"/>
        <v>Management</v>
      </c>
      <c r="AK563">
        <f t="shared" si="17"/>
        <v>0</v>
      </c>
      <c r="AL563">
        <f>IF(Table1[[#This Row],[Attrition]]="Yes", Table1[[#This Row],[MonthlyIncome]]*12*1.5, 0)</f>
        <v>0</v>
      </c>
      <c r="AM563" t="str" cm="1">
        <f t="array" ref="AM563">_xlfn.IFS(
Table1[[#This Row],[MonthlyIncome]]&lt;3000,"Under 3K",
Table1[[#This Row],[MonthlyIncome]]&lt;6000,"3K-6K",
Table1[[#This Row],[MonthlyIncome]]&lt;9000,"6K-9K",
Table1[[#This Row],[MonthlyIncome]]&lt;12000,"9K-12K",
TRUE,"12K+")</f>
        <v>12K+</v>
      </c>
      <c r="AN563">
        <f>1</f>
        <v>1</v>
      </c>
      <c r="AO563" t="str" cm="1">
        <f t="array" ref="AO563">_xlfn.IFS(
Table1[[#This Row],[YearsAtCompany]]&lt;=2,"0-2 Years",
Table1[[#This Row],[YearsAtCompany]]&lt;=5,"3-5 Years",
Table1[[#This Row],[YearsAtCompany]]&lt;=10,"6-10 Years",
TRUE,"10+ Years")</f>
        <v>10+ Years</v>
      </c>
    </row>
    <row r="564" spans="1:41"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tr">
        <f t="shared" si="16"/>
        <v>Research</v>
      </c>
      <c r="AK564">
        <f t="shared" si="17"/>
        <v>1</v>
      </c>
      <c r="AL564">
        <f>IF(Table1[[#This Row],[Attrition]]="Yes", Table1[[#This Row],[MonthlyIncome]]*12*1.5, 0)</f>
        <v>48348</v>
      </c>
      <c r="AM564" t="str" cm="1">
        <f t="array" ref="AM564">_xlfn.IFS(
Table1[[#This Row],[MonthlyIncome]]&lt;3000,"Under 3K",
Table1[[#This Row],[MonthlyIncome]]&lt;6000,"3K-6K",
Table1[[#This Row],[MonthlyIncome]]&lt;9000,"6K-9K",
Table1[[#This Row],[MonthlyIncome]]&lt;12000,"9K-12K",
TRUE,"12K+")</f>
        <v>Under 3K</v>
      </c>
      <c r="AN564">
        <f>1</f>
        <v>1</v>
      </c>
      <c r="AO564" t="str" cm="1">
        <f t="array" ref="AO564">_xlfn.IFS(
Table1[[#This Row],[YearsAtCompany]]&lt;=2,"0-2 Years",
Table1[[#This Row],[YearsAtCompany]]&lt;=5,"3-5 Years",
Table1[[#This Row],[YearsAtCompany]]&lt;=10,"6-10 Years",
TRUE,"10+ Years")</f>
        <v>6-10 Years</v>
      </c>
    </row>
    <row r="565" spans="1:41"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tr">
        <f t="shared" si="16"/>
        <v>Sales</v>
      </c>
      <c r="AK565">
        <f t="shared" si="17"/>
        <v>0</v>
      </c>
      <c r="AL565">
        <f>IF(Table1[[#This Row],[Attrition]]="Yes", Table1[[#This Row],[MonthlyIncome]]*12*1.5, 0)</f>
        <v>0</v>
      </c>
      <c r="AM565" t="str" cm="1">
        <f t="array" ref="AM565">_xlfn.IFS(
Table1[[#This Row],[MonthlyIncome]]&lt;3000,"Under 3K",
Table1[[#This Row],[MonthlyIncome]]&lt;6000,"3K-6K",
Table1[[#This Row],[MonthlyIncome]]&lt;9000,"6K-9K",
Table1[[#This Row],[MonthlyIncome]]&lt;12000,"9K-12K",
TRUE,"12K+")</f>
        <v>6K-9K</v>
      </c>
      <c r="AN565">
        <f>1</f>
        <v>1</v>
      </c>
      <c r="AO565" t="str" cm="1">
        <f t="array" ref="AO565">_xlfn.IFS(
Table1[[#This Row],[YearsAtCompany]]&lt;=2,"0-2 Years",
Table1[[#This Row],[YearsAtCompany]]&lt;=5,"3-5 Years",
Table1[[#This Row],[YearsAtCompany]]&lt;=10,"6-10 Years",
TRUE,"10+ Years")</f>
        <v>6-10 Years</v>
      </c>
    </row>
    <row r="566" spans="1:41"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tr">
        <f t="shared" si="16"/>
        <v>Sales</v>
      </c>
      <c r="AK566">
        <f t="shared" si="17"/>
        <v>0</v>
      </c>
      <c r="AL566">
        <f>IF(Table1[[#This Row],[Attrition]]="Yes", Table1[[#This Row],[MonthlyIncome]]*12*1.5, 0)</f>
        <v>0</v>
      </c>
      <c r="AM566" t="str" cm="1">
        <f t="array" ref="AM566">_xlfn.IFS(
Table1[[#This Row],[MonthlyIncome]]&lt;3000,"Under 3K",
Table1[[#This Row],[MonthlyIncome]]&lt;6000,"3K-6K",
Table1[[#This Row],[MonthlyIncome]]&lt;9000,"6K-9K",
Table1[[#This Row],[MonthlyIncome]]&lt;12000,"9K-12K",
TRUE,"12K+")</f>
        <v>6K-9K</v>
      </c>
      <c r="AN566">
        <f>1</f>
        <v>1</v>
      </c>
      <c r="AO566" t="str" cm="1">
        <f t="array" ref="AO566">_xlfn.IFS(
Table1[[#This Row],[YearsAtCompany]]&lt;=2,"0-2 Years",
Table1[[#This Row],[YearsAtCompany]]&lt;=5,"3-5 Years",
Table1[[#This Row],[YearsAtCompany]]&lt;=10,"6-10 Years",
TRUE,"10+ Years")</f>
        <v>6-10 Years</v>
      </c>
    </row>
    <row r="567" spans="1:41"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tr">
        <f t="shared" si="16"/>
        <v>Research</v>
      </c>
      <c r="AK567">
        <f t="shared" si="17"/>
        <v>0</v>
      </c>
      <c r="AL567">
        <f>IF(Table1[[#This Row],[Attrition]]="Yes", Table1[[#This Row],[MonthlyIncome]]*12*1.5, 0)</f>
        <v>0</v>
      </c>
      <c r="AM567" t="str" cm="1">
        <f t="array" ref="AM567">_xlfn.IFS(
Table1[[#This Row],[MonthlyIncome]]&lt;3000,"Under 3K",
Table1[[#This Row],[MonthlyIncome]]&lt;6000,"3K-6K",
Table1[[#This Row],[MonthlyIncome]]&lt;9000,"6K-9K",
Table1[[#This Row],[MonthlyIncome]]&lt;12000,"9K-12K",
TRUE,"12K+")</f>
        <v>3K-6K</v>
      </c>
      <c r="AN567">
        <f>1</f>
        <v>1</v>
      </c>
      <c r="AO567" t="str" cm="1">
        <f t="array" ref="AO567">_xlfn.IFS(
Table1[[#This Row],[YearsAtCompany]]&lt;=2,"0-2 Years",
Table1[[#This Row],[YearsAtCompany]]&lt;=5,"3-5 Years",
Table1[[#This Row],[YearsAtCompany]]&lt;=10,"6-10 Years",
TRUE,"10+ Years")</f>
        <v>0-2 Years</v>
      </c>
    </row>
    <row r="568" spans="1:41"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tr">
        <f t="shared" si="16"/>
        <v>Sales</v>
      </c>
      <c r="AK568">
        <f t="shared" si="17"/>
        <v>1</v>
      </c>
      <c r="AL568">
        <f>IF(Table1[[#This Row],[Attrition]]="Yes", Table1[[#This Row],[MonthlyIncome]]*12*1.5, 0)</f>
        <v>115146</v>
      </c>
      <c r="AM568" t="str" cm="1">
        <f t="array" ref="AM568">_xlfn.IFS(
Table1[[#This Row],[MonthlyIncome]]&lt;3000,"Under 3K",
Table1[[#This Row],[MonthlyIncome]]&lt;6000,"3K-6K",
Table1[[#This Row],[MonthlyIncome]]&lt;9000,"6K-9K",
Table1[[#This Row],[MonthlyIncome]]&lt;12000,"9K-12K",
TRUE,"12K+")</f>
        <v>6K-9K</v>
      </c>
      <c r="AN568">
        <f>1</f>
        <v>1</v>
      </c>
      <c r="AO568" t="str" cm="1">
        <f t="array" ref="AO568">_xlfn.IFS(
Table1[[#This Row],[YearsAtCompany]]&lt;=2,"0-2 Years",
Table1[[#This Row],[YearsAtCompany]]&lt;=5,"3-5 Years",
Table1[[#This Row],[YearsAtCompany]]&lt;=10,"6-10 Years",
TRUE,"10+ Years")</f>
        <v>3-5 Years</v>
      </c>
    </row>
    <row r="569" spans="1:41"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tr">
        <f t="shared" si="16"/>
        <v>Sales</v>
      </c>
      <c r="AK569">
        <f t="shared" si="17"/>
        <v>0</v>
      </c>
      <c r="AL569">
        <f>IF(Table1[[#This Row],[Attrition]]="Yes", Table1[[#This Row],[MonthlyIncome]]*12*1.5, 0)</f>
        <v>0</v>
      </c>
      <c r="AM569" t="str" cm="1">
        <f t="array" ref="AM569">_xlfn.IFS(
Table1[[#This Row],[MonthlyIncome]]&lt;3000,"Under 3K",
Table1[[#This Row],[MonthlyIncome]]&lt;6000,"3K-6K",
Table1[[#This Row],[MonthlyIncome]]&lt;9000,"6K-9K",
Table1[[#This Row],[MonthlyIncome]]&lt;12000,"9K-12K",
TRUE,"12K+")</f>
        <v>6K-9K</v>
      </c>
      <c r="AN569">
        <f>1</f>
        <v>1</v>
      </c>
      <c r="AO569" t="str" cm="1">
        <f t="array" ref="AO569">_xlfn.IFS(
Table1[[#This Row],[YearsAtCompany]]&lt;=2,"0-2 Years",
Table1[[#This Row],[YearsAtCompany]]&lt;=5,"3-5 Years",
Table1[[#This Row],[YearsAtCompany]]&lt;=10,"6-10 Years",
TRUE,"10+ Years")</f>
        <v>6-10 Years</v>
      </c>
    </row>
    <row r="570" spans="1:41"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tr">
        <f t="shared" si="16"/>
        <v>Management</v>
      </c>
      <c r="AK570">
        <f t="shared" si="17"/>
        <v>1</v>
      </c>
      <c r="AL570">
        <f>IF(Table1[[#This Row],[Attrition]]="Yes", Table1[[#This Row],[MonthlyIncome]]*12*1.5, 0)</f>
        <v>357462</v>
      </c>
      <c r="AM570" t="str" cm="1">
        <f t="array" ref="AM570">_xlfn.IFS(
Table1[[#This Row],[MonthlyIncome]]&lt;3000,"Under 3K",
Table1[[#This Row],[MonthlyIncome]]&lt;6000,"3K-6K",
Table1[[#This Row],[MonthlyIncome]]&lt;9000,"6K-9K",
Table1[[#This Row],[MonthlyIncome]]&lt;12000,"9K-12K",
TRUE,"12K+")</f>
        <v>12K+</v>
      </c>
      <c r="AN570">
        <f>1</f>
        <v>1</v>
      </c>
      <c r="AO570" t="str" cm="1">
        <f t="array" ref="AO570">_xlfn.IFS(
Table1[[#This Row],[YearsAtCompany]]&lt;=2,"0-2 Years",
Table1[[#This Row],[YearsAtCompany]]&lt;=5,"3-5 Years",
Table1[[#This Row],[YearsAtCompany]]&lt;=10,"6-10 Years",
TRUE,"10+ Years")</f>
        <v>3-5 Years</v>
      </c>
    </row>
    <row r="571" spans="1:41"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tr">
        <f t="shared" si="16"/>
        <v>Sales</v>
      </c>
      <c r="AK571">
        <f t="shared" si="17"/>
        <v>0</v>
      </c>
      <c r="AL571">
        <f>IF(Table1[[#This Row],[Attrition]]="Yes", Table1[[#This Row],[MonthlyIncome]]*12*1.5, 0)</f>
        <v>0</v>
      </c>
      <c r="AM571" t="str" cm="1">
        <f t="array" ref="AM571">_xlfn.IFS(
Table1[[#This Row],[MonthlyIncome]]&lt;3000,"Under 3K",
Table1[[#This Row],[MonthlyIncome]]&lt;6000,"3K-6K",
Table1[[#This Row],[MonthlyIncome]]&lt;9000,"6K-9K",
Table1[[#This Row],[MonthlyIncome]]&lt;12000,"9K-12K",
TRUE,"12K+")</f>
        <v>6K-9K</v>
      </c>
      <c r="AN571">
        <f>1</f>
        <v>1</v>
      </c>
      <c r="AO571" t="str" cm="1">
        <f t="array" ref="AO571">_xlfn.IFS(
Table1[[#This Row],[YearsAtCompany]]&lt;=2,"0-2 Years",
Table1[[#This Row],[YearsAtCompany]]&lt;=5,"3-5 Years",
Table1[[#This Row],[YearsAtCompany]]&lt;=10,"6-10 Years",
TRUE,"10+ Years")</f>
        <v>6-10 Years</v>
      </c>
    </row>
    <row r="572" spans="1:41"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tr">
        <f t="shared" si="16"/>
        <v>Research</v>
      </c>
      <c r="AK572">
        <f t="shared" si="17"/>
        <v>0</v>
      </c>
      <c r="AL572">
        <f>IF(Table1[[#This Row],[Attrition]]="Yes", Table1[[#This Row],[MonthlyIncome]]*12*1.5, 0)</f>
        <v>0</v>
      </c>
      <c r="AM572" t="str" cm="1">
        <f t="array" ref="AM572">_xlfn.IFS(
Table1[[#This Row],[MonthlyIncome]]&lt;3000,"Under 3K",
Table1[[#This Row],[MonthlyIncome]]&lt;6000,"3K-6K",
Table1[[#This Row],[MonthlyIncome]]&lt;9000,"6K-9K",
Table1[[#This Row],[MonthlyIncome]]&lt;12000,"9K-12K",
TRUE,"12K+")</f>
        <v>3K-6K</v>
      </c>
      <c r="AN572">
        <f>1</f>
        <v>1</v>
      </c>
      <c r="AO572" t="str" cm="1">
        <f t="array" ref="AO572">_xlfn.IFS(
Table1[[#This Row],[YearsAtCompany]]&lt;=2,"0-2 Years",
Table1[[#This Row],[YearsAtCompany]]&lt;=5,"3-5 Years",
Table1[[#This Row],[YearsAtCompany]]&lt;=10,"6-10 Years",
TRUE,"10+ Years")</f>
        <v>3-5 Years</v>
      </c>
    </row>
    <row r="573" spans="1:41"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tr">
        <f t="shared" si="16"/>
        <v>Research</v>
      </c>
      <c r="AK573">
        <f t="shared" si="17"/>
        <v>0</v>
      </c>
      <c r="AL573">
        <f>IF(Table1[[#This Row],[Attrition]]="Yes", Table1[[#This Row],[MonthlyIncome]]*12*1.5, 0)</f>
        <v>0</v>
      </c>
      <c r="AM573" t="str" cm="1">
        <f t="array" ref="AM573">_xlfn.IFS(
Table1[[#This Row],[MonthlyIncome]]&lt;3000,"Under 3K",
Table1[[#This Row],[MonthlyIncome]]&lt;6000,"3K-6K",
Table1[[#This Row],[MonthlyIncome]]&lt;9000,"6K-9K",
Table1[[#This Row],[MonthlyIncome]]&lt;12000,"9K-12K",
TRUE,"12K+")</f>
        <v>3K-6K</v>
      </c>
      <c r="AN573">
        <f>1</f>
        <v>1</v>
      </c>
      <c r="AO573" t="str" cm="1">
        <f t="array" ref="AO573">_xlfn.IFS(
Table1[[#This Row],[YearsAtCompany]]&lt;=2,"0-2 Years",
Table1[[#This Row],[YearsAtCompany]]&lt;=5,"3-5 Years",
Table1[[#This Row],[YearsAtCompany]]&lt;=10,"6-10 Years",
TRUE,"10+ Years")</f>
        <v>0-2 Years</v>
      </c>
    </row>
    <row r="574" spans="1:41"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tr">
        <f t="shared" si="16"/>
        <v>Healthcare</v>
      </c>
      <c r="AK574">
        <f t="shared" si="17"/>
        <v>0</v>
      </c>
      <c r="AL574">
        <f>IF(Table1[[#This Row],[Attrition]]="Yes", Table1[[#This Row],[MonthlyIncome]]*12*1.5, 0)</f>
        <v>0</v>
      </c>
      <c r="AM574" t="str" cm="1">
        <f t="array" ref="AM574">_xlfn.IFS(
Table1[[#This Row],[MonthlyIncome]]&lt;3000,"Under 3K",
Table1[[#This Row],[MonthlyIncome]]&lt;6000,"3K-6K",
Table1[[#This Row],[MonthlyIncome]]&lt;9000,"6K-9K",
Table1[[#This Row],[MonthlyIncome]]&lt;12000,"9K-12K",
TRUE,"12K+")</f>
        <v>3K-6K</v>
      </c>
      <c r="AN574">
        <f>1</f>
        <v>1</v>
      </c>
      <c r="AO574" t="str" cm="1">
        <f t="array" ref="AO574">_xlfn.IFS(
Table1[[#This Row],[YearsAtCompany]]&lt;=2,"0-2 Years",
Table1[[#This Row],[YearsAtCompany]]&lt;=5,"3-5 Years",
Table1[[#This Row],[YearsAtCompany]]&lt;=10,"6-10 Years",
TRUE,"10+ Years")</f>
        <v>6-10 Years</v>
      </c>
    </row>
    <row r="575" spans="1:41"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tr">
        <f t="shared" si="16"/>
        <v>Sales</v>
      </c>
      <c r="AK575">
        <f t="shared" si="17"/>
        <v>1</v>
      </c>
      <c r="AL575">
        <f>IF(Table1[[#This Row],[Attrition]]="Yes", Table1[[#This Row],[MonthlyIncome]]*12*1.5, 0)</f>
        <v>95868</v>
      </c>
      <c r="AM575" t="str" cm="1">
        <f t="array" ref="AM575">_xlfn.IFS(
Table1[[#This Row],[MonthlyIncome]]&lt;3000,"Under 3K",
Table1[[#This Row],[MonthlyIncome]]&lt;6000,"3K-6K",
Table1[[#This Row],[MonthlyIncome]]&lt;9000,"6K-9K",
Table1[[#This Row],[MonthlyIncome]]&lt;12000,"9K-12K",
TRUE,"12K+")</f>
        <v>3K-6K</v>
      </c>
      <c r="AN575">
        <f>1</f>
        <v>1</v>
      </c>
      <c r="AO575" t="str" cm="1">
        <f t="array" ref="AO575">_xlfn.IFS(
Table1[[#This Row],[YearsAtCompany]]&lt;=2,"0-2 Years",
Table1[[#This Row],[YearsAtCompany]]&lt;=5,"3-5 Years",
Table1[[#This Row],[YearsAtCompany]]&lt;=10,"6-10 Years",
TRUE,"10+ Years")</f>
        <v>3-5 Years</v>
      </c>
    </row>
    <row r="576" spans="1:41"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tr">
        <f t="shared" si="16"/>
        <v>Research</v>
      </c>
      <c r="AK576">
        <f t="shared" si="17"/>
        <v>0</v>
      </c>
      <c r="AL576">
        <f>IF(Table1[[#This Row],[Attrition]]="Yes", Table1[[#This Row],[MonthlyIncome]]*12*1.5, 0)</f>
        <v>0</v>
      </c>
      <c r="AM576" t="str" cm="1">
        <f t="array" ref="AM576">_xlfn.IFS(
Table1[[#This Row],[MonthlyIncome]]&lt;3000,"Under 3K",
Table1[[#This Row],[MonthlyIncome]]&lt;6000,"3K-6K",
Table1[[#This Row],[MonthlyIncome]]&lt;9000,"6K-9K",
Table1[[#This Row],[MonthlyIncome]]&lt;12000,"9K-12K",
TRUE,"12K+")</f>
        <v>3K-6K</v>
      </c>
      <c r="AN576">
        <f>1</f>
        <v>1</v>
      </c>
      <c r="AO576" t="str" cm="1">
        <f t="array" ref="AO576">_xlfn.IFS(
Table1[[#This Row],[YearsAtCompany]]&lt;=2,"0-2 Years",
Table1[[#This Row],[YearsAtCompany]]&lt;=5,"3-5 Years",
Table1[[#This Row],[YearsAtCompany]]&lt;=10,"6-10 Years",
TRUE,"10+ Years")</f>
        <v>3-5 Years</v>
      </c>
    </row>
    <row r="577" spans="1:41"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tr">
        <f t="shared" si="16"/>
        <v>Operations</v>
      </c>
      <c r="AK577">
        <f t="shared" si="17"/>
        <v>0</v>
      </c>
      <c r="AL577">
        <f>IF(Table1[[#This Row],[Attrition]]="Yes", Table1[[#This Row],[MonthlyIncome]]*12*1.5, 0)</f>
        <v>0</v>
      </c>
      <c r="AM577" t="str" cm="1">
        <f t="array" ref="AM577">_xlfn.IFS(
Table1[[#This Row],[MonthlyIncome]]&lt;3000,"Under 3K",
Table1[[#This Row],[MonthlyIncome]]&lt;6000,"3K-6K",
Table1[[#This Row],[MonthlyIncome]]&lt;9000,"6K-9K",
Table1[[#This Row],[MonthlyIncome]]&lt;12000,"9K-12K",
TRUE,"12K+")</f>
        <v>3K-6K</v>
      </c>
      <c r="AN577">
        <f>1</f>
        <v>1</v>
      </c>
      <c r="AO577" t="str" cm="1">
        <f t="array" ref="AO577">_xlfn.IFS(
Table1[[#This Row],[YearsAtCompany]]&lt;=2,"0-2 Years",
Table1[[#This Row],[YearsAtCompany]]&lt;=5,"3-5 Years",
Table1[[#This Row],[YearsAtCompany]]&lt;=10,"6-10 Years",
TRUE,"10+ Years")</f>
        <v>3-5 Years</v>
      </c>
    </row>
    <row r="578" spans="1:41"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tr">
        <f t="shared" si="16"/>
        <v>Sales</v>
      </c>
      <c r="AK578">
        <f t="shared" si="17"/>
        <v>0</v>
      </c>
      <c r="AL578">
        <f>IF(Table1[[#This Row],[Attrition]]="Yes", Table1[[#This Row],[MonthlyIncome]]*12*1.5, 0)</f>
        <v>0</v>
      </c>
      <c r="AM578" t="str" cm="1">
        <f t="array" ref="AM578">_xlfn.IFS(
Table1[[#This Row],[MonthlyIncome]]&lt;3000,"Under 3K",
Table1[[#This Row],[MonthlyIncome]]&lt;6000,"3K-6K",
Table1[[#This Row],[MonthlyIncome]]&lt;9000,"6K-9K",
Table1[[#This Row],[MonthlyIncome]]&lt;12000,"9K-12K",
TRUE,"12K+")</f>
        <v>3K-6K</v>
      </c>
      <c r="AN578">
        <f>1</f>
        <v>1</v>
      </c>
      <c r="AO578" t="str" cm="1">
        <f t="array" ref="AO578">_xlfn.IFS(
Table1[[#This Row],[YearsAtCompany]]&lt;=2,"0-2 Years",
Table1[[#This Row],[YearsAtCompany]]&lt;=5,"3-5 Years",
Table1[[#This Row],[YearsAtCompany]]&lt;=10,"6-10 Years",
TRUE,"10+ Years")</f>
        <v>3-5 Years</v>
      </c>
    </row>
    <row r="579" spans="1:41"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tr">
        <f t="shared" ref="AJ579:AJ642" si="18">_xlfn.XLOOKUP(P579, $AP$2:$AP$10,$AQ$2:$AQ$10)</f>
        <v>Research</v>
      </c>
      <c r="AK579">
        <f t="shared" ref="AK579:AK642" si="19">IF(B579 ="Yes",1,0)</f>
        <v>0</v>
      </c>
      <c r="AL579">
        <f>IF(Table1[[#This Row],[Attrition]]="Yes", Table1[[#This Row],[MonthlyIncome]]*12*1.5, 0)</f>
        <v>0</v>
      </c>
      <c r="AM579" t="str" cm="1">
        <f t="array" ref="AM579">_xlfn.IFS(
Table1[[#This Row],[MonthlyIncome]]&lt;3000,"Under 3K",
Table1[[#This Row],[MonthlyIncome]]&lt;6000,"3K-6K",
Table1[[#This Row],[MonthlyIncome]]&lt;9000,"6K-9K",
Table1[[#This Row],[MonthlyIncome]]&lt;12000,"9K-12K",
TRUE,"12K+")</f>
        <v>Under 3K</v>
      </c>
      <c r="AN579">
        <f>1</f>
        <v>1</v>
      </c>
      <c r="AO579" t="str" cm="1">
        <f t="array" ref="AO579">_xlfn.IFS(
Table1[[#This Row],[YearsAtCompany]]&lt;=2,"0-2 Years",
Table1[[#This Row],[YearsAtCompany]]&lt;=5,"3-5 Years",
Table1[[#This Row],[YearsAtCompany]]&lt;=10,"6-10 Years",
TRUE,"10+ Years")</f>
        <v>3-5 Years</v>
      </c>
    </row>
    <row r="580" spans="1:41"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tr">
        <f t="shared" si="18"/>
        <v>Operations</v>
      </c>
      <c r="AK580">
        <f t="shared" si="19"/>
        <v>0</v>
      </c>
      <c r="AL580">
        <f>IF(Table1[[#This Row],[Attrition]]="Yes", Table1[[#This Row],[MonthlyIncome]]*12*1.5, 0)</f>
        <v>0</v>
      </c>
      <c r="AM580" t="str" cm="1">
        <f t="array" ref="AM580">_xlfn.IFS(
Table1[[#This Row],[MonthlyIncome]]&lt;3000,"Under 3K",
Table1[[#This Row],[MonthlyIncome]]&lt;6000,"3K-6K",
Table1[[#This Row],[MonthlyIncome]]&lt;9000,"6K-9K",
Table1[[#This Row],[MonthlyIncome]]&lt;12000,"9K-12K",
TRUE,"12K+")</f>
        <v>3K-6K</v>
      </c>
      <c r="AN580">
        <f>1</f>
        <v>1</v>
      </c>
      <c r="AO580" t="str" cm="1">
        <f t="array" ref="AO580">_xlfn.IFS(
Table1[[#This Row],[YearsAtCompany]]&lt;=2,"0-2 Years",
Table1[[#This Row],[YearsAtCompany]]&lt;=5,"3-5 Years",
Table1[[#This Row],[YearsAtCompany]]&lt;=10,"6-10 Years",
TRUE,"10+ Years")</f>
        <v>10+ Years</v>
      </c>
    </row>
    <row r="581" spans="1:41"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tr">
        <f t="shared" si="18"/>
        <v>Research</v>
      </c>
      <c r="AK581">
        <f t="shared" si="19"/>
        <v>0</v>
      </c>
      <c r="AL581">
        <f>IF(Table1[[#This Row],[Attrition]]="Yes", Table1[[#This Row],[MonthlyIncome]]*12*1.5, 0)</f>
        <v>0</v>
      </c>
      <c r="AM581" t="str" cm="1">
        <f t="array" ref="AM581">_xlfn.IFS(
Table1[[#This Row],[MonthlyIncome]]&lt;3000,"Under 3K",
Table1[[#This Row],[MonthlyIncome]]&lt;6000,"3K-6K",
Table1[[#This Row],[MonthlyIncome]]&lt;9000,"6K-9K",
Table1[[#This Row],[MonthlyIncome]]&lt;12000,"9K-12K",
TRUE,"12K+")</f>
        <v>3K-6K</v>
      </c>
      <c r="AN581">
        <f>1</f>
        <v>1</v>
      </c>
      <c r="AO581" t="str" cm="1">
        <f t="array" ref="AO581">_xlfn.IFS(
Table1[[#This Row],[YearsAtCompany]]&lt;=2,"0-2 Years",
Table1[[#This Row],[YearsAtCompany]]&lt;=5,"3-5 Years",
Table1[[#This Row],[YearsAtCompany]]&lt;=10,"6-10 Years",
TRUE,"10+ Years")</f>
        <v>6-10 Years</v>
      </c>
    </row>
    <row r="582" spans="1:41"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tr">
        <f t="shared" si="18"/>
        <v>Sales</v>
      </c>
      <c r="AK582">
        <f t="shared" si="19"/>
        <v>0</v>
      </c>
      <c r="AL582">
        <f>IF(Table1[[#This Row],[Attrition]]="Yes", Table1[[#This Row],[MonthlyIncome]]*12*1.5, 0)</f>
        <v>0</v>
      </c>
      <c r="AM582" t="str" cm="1">
        <f t="array" ref="AM582">_xlfn.IFS(
Table1[[#This Row],[MonthlyIncome]]&lt;3000,"Under 3K",
Table1[[#This Row],[MonthlyIncome]]&lt;6000,"3K-6K",
Table1[[#This Row],[MonthlyIncome]]&lt;9000,"6K-9K",
Table1[[#This Row],[MonthlyIncome]]&lt;12000,"9K-12K",
TRUE,"12K+")</f>
        <v>Under 3K</v>
      </c>
      <c r="AN582">
        <f>1</f>
        <v>1</v>
      </c>
      <c r="AO582" t="str" cm="1">
        <f t="array" ref="AO582">_xlfn.IFS(
Table1[[#This Row],[YearsAtCompany]]&lt;=2,"0-2 Years",
Table1[[#This Row],[YearsAtCompany]]&lt;=5,"3-5 Years",
Table1[[#This Row],[YearsAtCompany]]&lt;=10,"6-10 Years",
TRUE,"10+ Years")</f>
        <v>3-5 Years</v>
      </c>
    </row>
    <row r="583" spans="1:41"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tr">
        <f t="shared" si="18"/>
        <v>Research</v>
      </c>
      <c r="AK583">
        <f t="shared" si="19"/>
        <v>0</v>
      </c>
      <c r="AL583">
        <f>IF(Table1[[#This Row],[Attrition]]="Yes", Table1[[#This Row],[MonthlyIncome]]*12*1.5, 0)</f>
        <v>0</v>
      </c>
      <c r="AM583" t="str" cm="1">
        <f t="array" ref="AM583">_xlfn.IFS(
Table1[[#This Row],[MonthlyIncome]]&lt;3000,"Under 3K",
Table1[[#This Row],[MonthlyIncome]]&lt;6000,"3K-6K",
Table1[[#This Row],[MonthlyIncome]]&lt;9000,"6K-9K",
Table1[[#This Row],[MonthlyIncome]]&lt;12000,"9K-12K",
TRUE,"12K+")</f>
        <v>3K-6K</v>
      </c>
      <c r="AN583">
        <f>1</f>
        <v>1</v>
      </c>
      <c r="AO583" t="str" cm="1">
        <f t="array" ref="AO583">_xlfn.IFS(
Table1[[#This Row],[YearsAtCompany]]&lt;=2,"0-2 Years",
Table1[[#This Row],[YearsAtCompany]]&lt;=5,"3-5 Years",
Table1[[#This Row],[YearsAtCompany]]&lt;=10,"6-10 Years",
TRUE,"10+ Years")</f>
        <v>0-2 Years</v>
      </c>
    </row>
    <row r="584" spans="1:41"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tr">
        <f t="shared" si="18"/>
        <v>Healthcare</v>
      </c>
      <c r="AK584">
        <f t="shared" si="19"/>
        <v>0</v>
      </c>
      <c r="AL584">
        <f>IF(Table1[[#This Row],[Attrition]]="Yes", Table1[[#This Row],[MonthlyIncome]]*12*1.5, 0)</f>
        <v>0</v>
      </c>
      <c r="AM584" t="str" cm="1">
        <f t="array" ref="AM584">_xlfn.IFS(
Table1[[#This Row],[MonthlyIncome]]&lt;3000,"Under 3K",
Table1[[#This Row],[MonthlyIncome]]&lt;6000,"3K-6K",
Table1[[#This Row],[MonthlyIncome]]&lt;9000,"6K-9K",
Table1[[#This Row],[MonthlyIncome]]&lt;12000,"9K-12K",
TRUE,"12K+")</f>
        <v>3K-6K</v>
      </c>
      <c r="AN584">
        <f>1</f>
        <v>1</v>
      </c>
      <c r="AO584" t="str" cm="1">
        <f t="array" ref="AO584">_xlfn.IFS(
Table1[[#This Row],[YearsAtCompany]]&lt;=2,"0-2 Years",
Table1[[#This Row],[YearsAtCompany]]&lt;=5,"3-5 Years",
Table1[[#This Row],[YearsAtCompany]]&lt;=10,"6-10 Years",
TRUE,"10+ Years")</f>
        <v>6-10 Years</v>
      </c>
    </row>
    <row r="585" spans="1:41"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tr">
        <f t="shared" si="18"/>
        <v>Sales</v>
      </c>
      <c r="AK585">
        <f t="shared" si="19"/>
        <v>0</v>
      </c>
      <c r="AL585">
        <f>IF(Table1[[#This Row],[Attrition]]="Yes", Table1[[#This Row],[MonthlyIncome]]*12*1.5, 0)</f>
        <v>0</v>
      </c>
      <c r="AM585" t="str" cm="1">
        <f t="array" ref="AM585">_xlfn.IFS(
Table1[[#This Row],[MonthlyIncome]]&lt;3000,"Under 3K",
Table1[[#This Row],[MonthlyIncome]]&lt;6000,"3K-6K",
Table1[[#This Row],[MonthlyIncome]]&lt;9000,"6K-9K",
Table1[[#This Row],[MonthlyIncome]]&lt;12000,"9K-12K",
TRUE,"12K+")</f>
        <v>6K-9K</v>
      </c>
      <c r="AN585">
        <f>1</f>
        <v>1</v>
      </c>
      <c r="AO585" t="str" cm="1">
        <f t="array" ref="AO585">_xlfn.IFS(
Table1[[#This Row],[YearsAtCompany]]&lt;=2,"0-2 Years",
Table1[[#This Row],[YearsAtCompany]]&lt;=5,"3-5 Years",
Table1[[#This Row],[YearsAtCompany]]&lt;=10,"6-10 Years",
TRUE,"10+ Years")</f>
        <v>3-5 Years</v>
      </c>
    </row>
    <row r="586" spans="1:41"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tr">
        <f t="shared" si="18"/>
        <v>Management</v>
      </c>
      <c r="AK586">
        <f t="shared" si="19"/>
        <v>0</v>
      </c>
      <c r="AL586">
        <f>IF(Table1[[#This Row],[Attrition]]="Yes", Table1[[#This Row],[MonthlyIncome]]*12*1.5, 0)</f>
        <v>0</v>
      </c>
      <c r="AM586" t="str" cm="1">
        <f t="array" ref="AM586">_xlfn.IFS(
Table1[[#This Row],[MonthlyIncome]]&lt;3000,"Under 3K",
Table1[[#This Row],[MonthlyIncome]]&lt;6000,"3K-6K",
Table1[[#This Row],[MonthlyIncome]]&lt;9000,"6K-9K",
Table1[[#This Row],[MonthlyIncome]]&lt;12000,"9K-12K",
TRUE,"12K+")</f>
        <v>12K+</v>
      </c>
      <c r="AN586">
        <f>1</f>
        <v>1</v>
      </c>
      <c r="AO586" t="str" cm="1">
        <f t="array" ref="AO586">_xlfn.IFS(
Table1[[#This Row],[YearsAtCompany]]&lt;=2,"0-2 Years",
Table1[[#This Row],[YearsAtCompany]]&lt;=5,"3-5 Years",
Table1[[#This Row],[YearsAtCompany]]&lt;=10,"6-10 Years",
TRUE,"10+ Years")</f>
        <v>10+ Years</v>
      </c>
    </row>
    <row r="587" spans="1:41"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tr">
        <f t="shared" si="18"/>
        <v>Research</v>
      </c>
      <c r="AK587">
        <f t="shared" si="19"/>
        <v>1</v>
      </c>
      <c r="AL587">
        <f>IF(Table1[[#This Row],[Attrition]]="Yes", Table1[[#This Row],[MonthlyIncome]]*12*1.5, 0)</f>
        <v>28818</v>
      </c>
      <c r="AM587" t="str" cm="1">
        <f t="array" ref="AM587">_xlfn.IFS(
Table1[[#This Row],[MonthlyIncome]]&lt;3000,"Under 3K",
Table1[[#This Row],[MonthlyIncome]]&lt;6000,"3K-6K",
Table1[[#This Row],[MonthlyIncome]]&lt;9000,"6K-9K",
Table1[[#This Row],[MonthlyIncome]]&lt;12000,"9K-12K",
TRUE,"12K+")</f>
        <v>Under 3K</v>
      </c>
      <c r="AN587">
        <f>1</f>
        <v>1</v>
      </c>
      <c r="AO587" t="str" cm="1">
        <f t="array" ref="AO587">_xlfn.IFS(
Table1[[#This Row],[YearsAtCompany]]&lt;=2,"0-2 Years",
Table1[[#This Row],[YearsAtCompany]]&lt;=5,"3-5 Years",
Table1[[#This Row],[YearsAtCompany]]&lt;=10,"6-10 Years",
TRUE,"10+ Years")</f>
        <v>0-2 Years</v>
      </c>
    </row>
    <row r="588" spans="1:41"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tr">
        <f t="shared" si="18"/>
        <v>Research</v>
      </c>
      <c r="AK588">
        <f t="shared" si="19"/>
        <v>0</v>
      </c>
      <c r="AL588">
        <f>IF(Table1[[#This Row],[Attrition]]="Yes", Table1[[#This Row],[MonthlyIncome]]*12*1.5, 0)</f>
        <v>0</v>
      </c>
      <c r="AM588" t="str" cm="1">
        <f t="array" ref="AM588">_xlfn.IFS(
Table1[[#This Row],[MonthlyIncome]]&lt;3000,"Under 3K",
Table1[[#This Row],[MonthlyIncome]]&lt;6000,"3K-6K",
Table1[[#This Row],[MonthlyIncome]]&lt;9000,"6K-9K",
Table1[[#This Row],[MonthlyIncome]]&lt;12000,"9K-12K",
TRUE,"12K+")</f>
        <v>Under 3K</v>
      </c>
      <c r="AN588">
        <f>1</f>
        <v>1</v>
      </c>
      <c r="AO588" t="str" cm="1">
        <f t="array" ref="AO588">_xlfn.IFS(
Table1[[#This Row],[YearsAtCompany]]&lt;=2,"0-2 Years",
Table1[[#This Row],[YearsAtCompany]]&lt;=5,"3-5 Years",
Table1[[#This Row],[YearsAtCompany]]&lt;=10,"6-10 Years",
TRUE,"10+ Years")</f>
        <v>0-2 Years</v>
      </c>
    </row>
    <row r="589" spans="1:41"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tr">
        <f t="shared" si="18"/>
        <v>Research</v>
      </c>
      <c r="AK589">
        <f t="shared" si="19"/>
        <v>0</v>
      </c>
      <c r="AL589">
        <f>IF(Table1[[#This Row],[Attrition]]="Yes", Table1[[#This Row],[MonthlyIncome]]*12*1.5, 0)</f>
        <v>0</v>
      </c>
      <c r="AM589" t="str" cm="1">
        <f t="array" ref="AM589">_xlfn.IFS(
Table1[[#This Row],[MonthlyIncome]]&lt;3000,"Under 3K",
Table1[[#This Row],[MonthlyIncome]]&lt;6000,"3K-6K",
Table1[[#This Row],[MonthlyIncome]]&lt;9000,"6K-9K",
Table1[[#This Row],[MonthlyIncome]]&lt;12000,"9K-12K",
TRUE,"12K+")</f>
        <v>3K-6K</v>
      </c>
      <c r="AN589">
        <f>1</f>
        <v>1</v>
      </c>
      <c r="AO589" t="str" cm="1">
        <f t="array" ref="AO589">_xlfn.IFS(
Table1[[#This Row],[YearsAtCompany]]&lt;=2,"0-2 Years",
Table1[[#This Row],[YearsAtCompany]]&lt;=5,"3-5 Years",
Table1[[#This Row],[YearsAtCompany]]&lt;=10,"6-10 Years",
TRUE,"10+ Years")</f>
        <v>3-5 Years</v>
      </c>
    </row>
    <row r="590" spans="1:41"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tr">
        <f t="shared" si="18"/>
        <v>Research</v>
      </c>
      <c r="AK590">
        <f t="shared" si="19"/>
        <v>0</v>
      </c>
      <c r="AL590">
        <f>IF(Table1[[#This Row],[Attrition]]="Yes", Table1[[#This Row],[MonthlyIncome]]*12*1.5, 0)</f>
        <v>0</v>
      </c>
      <c r="AM590" t="str" cm="1">
        <f t="array" ref="AM590">_xlfn.IFS(
Table1[[#This Row],[MonthlyIncome]]&lt;3000,"Under 3K",
Table1[[#This Row],[MonthlyIncome]]&lt;6000,"3K-6K",
Table1[[#This Row],[MonthlyIncome]]&lt;9000,"6K-9K",
Table1[[#This Row],[MonthlyIncome]]&lt;12000,"9K-12K",
TRUE,"12K+")</f>
        <v>12K+</v>
      </c>
      <c r="AN590">
        <f>1</f>
        <v>1</v>
      </c>
      <c r="AO590" t="str" cm="1">
        <f t="array" ref="AO590">_xlfn.IFS(
Table1[[#This Row],[YearsAtCompany]]&lt;=2,"0-2 Years",
Table1[[#This Row],[YearsAtCompany]]&lt;=5,"3-5 Years",
Table1[[#This Row],[YearsAtCompany]]&lt;=10,"6-10 Years",
TRUE,"10+ Years")</f>
        <v>3-5 Years</v>
      </c>
    </row>
    <row r="591" spans="1:41"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tr">
        <f t="shared" si="18"/>
        <v>Research</v>
      </c>
      <c r="AK591">
        <f t="shared" si="19"/>
        <v>1</v>
      </c>
      <c r="AL591">
        <f>IF(Table1[[#This Row],[Attrition]]="Yes", Table1[[#This Row],[MonthlyIncome]]*12*1.5, 0)</f>
        <v>41742</v>
      </c>
      <c r="AM591" t="str" cm="1">
        <f t="array" ref="AM591">_xlfn.IFS(
Table1[[#This Row],[MonthlyIncome]]&lt;3000,"Under 3K",
Table1[[#This Row],[MonthlyIncome]]&lt;6000,"3K-6K",
Table1[[#This Row],[MonthlyIncome]]&lt;9000,"6K-9K",
Table1[[#This Row],[MonthlyIncome]]&lt;12000,"9K-12K",
TRUE,"12K+")</f>
        <v>Under 3K</v>
      </c>
      <c r="AN591">
        <f>1</f>
        <v>1</v>
      </c>
      <c r="AO591" t="str" cm="1">
        <f t="array" ref="AO591">_xlfn.IFS(
Table1[[#This Row],[YearsAtCompany]]&lt;=2,"0-2 Years",
Table1[[#This Row],[YearsAtCompany]]&lt;=5,"3-5 Years",
Table1[[#This Row],[YearsAtCompany]]&lt;=10,"6-10 Years",
TRUE,"10+ Years")</f>
        <v>0-2 Years</v>
      </c>
    </row>
    <row r="592" spans="1:41"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tr">
        <f t="shared" si="18"/>
        <v>Research</v>
      </c>
      <c r="AK592">
        <f t="shared" si="19"/>
        <v>0</v>
      </c>
      <c r="AL592">
        <f>IF(Table1[[#This Row],[Attrition]]="Yes", Table1[[#This Row],[MonthlyIncome]]*12*1.5, 0)</f>
        <v>0</v>
      </c>
      <c r="AM592" t="str" cm="1">
        <f t="array" ref="AM592">_xlfn.IFS(
Table1[[#This Row],[MonthlyIncome]]&lt;3000,"Under 3K",
Table1[[#This Row],[MonthlyIncome]]&lt;6000,"3K-6K",
Table1[[#This Row],[MonthlyIncome]]&lt;9000,"6K-9K",
Table1[[#This Row],[MonthlyIncome]]&lt;12000,"9K-12K",
TRUE,"12K+")</f>
        <v>9K-12K</v>
      </c>
      <c r="AN592">
        <f>1</f>
        <v>1</v>
      </c>
      <c r="AO592" t="str" cm="1">
        <f t="array" ref="AO592">_xlfn.IFS(
Table1[[#This Row],[YearsAtCompany]]&lt;=2,"0-2 Years",
Table1[[#This Row],[YearsAtCompany]]&lt;=5,"3-5 Years",
Table1[[#This Row],[YearsAtCompany]]&lt;=10,"6-10 Years",
TRUE,"10+ Years")</f>
        <v>10+ Years</v>
      </c>
    </row>
    <row r="593" spans="1:41"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tr">
        <f t="shared" si="18"/>
        <v>Sales</v>
      </c>
      <c r="AK593">
        <f t="shared" si="19"/>
        <v>1</v>
      </c>
      <c r="AL593">
        <f>IF(Table1[[#This Row],[Attrition]]="Yes", Table1[[#This Row],[MonthlyIncome]]*12*1.5, 0)</f>
        <v>95832</v>
      </c>
      <c r="AM593" t="str" cm="1">
        <f t="array" ref="AM593">_xlfn.IFS(
Table1[[#This Row],[MonthlyIncome]]&lt;3000,"Under 3K",
Table1[[#This Row],[MonthlyIncome]]&lt;6000,"3K-6K",
Table1[[#This Row],[MonthlyIncome]]&lt;9000,"6K-9K",
Table1[[#This Row],[MonthlyIncome]]&lt;12000,"9K-12K",
TRUE,"12K+")</f>
        <v>3K-6K</v>
      </c>
      <c r="AN593">
        <f>1</f>
        <v>1</v>
      </c>
      <c r="AO593" t="str" cm="1">
        <f t="array" ref="AO593">_xlfn.IFS(
Table1[[#This Row],[YearsAtCompany]]&lt;=2,"0-2 Years",
Table1[[#This Row],[YearsAtCompany]]&lt;=5,"3-5 Years",
Table1[[#This Row],[YearsAtCompany]]&lt;=10,"6-10 Years",
TRUE,"10+ Years")</f>
        <v>3-5 Years</v>
      </c>
    </row>
    <row r="594" spans="1:41"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tr">
        <f t="shared" si="18"/>
        <v>Management</v>
      </c>
      <c r="AK594">
        <f t="shared" si="19"/>
        <v>0</v>
      </c>
      <c r="AL594">
        <f>IF(Table1[[#This Row],[Attrition]]="Yes", Table1[[#This Row],[MonthlyIncome]]*12*1.5, 0)</f>
        <v>0</v>
      </c>
      <c r="AM594" t="str" cm="1">
        <f t="array" ref="AM594">_xlfn.IFS(
Table1[[#This Row],[MonthlyIncome]]&lt;3000,"Under 3K",
Table1[[#This Row],[MonthlyIncome]]&lt;6000,"3K-6K",
Table1[[#This Row],[MonthlyIncome]]&lt;9000,"6K-9K",
Table1[[#This Row],[MonthlyIncome]]&lt;12000,"9K-12K",
TRUE,"12K+")</f>
        <v>12K+</v>
      </c>
      <c r="AN594">
        <f>1</f>
        <v>1</v>
      </c>
      <c r="AO594" t="str" cm="1">
        <f t="array" ref="AO594">_xlfn.IFS(
Table1[[#This Row],[YearsAtCompany]]&lt;=2,"0-2 Years",
Table1[[#This Row],[YearsAtCompany]]&lt;=5,"3-5 Years",
Table1[[#This Row],[YearsAtCompany]]&lt;=10,"6-10 Years",
TRUE,"10+ Years")</f>
        <v>10+ Years</v>
      </c>
    </row>
    <row r="595" spans="1:41"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tr">
        <f t="shared" si="18"/>
        <v>Operations</v>
      </c>
      <c r="AK595">
        <f t="shared" si="19"/>
        <v>0</v>
      </c>
      <c r="AL595">
        <f>IF(Table1[[#This Row],[Attrition]]="Yes", Table1[[#This Row],[MonthlyIncome]]*12*1.5, 0)</f>
        <v>0</v>
      </c>
      <c r="AM595" t="str" cm="1">
        <f t="array" ref="AM595">_xlfn.IFS(
Table1[[#This Row],[MonthlyIncome]]&lt;3000,"Under 3K",
Table1[[#This Row],[MonthlyIncome]]&lt;6000,"3K-6K",
Table1[[#This Row],[MonthlyIncome]]&lt;9000,"6K-9K",
Table1[[#This Row],[MonthlyIncome]]&lt;12000,"9K-12K",
TRUE,"12K+")</f>
        <v>3K-6K</v>
      </c>
      <c r="AN595">
        <f>1</f>
        <v>1</v>
      </c>
      <c r="AO595" t="str" cm="1">
        <f t="array" ref="AO595">_xlfn.IFS(
Table1[[#This Row],[YearsAtCompany]]&lt;=2,"0-2 Years",
Table1[[#This Row],[YearsAtCompany]]&lt;=5,"3-5 Years",
Table1[[#This Row],[YearsAtCompany]]&lt;=10,"6-10 Years",
TRUE,"10+ Years")</f>
        <v>6-10 Years</v>
      </c>
    </row>
    <row r="596" spans="1:41"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tr">
        <f t="shared" si="18"/>
        <v>Research</v>
      </c>
      <c r="AK596">
        <f t="shared" si="19"/>
        <v>0</v>
      </c>
      <c r="AL596">
        <f>IF(Table1[[#This Row],[Attrition]]="Yes", Table1[[#This Row],[MonthlyIncome]]*12*1.5, 0)</f>
        <v>0</v>
      </c>
      <c r="AM596" t="str" cm="1">
        <f t="array" ref="AM596">_xlfn.IFS(
Table1[[#This Row],[MonthlyIncome]]&lt;3000,"Under 3K",
Table1[[#This Row],[MonthlyIncome]]&lt;6000,"3K-6K",
Table1[[#This Row],[MonthlyIncome]]&lt;9000,"6K-9K",
Table1[[#This Row],[MonthlyIncome]]&lt;12000,"9K-12K",
TRUE,"12K+")</f>
        <v>Under 3K</v>
      </c>
      <c r="AN596">
        <f>1</f>
        <v>1</v>
      </c>
      <c r="AO596" t="str" cm="1">
        <f t="array" ref="AO596">_xlfn.IFS(
Table1[[#This Row],[YearsAtCompany]]&lt;=2,"0-2 Years",
Table1[[#This Row],[YearsAtCompany]]&lt;=5,"3-5 Years",
Table1[[#This Row],[YearsAtCompany]]&lt;=10,"6-10 Years",
TRUE,"10+ Years")</f>
        <v>6-10 Years</v>
      </c>
    </row>
    <row r="597" spans="1:41"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tr">
        <f t="shared" si="18"/>
        <v>Research</v>
      </c>
      <c r="AK597">
        <f t="shared" si="19"/>
        <v>1</v>
      </c>
      <c r="AL597">
        <f>IF(Table1[[#This Row],[Attrition]]="Yes", Table1[[#This Row],[MonthlyIncome]]*12*1.5, 0)</f>
        <v>346428</v>
      </c>
      <c r="AM597" t="str" cm="1">
        <f t="array" ref="AM597">_xlfn.IFS(
Table1[[#This Row],[MonthlyIncome]]&lt;3000,"Under 3K",
Table1[[#This Row],[MonthlyIncome]]&lt;6000,"3K-6K",
Table1[[#This Row],[MonthlyIncome]]&lt;9000,"6K-9K",
Table1[[#This Row],[MonthlyIncome]]&lt;12000,"9K-12K",
TRUE,"12K+")</f>
        <v>12K+</v>
      </c>
      <c r="AN597">
        <f>1</f>
        <v>1</v>
      </c>
      <c r="AO597" t="str" cm="1">
        <f t="array" ref="AO597">_xlfn.IFS(
Table1[[#This Row],[YearsAtCompany]]&lt;=2,"0-2 Years",
Table1[[#This Row],[YearsAtCompany]]&lt;=5,"3-5 Years",
Table1[[#This Row],[YearsAtCompany]]&lt;=10,"6-10 Years",
TRUE,"10+ Years")</f>
        <v>10+ Years</v>
      </c>
    </row>
    <row r="598" spans="1:41"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tr">
        <f t="shared" si="18"/>
        <v>Research</v>
      </c>
      <c r="AK598">
        <f t="shared" si="19"/>
        <v>0</v>
      </c>
      <c r="AL598">
        <f>IF(Table1[[#This Row],[Attrition]]="Yes", Table1[[#This Row],[MonthlyIncome]]*12*1.5, 0)</f>
        <v>0</v>
      </c>
      <c r="AM598" t="str" cm="1">
        <f t="array" ref="AM598">_xlfn.IFS(
Table1[[#This Row],[MonthlyIncome]]&lt;3000,"Under 3K",
Table1[[#This Row],[MonthlyIncome]]&lt;6000,"3K-6K",
Table1[[#This Row],[MonthlyIncome]]&lt;9000,"6K-9K",
Table1[[#This Row],[MonthlyIncome]]&lt;12000,"9K-12K",
TRUE,"12K+")</f>
        <v>Under 3K</v>
      </c>
      <c r="AN598">
        <f>1</f>
        <v>1</v>
      </c>
      <c r="AO598" t="str" cm="1">
        <f t="array" ref="AO598">_xlfn.IFS(
Table1[[#This Row],[YearsAtCompany]]&lt;=2,"0-2 Years",
Table1[[#This Row],[YearsAtCompany]]&lt;=5,"3-5 Years",
Table1[[#This Row],[YearsAtCompany]]&lt;=10,"6-10 Years",
TRUE,"10+ Years")</f>
        <v>0-2 Years</v>
      </c>
    </row>
    <row r="599" spans="1:41"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tr">
        <f t="shared" si="18"/>
        <v>Operations</v>
      </c>
      <c r="AK599">
        <f t="shared" si="19"/>
        <v>0</v>
      </c>
      <c r="AL599">
        <f>IF(Table1[[#This Row],[Attrition]]="Yes", Table1[[#This Row],[MonthlyIncome]]*12*1.5, 0)</f>
        <v>0</v>
      </c>
      <c r="AM599" t="str" cm="1">
        <f t="array" ref="AM599">_xlfn.IFS(
Table1[[#This Row],[MonthlyIncome]]&lt;3000,"Under 3K",
Table1[[#This Row],[MonthlyIncome]]&lt;6000,"3K-6K",
Table1[[#This Row],[MonthlyIncome]]&lt;9000,"6K-9K",
Table1[[#This Row],[MonthlyIncome]]&lt;12000,"9K-12K",
TRUE,"12K+")</f>
        <v>6K-9K</v>
      </c>
      <c r="AN599">
        <f>1</f>
        <v>1</v>
      </c>
      <c r="AO599" t="str" cm="1">
        <f t="array" ref="AO599">_xlfn.IFS(
Table1[[#This Row],[YearsAtCompany]]&lt;=2,"0-2 Years",
Table1[[#This Row],[YearsAtCompany]]&lt;=5,"3-5 Years",
Table1[[#This Row],[YearsAtCompany]]&lt;=10,"6-10 Years",
TRUE,"10+ Years")</f>
        <v>3-5 Years</v>
      </c>
    </row>
    <row r="600" spans="1:41"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tr">
        <f t="shared" si="18"/>
        <v>Research</v>
      </c>
      <c r="AK600">
        <f t="shared" si="19"/>
        <v>1</v>
      </c>
      <c r="AL600">
        <f>IF(Table1[[#This Row],[Attrition]]="Yes", Table1[[#This Row],[MonthlyIncome]]*12*1.5, 0)</f>
        <v>78876</v>
      </c>
      <c r="AM600" t="str" cm="1">
        <f t="array" ref="AM600">_xlfn.IFS(
Table1[[#This Row],[MonthlyIncome]]&lt;3000,"Under 3K",
Table1[[#This Row],[MonthlyIncome]]&lt;6000,"3K-6K",
Table1[[#This Row],[MonthlyIncome]]&lt;9000,"6K-9K",
Table1[[#This Row],[MonthlyIncome]]&lt;12000,"9K-12K",
TRUE,"12K+")</f>
        <v>3K-6K</v>
      </c>
      <c r="AN600">
        <f>1</f>
        <v>1</v>
      </c>
      <c r="AO600" t="str" cm="1">
        <f t="array" ref="AO600">_xlfn.IFS(
Table1[[#This Row],[YearsAtCompany]]&lt;=2,"0-2 Years",
Table1[[#This Row],[YearsAtCompany]]&lt;=5,"3-5 Years",
Table1[[#This Row],[YearsAtCompany]]&lt;=10,"6-10 Years",
TRUE,"10+ Years")</f>
        <v>0-2 Years</v>
      </c>
    </row>
    <row r="601" spans="1:41"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tr">
        <f t="shared" si="18"/>
        <v>Human Resources</v>
      </c>
      <c r="AK601">
        <f t="shared" si="19"/>
        <v>0</v>
      </c>
      <c r="AL601">
        <f>IF(Table1[[#This Row],[Attrition]]="Yes", Table1[[#This Row],[MonthlyIncome]]*12*1.5, 0)</f>
        <v>0</v>
      </c>
      <c r="AM601" t="str" cm="1">
        <f t="array" ref="AM601">_xlfn.IFS(
Table1[[#This Row],[MonthlyIncome]]&lt;3000,"Under 3K",
Table1[[#This Row],[MonthlyIncome]]&lt;6000,"3K-6K",
Table1[[#This Row],[MonthlyIncome]]&lt;9000,"6K-9K",
Table1[[#This Row],[MonthlyIncome]]&lt;12000,"9K-12K",
TRUE,"12K+")</f>
        <v>Under 3K</v>
      </c>
      <c r="AN601">
        <f>1</f>
        <v>1</v>
      </c>
      <c r="AO601" t="str" cm="1">
        <f t="array" ref="AO601">_xlfn.IFS(
Table1[[#This Row],[YearsAtCompany]]&lt;=2,"0-2 Years",
Table1[[#This Row],[YearsAtCompany]]&lt;=5,"3-5 Years",
Table1[[#This Row],[YearsAtCompany]]&lt;=10,"6-10 Years",
TRUE,"10+ Years")</f>
        <v>3-5 Years</v>
      </c>
    </row>
    <row r="602" spans="1:41"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tr">
        <f t="shared" si="18"/>
        <v>Operations</v>
      </c>
      <c r="AK602">
        <f t="shared" si="19"/>
        <v>0</v>
      </c>
      <c r="AL602">
        <f>IF(Table1[[#This Row],[Attrition]]="Yes", Table1[[#This Row],[MonthlyIncome]]*12*1.5, 0)</f>
        <v>0</v>
      </c>
      <c r="AM602" t="str" cm="1">
        <f t="array" ref="AM602">_xlfn.IFS(
Table1[[#This Row],[MonthlyIncome]]&lt;3000,"Under 3K",
Table1[[#This Row],[MonthlyIncome]]&lt;6000,"3K-6K",
Table1[[#This Row],[MonthlyIncome]]&lt;9000,"6K-9K",
Table1[[#This Row],[MonthlyIncome]]&lt;12000,"9K-12K",
TRUE,"12K+")</f>
        <v>6K-9K</v>
      </c>
      <c r="AN602">
        <f>1</f>
        <v>1</v>
      </c>
      <c r="AO602" t="str" cm="1">
        <f t="array" ref="AO602">_xlfn.IFS(
Table1[[#This Row],[YearsAtCompany]]&lt;=2,"0-2 Years",
Table1[[#This Row],[YearsAtCompany]]&lt;=5,"3-5 Years",
Table1[[#This Row],[YearsAtCompany]]&lt;=10,"6-10 Years",
TRUE,"10+ Years")</f>
        <v>10+ Years</v>
      </c>
    </row>
    <row r="603" spans="1:41"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tr">
        <f t="shared" si="18"/>
        <v>Research</v>
      </c>
      <c r="AK603">
        <f t="shared" si="19"/>
        <v>0</v>
      </c>
      <c r="AL603">
        <f>IF(Table1[[#This Row],[Attrition]]="Yes", Table1[[#This Row],[MonthlyIncome]]*12*1.5, 0)</f>
        <v>0</v>
      </c>
      <c r="AM603" t="str" cm="1">
        <f t="array" ref="AM603">_xlfn.IFS(
Table1[[#This Row],[MonthlyIncome]]&lt;3000,"Under 3K",
Table1[[#This Row],[MonthlyIncome]]&lt;6000,"3K-6K",
Table1[[#This Row],[MonthlyIncome]]&lt;9000,"6K-9K",
Table1[[#This Row],[MonthlyIncome]]&lt;12000,"9K-12K",
TRUE,"12K+")</f>
        <v>3K-6K</v>
      </c>
      <c r="AN603">
        <f>1</f>
        <v>1</v>
      </c>
      <c r="AO603" t="str" cm="1">
        <f t="array" ref="AO603">_xlfn.IFS(
Table1[[#This Row],[YearsAtCompany]]&lt;=2,"0-2 Years",
Table1[[#This Row],[YearsAtCompany]]&lt;=5,"3-5 Years",
Table1[[#This Row],[YearsAtCompany]]&lt;=10,"6-10 Years",
TRUE,"10+ Years")</f>
        <v>0-2 Years</v>
      </c>
    </row>
    <row r="604" spans="1:41"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tr">
        <f t="shared" si="18"/>
        <v>Operations</v>
      </c>
      <c r="AK604">
        <f t="shared" si="19"/>
        <v>0</v>
      </c>
      <c r="AL604">
        <f>IF(Table1[[#This Row],[Attrition]]="Yes", Table1[[#This Row],[MonthlyIncome]]*12*1.5, 0)</f>
        <v>0</v>
      </c>
      <c r="AM604" t="str" cm="1">
        <f t="array" ref="AM604">_xlfn.IFS(
Table1[[#This Row],[MonthlyIncome]]&lt;3000,"Under 3K",
Table1[[#This Row],[MonthlyIncome]]&lt;6000,"3K-6K",
Table1[[#This Row],[MonthlyIncome]]&lt;9000,"6K-9K",
Table1[[#This Row],[MonthlyIncome]]&lt;12000,"9K-12K",
TRUE,"12K+")</f>
        <v>6K-9K</v>
      </c>
      <c r="AN604">
        <f>1</f>
        <v>1</v>
      </c>
      <c r="AO604" t="str" cm="1">
        <f t="array" ref="AO604">_xlfn.IFS(
Table1[[#This Row],[YearsAtCompany]]&lt;=2,"0-2 Years",
Table1[[#This Row],[YearsAtCompany]]&lt;=5,"3-5 Years",
Table1[[#This Row],[YearsAtCompany]]&lt;=10,"6-10 Years",
TRUE,"10+ Years")</f>
        <v>0-2 Years</v>
      </c>
    </row>
    <row r="605" spans="1:41"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tr">
        <f t="shared" si="18"/>
        <v>Research</v>
      </c>
      <c r="AK605">
        <f t="shared" si="19"/>
        <v>0</v>
      </c>
      <c r="AL605">
        <f>IF(Table1[[#This Row],[Attrition]]="Yes", Table1[[#This Row],[MonthlyIncome]]*12*1.5, 0)</f>
        <v>0</v>
      </c>
      <c r="AM605" t="str" cm="1">
        <f t="array" ref="AM605">_xlfn.IFS(
Table1[[#This Row],[MonthlyIncome]]&lt;3000,"Under 3K",
Table1[[#This Row],[MonthlyIncome]]&lt;6000,"3K-6K",
Table1[[#This Row],[MonthlyIncome]]&lt;9000,"6K-9K",
Table1[[#This Row],[MonthlyIncome]]&lt;12000,"9K-12K",
TRUE,"12K+")</f>
        <v>Under 3K</v>
      </c>
      <c r="AN605">
        <f>1</f>
        <v>1</v>
      </c>
      <c r="AO605" t="str" cm="1">
        <f t="array" ref="AO605">_xlfn.IFS(
Table1[[#This Row],[YearsAtCompany]]&lt;=2,"0-2 Years",
Table1[[#This Row],[YearsAtCompany]]&lt;=5,"3-5 Years",
Table1[[#This Row],[YearsAtCompany]]&lt;=10,"6-10 Years",
TRUE,"10+ Years")</f>
        <v>0-2 Years</v>
      </c>
    </row>
    <row r="606" spans="1:41"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tr">
        <f t="shared" si="18"/>
        <v>Operations</v>
      </c>
      <c r="AK606">
        <f t="shared" si="19"/>
        <v>0</v>
      </c>
      <c r="AL606">
        <f>IF(Table1[[#This Row],[Attrition]]="Yes", Table1[[#This Row],[MonthlyIncome]]*12*1.5, 0)</f>
        <v>0</v>
      </c>
      <c r="AM606" t="str" cm="1">
        <f t="array" ref="AM606">_xlfn.IFS(
Table1[[#This Row],[MonthlyIncome]]&lt;3000,"Under 3K",
Table1[[#This Row],[MonthlyIncome]]&lt;6000,"3K-6K",
Table1[[#This Row],[MonthlyIncome]]&lt;9000,"6K-9K",
Table1[[#This Row],[MonthlyIncome]]&lt;12000,"9K-12K",
TRUE,"12K+")</f>
        <v>3K-6K</v>
      </c>
      <c r="AN606">
        <f>1</f>
        <v>1</v>
      </c>
      <c r="AO606" t="str" cm="1">
        <f t="array" ref="AO606">_xlfn.IFS(
Table1[[#This Row],[YearsAtCompany]]&lt;=2,"0-2 Years",
Table1[[#This Row],[YearsAtCompany]]&lt;=5,"3-5 Years",
Table1[[#This Row],[YearsAtCompany]]&lt;=10,"6-10 Years",
TRUE,"10+ Years")</f>
        <v>6-10 Years</v>
      </c>
    </row>
    <row r="607" spans="1:41"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tr">
        <f t="shared" si="18"/>
        <v>Healthcare</v>
      </c>
      <c r="AK607">
        <f t="shared" si="19"/>
        <v>0</v>
      </c>
      <c r="AL607">
        <f>IF(Table1[[#This Row],[Attrition]]="Yes", Table1[[#This Row],[MonthlyIncome]]*12*1.5, 0)</f>
        <v>0</v>
      </c>
      <c r="AM607" t="str" cm="1">
        <f t="array" ref="AM607">_xlfn.IFS(
Table1[[#This Row],[MonthlyIncome]]&lt;3000,"Under 3K",
Table1[[#This Row],[MonthlyIncome]]&lt;6000,"3K-6K",
Table1[[#This Row],[MonthlyIncome]]&lt;9000,"6K-9K",
Table1[[#This Row],[MonthlyIncome]]&lt;12000,"9K-12K",
TRUE,"12K+")</f>
        <v>6K-9K</v>
      </c>
      <c r="AN607">
        <f>1</f>
        <v>1</v>
      </c>
      <c r="AO607" t="str" cm="1">
        <f t="array" ref="AO607">_xlfn.IFS(
Table1[[#This Row],[YearsAtCompany]]&lt;=2,"0-2 Years",
Table1[[#This Row],[YearsAtCompany]]&lt;=5,"3-5 Years",
Table1[[#This Row],[YearsAtCompany]]&lt;=10,"6-10 Years",
TRUE,"10+ Years")</f>
        <v>3-5 Years</v>
      </c>
    </row>
    <row r="608" spans="1:41"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tr">
        <f t="shared" si="18"/>
        <v>Research</v>
      </c>
      <c r="AK608">
        <f t="shared" si="19"/>
        <v>0</v>
      </c>
      <c r="AL608">
        <f>IF(Table1[[#This Row],[Attrition]]="Yes", Table1[[#This Row],[MonthlyIncome]]*12*1.5, 0)</f>
        <v>0</v>
      </c>
      <c r="AM608" t="str" cm="1">
        <f t="array" ref="AM608">_xlfn.IFS(
Table1[[#This Row],[MonthlyIncome]]&lt;3000,"Under 3K",
Table1[[#This Row],[MonthlyIncome]]&lt;6000,"3K-6K",
Table1[[#This Row],[MonthlyIncome]]&lt;9000,"6K-9K",
Table1[[#This Row],[MonthlyIncome]]&lt;12000,"9K-12K",
TRUE,"12K+")</f>
        <v>Under 3K</v>
      </c>
      <c r="AN608">
        <f>1</f>
        <v>1</v>
      </c>
      <c r="AO608" t="str" cm="1">
        <f t="array" ref="AO608">_xlfn.IFS(
Table1[[#This Row],[YearsAtCompany]]&lt;=2,"0-2 Years",
Table1[[#This Row],[YearsAtCompany]]&lt;=5,"3-5 Years",
Table1[[#This Row],[YearsAtCompany]]&lt;=10,"6-10 Years",
TRUE,"10+ Years")</f>
        <v>3-5 Years</v>
      </c>
    </row>
    <row r="609" spans="1:41"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tr">
        <f t="shared" si="18"/>
        <v>Sales</v>
      </c>
      <c r="AK609">
        <f t="shared" si="19"/>
        <v>1</v>
      </c>
      <c r="AL609">
        <f>IF(Table1[[#This Row],[Attrition]]="Yes", Table1[[#This Row],[MonthlyIncome]]*12*1.5, 0)</f>
        <v>137772</v>
      </c>
      <c r="AM609" t="str" cm="1">
        <f t="array" ref="AM609">_xlfn.IFS(
Table1[[#This Row],[MonthlyIncome]]&lt;3000,"Under 3K",
Table1[[#This Row],[MonthlyIncome]]&lt;6000,"3K-6K",
Table1[[#This Row],[MonthlyIncome]]&lt;9000,"6K-9K",
Table1[[#This Row],[MonthlyIncome]]&lt;12000,"9K-12K",
TRUE,"12K+")</f>
        <v>6K-9K</v>
      </c>
      <c r="AN609">
        <f>1</f>
        <v>1</v>
      </c>
      <c r="AO609" t="str" cm="1">
        <f t="array" ref="AO609">_xlfn.IFS(
Table1[[#This Row],[YearsAtCompany]]&lt;=2,"0-2 Years",
Table1[[#This Row],[YearsAtCompany]]&lt;=5,"3-5 Years",
Table1[[#This Row],[YearsAtCompany]]&lt;=10,"6-10 Years",
TRUE,"10+ Years")</f>
        <v>6-10 Years</v>
      </c>
    </row>
    <row r="610" spans="1:41"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tr">
        <f t="shared" si="18"/>
        <v>Sales</v>
      </c>
      <c r="AK610">
        <f t="shared" si="19"/>
        <v>1</v>
      </c>
      <c r="AL610">
        <f>IF(Table1[[#This Row],[Attrition]]="Yes", Table1[[#This Row],[MonthlyIncome]]*12*1.5, 0)</f>
        <v>92880</v>
      </c>
      <c r="AM610" t="str" cm="1">
        <f t="array" ref="AM610">_xlfn.IFS(
Table1[[#This Row],[MonthlyIncome]]&lt;3000,"Under 3K",
Table1[[#This Row],[MonthlyIncome]]&lt;6000,"3K-6K",
Table1[[#This Row],[MonthlyIncome]]&lt;9000,"6K-9K",
Table1[[#This Row],[MonthlyIncome]]&lt;12000,"9K-12K",
TRUE,"12K+")</f>
        <v>3K-6K</v>
      </c>
      <c r="AN610">
        <f>1</f>
        <v>1</v>
      </c>
      <c r="AO610" t="str" cm="1">
        <f t="array" ref="AO610">_xlfn.IFS(
Table1[[#This Row],[YearsAtCompany]]&lt;=2,"0-2 Years",
Table1[[#This Row],[YearsAtCompany]]&lt;=5,"3-5 Years",
Table1[[#This Row],[YearsAtCompany]]&lt;=10,"6-10 Years",
TRUE,"10+ Years")</f>
        <v>6-10 Years</v>
      </c>
    </row>
    <row r="611" spans="1:41"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tr">
        <f t="shared" si="18"/>
        <v>Research</v>
      </c>
      <c r="AK611">
        <f t="shared" si="19"/>
        <v>0</v>
      </c>
      <c r="AL611">
        <f>IF(Table1[[#This Row],[Attrition]]="Yes", Table1[[#This Row],[MonthlyIncome]]*12*1.5, 0)</f>
        <v>0</v>
      </c>
      <c r="AM611" t="str" cm="1">
        <f t="array" ref="AM611">_xlfn.IFS(
Table1[[#This Row],[MonthlyIncome]]&lt;3000,"Under 3K",
Table1[[#This Row],[MonthlyIncome]]&lt;6000,"3K-6K",
Table1[[#This Row],[MonthlyIncome]]&lt;9000,"6K-9K",
Table1[[#This Row],[MonthlyIncome]]&lt;12000,"9K-12K",
TRUE,"12K+")</f>
        <v>12K+</v>
      </c>
      <c r="AN611">
        <f>1</f>
        <v>1</v>
      </c>
      <c r="AO611" t="str" cm="1">
        <f t="array" ref="AO611">_xlfn.IFS(
Table1[[#This Row],[YearsAtCompany]]&lt;=2,"0-2 Years",
Table1[[#This Row],[YearsAtCompany]]&lt;=5,"3-5 Years",
Table1[[#This Row],[YearsAtCompany]]&lt;=10,"6-10 Years",
TRUE,"10+ Years")</f>
        <v>3-5 Years</v>
      </c>
    </row>
    <row r="612" spans="1:41"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tr">
        <f t="shared" si="18"/>
        <v>Research</v>
      </c>
      <c r="AK612">
        <f t="shared" si="19"/>
        <v>0</v>
      </c>
      <c r="AL612">
        <f>IF(Table1[[#This Row],[Attrition]]="Yes", Table1[[#This Row],[MonthlyIncome]]*12*1.5, 0)</f>
        <v>0</v>
      </c>
      <c r="AM612" t="str" cm="1">
        <f t="array" ref="AM612">_xlfn.IFS(
Table1[[#This Row],[MonthlyIncome]]&lt;3000,"Under 3K",
Table1[[#This Row],[MonthlyIncome]]&lt;6000,"3K-6K",
Table1[[#This Row],[MonthlyIncome]]&lt;9000,"6K-9K",
Table1[[#This Row],[MonthlyIncome]]&lt;12000,"9K-12K",
TRUE,"12K+")</f>
        <v>12K+</v>
      </c>
      <c r="AN612">
        <f>1</f>
        <v>1</v>
      </c>
      <c r="AO612" t="str" cm="1">
        <f t="array" ref="AO612">_xlfn.IFS(
Table1[[#This Row],[YearsAtCompany]]&lt;=2,"0-2 Years",
Table1[[#This Row],[YearsAtCompany]]&lt;=5,"3-5 Years",
Table1[[#This Row],[YearsAtCompany]]&lt;=10,"6-10 Years",
TRUE,"10+ Years")</f>
        <v>6-10 Years</v>
      </c>
    </row>
    <row r="613" spans="1:41"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tr">
        <f t="shared" si="18"/>
        <v>Operations</v>
      </c>
      <c r="AK613">
        <f t="shared" si="19"/>
        <v>0</v>
      </c>
      <c r="AL613">
        <f>IF(Table1[[#This Row],[Attrition]]="Yes", Table1[[#This Row],[MonthlyIncome]]*12*1.5, 0)</f>
        <v>0</v>
      </c>
      <c r="AM613" t="str" cm="1">
        <f t="array" ref="AM613">_xlfn.IFS(
Table1[[#This Row],[MonthlyIncome]]&lt;3000,"Under 3K",
Table1[[#This Row],[MonthlyIncome]]&lt;6000,"3K-6K",
Table1[[#This Row],[MonthlyIncome]]&lt;9000,"6K-9K",
Table1[[#This Row],[MonthlyIncome]]&lt;12000,"9K-12K",
TRUE,"12K+")</f>
        <v>9K-12K</v>
      </c>
      <c r="AN613">
        <f>1</f>
        <v>1</v>
      </c>
      <c r="AO613" t="str" cm="1">
        <f t="array" ref="AO613">_xlfn.IFS(
Table1[[#This Row],[YearsAtCompany]]&lt;=2,"0-2 Years",
Table1[[#This Row],[YearsAtCompany]]&lt;=5,"3-5 Years",
Table1[[#This Row],[YearsAtCompany]]&lt;=10,"6-10 Years",
TRUE,"10+ Years")</f>
        <v>6-10 Years</v>
      </c>
    </row>
    <row r="614" spans="1:41"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tr">
        <f t="shared" si="18"/>
        <v>Sales</v>
      </c>
      <c r="AK614">
        <f t="shared" si="19"/>
        <v>0</v>
      </c>
      <c r="AL614">
        <f>IF(Table1[[#This Row],[Attrition]]="Yes", Table1[[#This Row],[MonthlyIncome]]*12*1.5, 0)</f>
        <v>0</v>
      </c>
      <c r="AM614" t="str" cm="1">
        <f t="array" ref="AM614">_xlfn.IFS(
Table1[[#This Row],[MonthlyIncome]]&lt;3000,"Under 3K",
Table1[[#This Row],[MonthlyIncome]]&lt;6000,"3K-6K",
Table1[[#This Row],[MonthlyIncome]]&lt;9000,"6K-9K",
Table1[[#This Row],[MonthlyIncome]]&lt;12000,"9K-12K",
TRUE,"12K+")</f>
        <v>3K-6K</v>
      </c>
      <c r="AN614">
        <f>1</f>
        <v>1</v>
      </c>
      <c r="AO614" t="str" cm="1">
        <f t="array" ref="AO614">_xlfn.IFS(
Table1[[#This Row],[YearsAtCompany]]&lt;=2,"0-2 Years",
Table1[[#This Row],[YearsAtCompany]]&lt;=5,"3-5 Years",
Table1[[#This Row],[YearsAtCompany]]&lt;=10,"6-10 Years",
TRUE,"10+ Years")</f>
        <v>6-10 Years</v>
      </c>
    </row>
    <row r="615" spans="1:41"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tr">
        <f t="shared" si="18"/>
        <v>Human Resources</v>
      </c>
      <c r="AK615">
        <f t="shared" si="19"/>
        <v>0</v>
      </c>
      <c r="AL615">
        <f>IF(Table1[[#This Row],[Attrition]]="Yes", Table1[[#This Row],[MonthlyIncome]]*12*1.5, 0)</f>
        <v>0</v>
      </c>
      <c r="AM615" t="str" cm="1">
        <f t="array" ref="AM615">_xlfn.IFS(
Table1[[#This Row],[MonthlyIncome]]&lt;3000,"Under 3K",
Table1[[#This Row],[MonthlyIncome]]&lt;6000,"3K-6K",
Table1[[#This Row],[MonthlyIncome]]&lt;9000,"6K-9K",
Table1[[#This Row],[MonthlyIncome]]&lt;12000,"9K-12K",
TRUE,"12K+")</f>
        <v>3K-6K</v>
      </c>
      <c r="AN615">
        <f>1</f>
        <v>1</v>
      </c>
      <c r="AO615" t="str" cm="1">
        <f t="array" ref="AO615">_xlfn.IFS(
Table1[[#This Row],[YearsAtCompany]]&lt;=2,"0-2 Years",
Table1[[#This Row],[YearsAtCompany]]&lt;=5,"3-5 Years",
Table1[[#This Row],[YearsAtCompany]]&lt;=10,"6-10 Years",
TRUE,"10+ Years")</f>
        <v>3-5 Years</v>
      </c>
    </row>
    <row r="616" spans="1:41"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tr">
        <f t="shared" si="18"/>
        <v>Research</v>
      </c>
      <c r="AK616">
        <f t="shared" si="19"/>
        <v>1</v>
      </c>
      <c r="AL616">
        <f>IF(Table1[[#This Row],[Attrition]]="Yes", Table1[[#This Row],[MonthlyIncome]]*12*1.5, 0)</f>
        <v>42588</v>
      </c>
      <c r="AM616" t="str" cm="1">
        <f t="array" ref="AM616">_xlfn.IFS(
Table1[[#This Row],[MonthlyIncome]]&lt;3000,"Under 3K",
Table1[[#This Row],[MonthlyIncome]]&lt;6000,"3K-6K",
Table1[[#This Row],[MonthlyIncome]]&lt;9000,"6K-9K",
Table1[[#This Row],[MonthlyIncome]]&lt;12000,"9K-12K",
TRUE,"12K+")</f>
        <v>Under 3K</v>
      </c>
      <c r="AN616">
        <f>1</f>
        <v>1</v>
      </c>
      <c r="AO616" t="str" cm="1">
        <f t="array" ref="AO616">_xlfn.IFS(
Table1[[#This Row],[YearsAtCompany]]&lt;=2,"0-2 Years",
Table1[[#This Row],[YearsAtCompany]]&lt;=5,"3-5 Years",
Table1[[#This Row],[YearsAtCompany]]&lt;=10,"6-10 Years",
TRUE,"10+ Years")</f>
        <v>6-10 Years</v>
      </c>
    </row>
    <row r="617" spans="1:41"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tr">
        <f t="shared" si="18"/>
        <v>Research</v>
      </c>
      <c r="AK617">
        <f t="shared" si="19"/>
        <v>0</v>
      </c>
      <c r="AL617">
        <f>IF(Table1[[#This Row],[Attrition]]="Yes", Table1[[#This Row],[MonthlyIncome]]*12*1.5, 0)</f>
        <v>0</v>
      </c>
      <c r="AM617" t="str" cm="1">
        <f t="array" ref="AM617">_xlfn.IFS(
Table1[[#This Row],[MonthlyIncome]]&lt;3000,"Under 3K",
Table1[[#This Row],[MonthlyIncome]]&lt;6000,"3K-6K",
Table1[[#This Row],[MonthlyIncome]]&lt;9000,"6K-9K",
Table1[[#This Row],[MonthlyIncome]]&lt;12000,"9K-12K",
TRUE,"12K+")</f>
        <v>Under 3K</v>
      </c>
      <c r="AN617">
        <f>1</f>
        <v>1</v>
      </c>
      <c r="AO617" t="str" cm="1">
        <f t="array" ref="AO617">_xlfn.IFS(
Table1[[#This Row],[YearsAtCompany]]&lt;=2,"0-2 Years",
Table1[[#This Row],[YearsAtCompany]]&lt;=5,"3-5 Years",
Table1[[#This Row],[YearsAtCompany]]&lt;=10,"6-10 Years",
TRUE,"10+ Years")</f>
        <v>0-2 Years</v>
      </c>
    </row>
    <row r="618" spans="1:41"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tr">
        <f t="shared" si="18"/>
        <v>Management</v>
      </c>
      <c r="AK618">
        <f t="shared" si="19"/>
        <v>0</v>
      </c>
      <c r="AL618">
        <f>IF(Table1[[#This Row],[Attrition]]="Yes", Table1[[#This Row],[MonthlyIncome]]*12*1.5, 0)</f>
        <v>0</v>
      </c>
      <c r="AM618" t="str" cm="1">
        <f t="array" ref="AM618">_xlfn.IFS(
Table1[[#This Row],[MonthlyIncome]]&lt;3000,"Under 3K",
Table1[[#This Row],[MonthlyIncome]]&lt;6000,"3K-6K",
Table1[[#This Row],[MonthlyIncome]]&lt;9000,"6K-9K",
Table1[[#This Row],[MonthlyIncome]]&lt;12000,"9K-12K",
TRUE,"12K+")</f>
        <v>12K+</v>
      </c>
      <c r="AN618">
        <f>1</f>
        <v>1</v>
      </c>
      <c r="AO618" t="str" cm="1">
        <f t="array" ref="AO618">_xlfn.IFS(
Table1[[#This Row],[YearsAtCompany]]&lt;=2,"0-2 Years",
Table1[[#This Row],[YearsAtCompany]]&lt;=5,"3-5 Years",
Table1[[#This Row],[YearsAtCompany]]&lt;=10,"6-10 Years",
TRUE,"10+ Years")</f>
        <v>10+ Years</v>
      </c>
    </row>
    <row r="619" spans="1:41"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tr">
        <f t="shared" si="18"/>
        <v>Healthcare</v>
      </c>
      <c r="AK619">
        <f t="shared" si="19"/>
        <v>0</v>
      </c>
      <c r="AL619">
        <f>IF(Table1[[#This Row],[Attrition]]="Yes", Table1[[#This Row],[MonthlyIncome]]*12*1.5, 0)</f>
        <v>0</v>
      </c>
      <c r="AM619" t="str" cm="1">
        <f t="array" ref="AM619">_xlfn.IFS(
Table1[[#This Row],[MonthlyIncome]]&lt;3000,"Under 3K",
Table1[[#This Row],[MonthlyIncome]]&lt;6000,"3K-6K",
Table1[[#This Row],[MonthlyIncome]]&lt;9000,"6K-9K",
Table1[[#This Row],[MonthlyIncome]]&lt;12000,"9K-12K",
TRUE,"12K+")</f>
        <v>3K-6K</v>
      </c>
      <c r="AN619">
        <f>1</f>
        <v>1</v>
      </c>
      <c r="AO619" t="str" cm="1">
        <f t="array" ref="AO619">_xlfn.IFS(
Table1[[#This Row],[YearsAtCompany]]&lt;=2,"0-2 Years",
Table1[[#This Row],[YearsAtCompany]]&lt;=5,"3-5 Years",
Table1[[#This Row],[YearsAtCompany]]&lt;=10,"6-10 Years",
TRUE,"10+ Years")</f>
        <v>3-5 Years</v>
      </c>
    </row>
    <row r="620" spans="1:41"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tr">
        <f t="shared" si="18"/>
        <v>Research</v>
      </c>
      <c r="AK620">
        <f t="shared" si="19"/>
        <v>0</v>
      </c>
      <c r="AL620">
        <f>IF(Table1[[#This Row],[Attrition]]="Yes", Table1[[#This Row],[MonthlyIncome]]*12*1.5, 0)</f>
        <v>0</v>
      </c>
      <c r="AM620" t="str" cm="1">
        <f t="array" ref="AM620">_xlfn.IFS(
Table1[[#This Row],[MonthlyIncome]]&lt;3000,"Under 3K",
Table1[[#This Row],[MonthlyIncome]]&lt;6000,"3K-6K",
Table1[[#This Row],[MonthlyIncome]]&lt;9000,"6K-9K",
Table1[[#This Row],[MonthlyIncome]]&lt;12000,"9K-12K",
TRUE,"12K+")</f>
        <v>3K-6K</v>
      </c>
      <c r="AN620">
        <f>1</f>
        <v>1</v>
      </c>
      <c r="AO620" t="str" cm="1">
        <f t="array" ref="AO620">_xlfn.IFS(
Table1[[#This Row],[YearsAtCompany]]&lt;=2,"0-2 Years",
Table1[[#This Row],[YearsAtCompany]]&lt;=5,"3-5 Years",
Table1[[#This Row],[YearsAtCompany]]&lt;=10,"6-10 Years",
TRUE,"10+ Years")</f>
        <v>3-5 Years</v>
      </c>
    </row>
    <row r="621" spans="1:41"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tr">
        <f t="shared" si="18"/>
        <v>Sales</v>
      </c>
      <c r="AK621">
        <f t="shared" si="19"/>
        <v>0</v>
      </c>
      <c r="AL621">
        <f>IF(Table1[[#This Row],[Attrition]]="Yes", Table1[[#This Row],[MonthlyIncome]]*12*1.5, 0)</f>
        <v>0</v>
      </c>
      <c r="AM621" t="str" cm="1">
        <f t="array" ref="AM621">_xlfn.IFS(
Table1[[#This Row],[MonthlyIncome]]&lt;3000,"Under 3K",
Table1[[#This Row],[MonthlyIncome]]&lt;6000,"3K-6K",
Table1[[#This Row],[MonthlyIncome]]&lt;9000,"6K-9K",
Table1[[#This Row],[MonthlyIncome]]&lt;12000,"9K-12K",
TRUE,"12K+")</f>
        <v>3K-6K</v>
      </c>
      <c r="AN621">
        <f>1</f>
        <v>1</v>
      </c>
      <c r="AO621" t="str" cm="1">
        <f t="array" ref="AO621">_xlfn.IFS(
Table1[[#This Row],[YearsAtCompany]]&lt;=2,"0-2 Years",
Table1[[#This Row],[YearsAtCompany]]&lt;=5,"3-5 Years",
Table1[[#This Row],[YearsAtCompany]]&lt;=10,"6-10 Years",
TRUE,"10+ Years")</f>
        <v>6-10 Years</v>
      </c>
    </row>
    <row r="622" spans="1:41"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tr">
        <f t="shared" si="18"/>
        <v>Research</v>
      </c>
      <c r="AK622">
        <f t="shared" si="19"/>
        <v>0</v>
      </c>
      <c r="AL622">
        <f>IF(Table1[[#This Row],[Attrition]]="Yes", Table1[[#This Row],[MonthlyIncome]]*12*1.5, 0)</f>
        <v>0</v>
      </c>
      <c r="AM622" t="str" cm="1">
        <f t="array" ref="AM622">_xlfn.IFS(
Table1[[#This Row],[MonthlyIncome]]&lt;3000,"Under 3K",
Table1[[#This Row],[MonthlyIncome]]&lt;6000,"3K-6K",
Table1[[#This Row],[MonthlyIncome]]&lt;9000,"6K-9K",
Table1[[#This Row],[MonthlyIncome]]&lt;12000,"9K-12K",
TRUE,"12K+")</f>
        <v>Under 3K</v>
      </c>
      <c r="AN622">
        <f>1</f>
        <v>1</v>
      </c>
      <c r="AO622" t="str" cm="1">
        <f t="array" ref="AO622">_xlfn.IFS(
Table1[[#This Row],[YearsAtCompany]]&lt;=2,"0-2 Years",
Table1[[#This Row],[YearsAtCompany]]&lt;=5,"3-5 Years",
Table1[[#This Row],[YearsAtCompany]]&lt;=10,"6-10 Years",
TRUE,"10+ Years")</f>
        <v>6-10 Years</v>
      </c>
    </row>
    <row r="623" spans="1:41"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tr">
        <f t="shared" si="18"/>
        <v>Sales</v>
      </c>
      <c r="AK623">
        <f t="shared" si="19"/>
        <v>0</v>
      </c>
      <c r="AL623">
        <f>IF(Table1[[#This Row],[Attrition]]="Yes", Table1[[#This Row],[MonthlyIncome]]*12*1.5, 0)</f>
        <v>0</v>
      </c>
      <c r="AM623" t="str" cm="1">
        <f t="array" ref="AM623">_xlfn.IFS(
Table1[[#This Row],[MonthlyIncome]]&lt;3000,"Under 3K",
Table1[[#This Row],[MonthlyIncome]]&lt;6000,"3K-6K",
Table1[[#This Row],[MonthlyIncome]]&lt;9000,"6K-9K",
Table1[[#This Row],[MonthlyIncome]]&lt;12000,"9K-12K",
TRUE,"12K+")</f>
        <v>6K-9K</v>
      </c>
      <c r="AN623">
        <f>1</f>
        <v>1</v>
      </c>
      <c r="AO623" t="str" cm="1">
        <f t="array" ref="AO623">_xlfn.IFS(
Table1[[#This Row],[YearsAtCompany]]&lt;=2,"0-2 Years",
Table1[[#This Row],[YearsAtCompany]]&lt;=5,"3-5 Years",
Table1[[#This Row],[YearsAtCompany]]&lt;=10,"6-10 Years",
TRUE,"10+ Years")</f>
        <v>10+ Years</v>
      </c>
    </row>
    <row r="624" spans="1:41"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tr">
        <f t="shared" si="18"/>
        <v>Sales</v>
      </c>
      <c r="AK624">
        <f t="shared" si="19"/>
        <v>0</v>
      </c>
      <c r="AL624">
        <f>IF(Table1[[#This Row],[Attrition]]="Yes", Table1[[#This Row],[MonthlyIncome]]*12*1.5, 0)</f>
        <v>0</v>
      </c>
      <c r="AM624" t="str" cm="1">
        <f t="array" ref="AM624">_xlfn.IFS(
Table1[[#This Row],[MonthlyIncome]]&lt;3000,"Under 3K",
Table1[[#This Row],[MonthlyIncome]]&lt;6000,"3K-6K",
Table1[[#This Row],[MonthlyIncome]]&lt;9000,"6K-9K",
Table1[[#This Row],[MonthlyIncome]]&lt;12000,"9K-12K",
TRUE,"12K+")</f>
        <v>3K-6K</v>
      </c>
      <c r="AN624">
        <f>1</f>
        <v>1</v>
      </c>
      <c r="AO624" t="str" cm="1">
        <f t="array" ref="AO624">_xlfn.IFS(
Table1[[#This Row],[YearsAtCompany]]&lt;=2,"0-2 Years",
Table1[[#This Row],[YearsAtCompany]]&lt;=5,"3-5 Years",
Table1[[#This Row],[YearsAtCompany]]&lt;=10,"6-10 Years",
TRUE,"10+ Years")</f>
        <v>3-5 Years</v>
      </c>
    </row>
    <row r="625" spans="1:41"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tr">
        <f t="shared" si="18"/>
        <v>Research</v>
      </c>
      <c r="AK625">
        <f t="shared" si="19"/>
        <v>0</v>
      </c>
      <c r="AL625">
        <f>IF(Table1[[#This Row],[Attrition]]="Yes", Table1[[#This Row],[MonthlyIncome]]*12*1.5, 0)</f>
        <v>0</v>
      </c>
      <c r="AM625" t="str" cm="1">
        <f t="array" ref="AM625">_xlfn.IFS(
Table1[[#This Row],[MonthlyIncome]]&lt;3000,"Under 3K",
Table1[[#This Row],[MonthlyIncome]]&lt;6000,"3K-6K",
Table1[[#This Row],[MonthlyIncome]]&lt;9000,"6K-9K",
Table1[[#This Row],[MonthlyIncome]]&lt;12000,"9K-12K",
TRUE,"12K+")</f>
        <v>3K-6K</v>
      </c>
      <c r="AN625">
        <f>1</f>
        <v>1</v>
      </c>
      <c r="AO625" t="str" cm="1">
        <f t="array" ref="AO625">_xlfn.IFS(
Table1[[#This Row],[YearsAtCompany]]&lt;=2,"0-2 Years",
Table1[[#This Row],[YearsAtCompany]]&lt;=5,"3-5 Years",
Table1[[#This Row],[YearsAtCompany]]&lt;=10,"6-10 Years",
TRUE,"10+ Years")</f>
        <v>3-5 Years</v>
      </c>
    </row>
    <row r="626" spans="1:41"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tr">
        <f t="shared" si="18"/>
        <v>Sales</v>
      </c>
      <c r="AK626">
        <f t="shared" si="19"/>
        <v>0</v>
      </c>
      <c r="AL626">
        <f>IF(Table1[[#This Row],[Attrition]]="Yes", Table1[[#This Row],[MonthlyIncome]]*12*1.5, 0)</f>
        <v>0</v>
      </c>
      <c r="AM626" t="str" cm="1">
        <f t="array" ref="AM626">_xlfn.IFS(
Table1[[#This Row],[MonthlyIncome]]&lt;3000,"Under 3K",
Table1[[#This Row],[MonthlyIncome]]&lt;6000,"3K-6K",
Table1[[#This Row],[MonthlyIncome]]&lt;9000,"6K-9K",
Table1[[#This Row],[MonthlyIncome]]&lt;12000,"9K-12K",
TRUE,"12K+")</f>
        <v>9K-12K</v>
      </c>
      <c r="AN626">
        <f>1</f>
        <v>1</v>
      </c>
      <c r="AO626" t="str" cm="1">
        <f t="array" ref="AO626">_xlfn.IFS(
Table1[[#This Row],[YearsAtCompany]]&lt;=2,"0-2 Years",
Table1[[#This Row],[YearsAtCompany]]&lt;=5,"3-5 Years",
Table1[[#This Row],[YearsAtCompany]]&lt;=10,"6-10 Years",
TRUE,"10+ Years")</f>
        <v>3-5 Years</v>
      </c>
    </row>
    <row r="627" spans="1:41"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tr">
        <f t="shared" si="18"/>
        <v>Sales</v>
      </c>
      <c r="AK627">
        <f t="shared" si="19"/>
        <v>0</v>
      </c>
      <c r="AL627">
        <f>IF(Table1[[#This Row],[Attrition]]="Yes", Table1[[#This Row],[MonthlyIncome]]*12*1.5, 0)</f>
        <v>0</v>
      </c>
      <c r="AM627" t="str" cm="1">
        <f t="array" ref="AM627">_xlfn.IFS(
Table1[[#This Row],[MonthlyIncome]]&lt;3000,"Under 3K",
Table1[[#This Row],[MonthlyIncome]]&lt;6000,"3K-6K",
Table1[[#This Row],[MonthlyIncome]]&lt;9000,"6K-9K",
Table1[[#This Row],[MonthlyIncome]]&lt;12000,"9K-12K",
TRUE,"12K+")</f>
        <v>9K-12K</v>
      </c>
      <c r="AN627">
        <f>1</f>
        <v>1</v>
      </c>
      <c r="AO627" t="str" cm="1">
        <f t="array" ref="AO627">_xlfn.IFS(
Table1[[#This Row],[YearsAtCompany]]&lt;=2,"0-2 Years",
Table1[[#This Row],[YearsAtCompany]]&lt;=5,"3-5 Years",
Table1[[#This Row],[YearsAtCompany]]&lt;=10,"6-10 Years",
TRUE,"10+ Years")</f>
        <v>3-5 Years</v>
      </c>
    </row>
    <row r="628" spans="1:41"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tr">
        <f t="shared" si="18"/>
        <v>Research</v>
      </c>
      <c r="AK628">
        <f t="shared" si="19"/>
        <v>0</v>
      </c>
      <c r="AL628">
        <f>IF(Table1[[#This Row],[Attrition]]="Yes", Table1[[#This Row],[MonthlyIncome]]*12*1.5, 0)</f>
        <v>0</v>
      </c>
      <c r="AM628" t="str" cm="1">
        <f t="array" ref="AM628">_xlfn.IFS(
Table1[[#This Row],[MonthlyIncome]]&lt;3000,"Under 3K",
Table1[[#This Row],[MonthlyIncome]]&lt;6000,"3K-6K",
Table1[[#This Row],[MonthlyIncome]]&lt;9000,"6K-9K",
Table1[[#This Row],[MonthlyIncome]]&lt;12000,"9K-12K",
TRUE,"12K+")</f>
        <v>3K-6K</v>
      </c>
      <c r="AN628">
        <f>1</f>
        <v>1</v>
      </c>
      <c r="AO628" t="str" cm="1">
        <f t="array" ref="AO628">_xlfn.IFS(
Table1[[#This Row],[YearsAtCompany]]&lt;=2,"0-2 Years",
Table1[[#This Row],[YearsAtCompany]]&lt;=5,"3-5 Years",
Table1[[#This Row],[YearsAtCompany]]&lt;=10,"6-10 Years",
TRUE,"10+ Years")</f>
        <v>3-5 Years</v>
      </c>
    </row>
    <row r="629" spans="1:41"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tr">
        <f t="shared" si="18"/>
        <v>Operations</v>
      </c>
      <c r="AK629">
        <f t="shared" si="19"/>
        <v>0</v>
      </c>
      <c r="AL629">
        <f>IF(Table1[[#This Row],[Attrition]]="Yes", Table1[[#This Row],[MonthlyIncome]]*12*1.5, 0)</f>
        <v>0</v>
      </c>
      <c r="AM629" t="str" cm="1">
        <f t="array" ref="AM629">_xlfn.IFS(
Table1[[#This Row],[MonthlyIncome]]&lt;3000,"Under 3K",
Table1[[#This Row],[MonthlyIncome]]&lt;6000,"3K-6K",
Table1[[#This Row],[MonthlyIncome]]&lt;9000,"6K-9K",
Table1[[#This Row],[MonthlyIncome]]&lt;12000,"9K-12K",
TRUE,"12K+")</f>
        <v>12K+</v>
      </c>
      <c r="AN629">
        <f>1</f>
        <v>1</v>
      </c>
      <c r="AO629" t="str" cm="1">
        <f t="array" ref="AO629">_xlfn.IFS(
Table1[[#This Row],[YearsAtCompany]]&lt;=2,"0-2 Years",
Table1[[#This Row],[YearsAtCompany]]&lt;=5,"3-5 Years",
Table1[[#This Row],[YearsAtCompany]]&lt;=10,"6-10 Years",
TRUE,"10+ Years")</f>
        <v>6-10 Years</v>
      </c>
    </row>
    <row r="630" spans="1:41"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tr">
        <f t="shared" si="18"/>
        <v>Sales</v>
      </c>
      <c r="AK630">
        <f t="shared" si="19"/>
        <v>0</v>
      </c>
      <c r="AL630">
        <f>IF(Table1[[#This Row],[Attrition]]="Yes", Table1[[#This Row],[MonthlyIncome]]*12*1.5, 0)</f>
        <v>0</v>
      </c>
      <c r="AM630" t="str" cm="1">
        <f t="array" ref="AM630">_xlfn.IFS(
Table1[[#This Row],[MonthlyIncome]]&lt;3000,"Under 3K",
Table1[[#This Row],[MonthlyIncome]]&lt;6000,"3K-6K",
Table1[[#This Row],[MonthlyIncome]]&lt;9000,"6K-9K",
Table1[[#This Row],[MonthlyIncome]]&lt;12000,"9K-12K",
TRUE,"12K+")</f>
        <v>6K-9K</v>
      </c>
      <c r="AN630">
        <f>1</f>
        <v>1</v>
      </c>
      <c r="AO630" t="str" cm="1">
        <f t="array" ref="AO630">_xlfn.IFS(
Table1[[#This Row],[YearsAtCompany]]&lt;=2,"0-2 Years",
Table1[[#This Row],[YearsAtCompany]]&lt;=5,"3-5 Years",
Table1[[#This Row],[YearsAtCompany]]&lt;=10,"6-10 Years",
TRUE,"10+ Years")</f>
        <v>0-2 Years</v>
      </c>
    </row>
    <row r="631" spans="1:41"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tr">
        <f t="shared" si="18"/>
        <v>Human Resources</v>
      </c>
      <c r="AK631">
        <f t="shared" si="19"/>
        <v>0</v>
      </c>
      <c r="AL631">
        <f>IF(Table1[[#This Row],[Attrition]]="Yes", Table1[[#This Row],[MonthlyIncome]]*12*1.5, 0)</f>
        <v>0</v>
      </c>
      <c r="AM631" t="str" cm="1">
        <f t="array" ref="AM631">_xlfn.IFS(
Table1[[#This Row],[MonthlyIncome]]&lt;3000,"Under 3K",
Table1[[#This Row],[MonthlyIncome]]&lt;6000,"3K-6K",
Table1[[#This Row],[MonthlyIncome]]&lt;9000,"6K-9K",
Table1[[#This Row],[MonthlyIncome]]&lt;12000,"9K-12K",
TRUE,"12K+")</f>
        <v>3K-6K</v>
      </c>
      <c r="AN631">
        <f>1</f>
        <v>1</v>
      </c>
      <c r="AO631" t="str" cm="1">
        <f t="array" ref="AO631">_xlfn.IFS(
Table1[[#This Row],[YearsAtCompany]]&lt;=2,"0-2 Years",
Table1[[#This Row],[YearsAtCompany]]&lt;=5,"3-5 Years",
Table1[[#This Row],[YearsAtCompany]]&lt;=10,"6-10 Years",
TRUE,"10+ Years")</f>
        <v>3-5 Years</v>
      </c>
    </row>
    <row r="632" spans="1:41"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tr">
        <f t="shared" si="18"/>
        <v>Operations</v>
      </c>
      <c r="AK632">
        <f t="shared" si="19"/>
        <v>0</v>
      </c>
      <c r="AL632">
        <f>IF(Table1[[#This Row],[Attrition]]="Yes", Table1[[#This Row],[MonthlyIncome]]*12*1.5, 0)</f>
        <v>0</v>
      </c>
      <c r="AM632" t="str" cm="1">
        <f t="array" ref="AM632">_xlfn.IFS(
Table1[[#This Row],[MonthlyIncome]]&lt;3000,"Under 3K",
Table1[[#This Row],[MonthlyIncome]]&lt;6000,"3K-6K",
Table1[[#This Row],[MonthlyIncome]]&lt;9000,"6K-9K",
Table1[[#This Row],[MonthlyIncome]]&lt;12000,"9K-12K",
TRUE,"12K+")</f>
        <v>3K-6K</v>
      </c>
      <c r="AN632">
        <f>1</f>
        <v>1</v>
      </c>
      <c r="AO632" t="str" cm="1">
        <f t="array" ref="AO632">_xlfn.IFS(
Table1[[#This Row],[YearsAtCompany]]&lt;=2,"0-2 Years",
Table1[[#This Row],[YearsAtCompany]]&lt;=5,"3-5 Years",
Table1[[#This Row],[YearsAtCompany]]&lt;=10,"6-10 Years",
TRUE,"10+ Years")</f>
        <v>0-2 Years</v>
      </c>
    </row>
    <row r="633" spans="1:41"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tr">
        <f t="shared" si="18"/>
        <v>Research</v>
      </c>
      <c r="AK633">
        <f t="shared" si="19"/>
        <v>0</v>
      </c>
      <c r="AL633">
        <f>IF(Table1[[#This Row],[Attrition]]="Yes", Table1[[#This Row],[MonthlyIncome]]*12*1.5, 0)</f>
        <v>0</v>
      </c>
      <c r="AM633" t="str" cm="1">
        <f t="array" ref="AM633">_xlfn.IFS(
Table1[[#This Row],[MonthlyIncome]]&lt;3000,"Under 3K",
Table1[[#This Row],[MonthlyIncome]]&lt;6000,"3K-6K",
Table1[[#This Row],[MonthlyIncome]]&lt;9000,"6K-9K",
Table1[[#This Row],[MonthlyIncome]]&lt;12000,"9K-12K",
TRUE,"12K+")</f>
        <v>Under 3K</v>
      </c>
      <c r="AN633">
        <f>1</f>
        <v>1</v>
      </c>
      <c r="AO633" t="str" cm="1">
        <f t="array" ref="AO633">_xlfn.IFS(
Table1[[#This Row],[YearsAtCompany]]&lt;=2,"0-2 Years",
Table1[[#This Row],[YearsAtCompany]]&lt;=5,"3-5 Years",
Table1[[#This Row],[YearsAtCompany]]&lt;=10,"6-10 Years",
TRUE,"10+ Years")</f>
        <v>3-5 Years</v>
      </c>
    </row>
    <row r="634" spans="1:41"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tr">
        <f t="shared" si="18"/>
        <v>Research</v>
      </c>
      <c r="AK634">
        <f t="shared" si="19"/>
        <v>0</v>
      </c>
      <c r="AL634">
        <f>IF(Table1[[#This Row],[Attrition]]="Yes", Table1[[#This Row],[MonthlyIncome]]*12*1.5, 0)</f>
        <v>0</v>
      </c>
      <c r="AM634" t="str" cm="1">
        <f t="array" ref="AM634">_xlfn.IFS(
Table1[[#This Row],[MonthlyIncome]]&lt;3000,"Under 3K",
Table1[[#This Row],[MonthlyIncome]]&lt;6000,"3K-6K",
Table1[[#This Row],[MonthlyIncome]]&lt;9000,"6K-9K",
Table1[[#This Row],[MonthlyIncome]]&lt;12000,"9K-12K",
TRUE,"12K+")</f>
        <v>Under 3K</v>
      </c>
      <c r="AN634">
        <f>1</f>
        <v>1</v>
      </c>
      <c r="AO634" t="str" cm="1">
        <f t="array" ref="AO634">_xlfn.IFS(
Table1[[#This Row],[YearsAtCompany]]&lt;=2,"0-2 Years",
Table1[[#This Row],[YearsAtCompany]]&lt;=5,"3-5 Years",
Table1[[#This Row],[YearsAtCompany]]&lt;=10,"6-10 Years",
TRUE,"10+ Years")</f>
        <v>0-2 Years</v>
      </c>
    </row>
    <row r="635" spans="1:41"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tr">
        <f t="shared" si="18"/>
        <v>Human Resources</v>
      </c>
      <c r="AK635">
        <f t="shared" si="19"/>
        <v>0</v>
      </c>
      <c r="AL635">
        <f>IF(Table1[[#This Row],[Attrition]]="Yes", Table1[[#This Row],[MonthlyIncome]]*12*1.5, 0)</f>
        <v>0</v>
      </c>
      <c r="AM635" t="str" cm="1">
        <f t="array" ref="AM635">_xlfn.IFS(
Table1[[#This Row],[MonthlyIncome]]&lt;3000,"Under 3K",
Table1[[#This Row],[MonthlyIncome]]&lt;6000,"3K-6K",
Table1[[#This Row],[MonthlyIncome]]&lt;9000,"6K-9K",
Table1[[#This Row],[MonthlyIncome]]&lt;12000,"9K-12K",
TRUE,"12K+")</f>
        <v>Under 3K</v>
      </c>
      <c r="AN635">
        <f>1</f>
        <v>1</v>
      </c>
      <c r="AO635" t="str" cm="1">
        <f t="array" ref="AO635">_xlfn.IFS(
Table1[[#This Row],[YearsAtCompany]]&lt;=2,"0-2 Years",
Table1[[#This Row],[YearsAtCompany]]&lt;=5,"3-5 Years",
Table1[[#This Row],[YearsAtCompany]]&lt;=10,"6-10 Years",
TRUE,"10+ Years")</f>
        <v>3-5 Years</v>
      </c>
    </row>
    <row r="636" spans="1:41"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tr">
        <f t="shared" si="18"/>
        <v>Sales</v>
      </c>
      <c r="AK636">
        <f t="shared" si="19"/>
        <v>0</v>
      </c>
      <c r="AL636">
        <f>IF(Table1[[#This Row],[Attrition]]="Yes", Table1[[#This Row],[MonthlyIncome]]*12*1.5, 0)</f>
        <v>0</v>
      </c>
      <c r="AM636" t="str" cm="1">
        <f t="array" ref="AM636">_xlfn.IFS(
Table1[[#This Row],[MonthlyIncome]]&lt;3000,"Under 3K",
Table1[[#This Row],[MonthlyIncome]]&lt;6000,"3K-6K",
Table1[[#This Row],[MonthlyIncome]]&lt;9000,"6K-9K",
Table1[[#This Row],[MonthlyIncome]]&lt;12000,"9K-12K",
TRUE,"12K+")</f>
        <v>3K-6K</v>
      </c>
      <c r="AN636">
        <f>1</f>
        <v>1</v>
      </c>
      <c r="AO636" t="str" cm="1">
        <f t="array" ref="AO636">_xlfn.IFS(
Table1[[#This Row],[YearsAtCompany]]&lt;=2,"0-2 Years",
Table1[[#This Row],[YearsAtCompany]]&lt;=5,"3-5 Years",
Table1[[#This Row],[YearsAtCompany]]&lt;=10,"6-10 Years",
TRUE,"10+ Years")</f>
        <v>3-5 Years</v>
      </c>
    </row>
    <row r="637" spans="1:41"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tr">
        <f t="shared" si="18"/>
        <v>Operations</v>
      </c>
      <c r="AK637">
        <f t="shared" si="19"/>
        <v>0</v>
      </c>
      <c r="AL637">
        <f>IF(Table1[[#This Row],[Attrition]]="Yes", Table1[[#This Row],[MonthlyIncome]]*12*1.5, 0)</f>
        <v>0</v>
      </c>
      <c r="AM637" t="str" cm="1">
        <f t="array" ref="AM637">_xlfn.IFS(
Table1[[#This Row],[MonthlyIncome]]&lt;3000,"Under 3K",
Table1[[#This Row],[MonthlyIncome]]&lt;6000,"3K-6K",
Table1[[#This Row],[MonthlyIncome]]&lt;9000,"6K-9K",
Table1[[#This Row],[MonthlyIncome]]&lt;12000,"9K-12K",
TRUE,"12K+")</f>
        <v>9K-12K</v>
      </c>
      <c r="AN637">
        <f>1</f>
        <v>1</v>
      </c>
      <c r="AO637" t="str" cm="1">
        <f t="array" ref="AO637">_xlfn.IFS(
Table1[[#This Row],[YearsAtCompany]]&lt;=2,"0-2 Years",
Table1[[#This Row],[YearsAtCompany]]&lt;=5,"3-5 Years",
Table1[[#This Row],[YearsAtCompany]]&lt;=10,"6-10 Years",
TRUE,"10+ Years")</f>
        <v>10+ Years</v>
      </c>
    </row>
    <row r="638" spans="1:41"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tr">
        <f t="shared" si="18"/>
        <v>Research</v>
      </c>
      <c r="AK638">
        <f t="shared" si="19"/>
        <v>1</v>
      </c>
      <c r="AL638">
        <f>IF(Table1[[#This Row],[Attrition]]="Yes", Table1[[#This Row],[MonthlyIncome]]*12*1.5, 0)</f>
        <v>36396</v>
      </c>
      <c r="AM638" t="str" cm="1">
        <f t="array" ref="AM638">_xlfn.IFS(
Table1[[#This Row],[MonthlyIncome]]&lt;3000,"Under 3K",
Table1[[#This Row],[MonthlyIncome]]&lt;6000,"3K-6K",
Table1[[#This Row],[MonthlyIncome]]&lt;9000,"6K-9K",
Table1[[#This Row],[MonthlyIncome]]&lt;12000,"9K-12K",
TRUE,"12K+")</f>
        <v>Under 3K</v>
      </c>
      <c r="AN638">
        <f>1</f>
        <v>1</v>
      </c>
      <c r="AO638" t="str" cm="1">
        <f t="array" ref="AO638">_xlfn.IFS(
Table1[[#This Row],[YearsAtCompany]]&lt;=2,"0-2 Years",
Table1[[#This Row],[YearsAtCompany]]&lt;=5,"3-5 Years",
Table1[[#This Row],[YearsAtCompany]]&lt;=10,"6-10 Years",
TRUE,"10+ Years")</f>
        <v>6-10 Years</v>
      </c>
    </row>
    <row r="639" spans="1:41"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tr">
        <f t="shared" si="18"/>
        <v>Research</v>
      </c>
      <c r="AK639">
        <f t="shared" si="19"/>
        <v>0</v>
      </c>
      <c r="AL639">
        <f>IF(Table1[[#This Row],[Attrition]]="Yes", Table1[[#This Row],[MonthlyIncome]]*12*1.5, 0)</f>
        <v>0</v>
      </c>
      <c r="AM639" t="str" cm="1">
        <f t="array" ref="AM639">_xlfn.IFS(
Table1[[#This Row],[MonthlyIncome]]&lt;3000,"Under 3K",
Table1[[#This Row],[MonthlyIncome]]&lt;6000,"3K-6K",
Table1[[#This Row],[MonthlyIncome]]&lt;9000,"6K-9K",
Table1[[#This Row],[MonthlyIncome]]&lt;12000,"9K-12K",
TRUE,"12K+")</f>
        <v>Under 3K</v>
      </c>
      <c r="AN639">
        <f>1</f>
        <v>1</v>
      </c>
      <c r="AO639" t="str" cm="1">
        <f t="array" ref="AO639">_xlfn.IFS(
Table1[[#This Row],[YearsAtCompany]]&lt;=2,"0-2 Years",
Table1[[#This Row],[YearsAtCompany]]&lt;=5,"3-5 Years",
Table1[[#This Row],[YearsAtCompany]]&lt;=10,"6-10 Years",
TRUE,"10+ Years")</f>
        <v>3-5 Years</v>
      </c>
    </row>
    <row r="640" spans="1:41"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tr">
        <f t="shared" si="18"/>
        <v>Sales</v>
      </c>
      <c r="AK640">
        <f t="shared" si="19"/>
        <v>0</v>
      </c>
      <c r="AL640">
        <f>IF(Table1[[#This Row],[Attrition]]="Yes", Table1[[#This Row],[MonthlyIncome]]*12*1.5, 0)</f>
        <v>0</v>
      </c>
      <c r="AM640" t="str" cm="1">
        <f t="array" ref="AM640">_xlfn.IFS(
Table1[[#This Row],[MonthlyIncome]]&lt;3000,"Under 3K",
Table1[[#This Row],[MonthlyIncome]]&lt;6000,"3K-6K",
Table1[[#This Row],[MonthlyIncome]]&lt;9000,"6K-9K",
Table1[[#This Row],[MonthlyIncome]]&lt;12000,"9K-12K",
TRUE,"12K+")</f>
        <v>3K-6K</v>
      </c>
      <c r="AN640">
        <f>1</f>
        <v>1</v>
      </c>
      <c r="AO640" t="str" cm="1">
        <f t="array" ref="AO640">_xlfn.IFS(
Table1[[#This Row],[YearsAtCompany]]&lt;=2,"0-2 Years",
Table1[[#This Row],[YearsAtCompany]]&lt;=5,"3-5 Years",
Table1[[#This Row],[YearsAtCompany]]&lt;=10,"6-10 Years",
TRUE,"10+ Years")</f>
        <v>3-5 Years</v>
      </c>
    </row>
    <row r="641" spans="1:41"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tr">
        <f t="shared" si="18"/>
        <v>Research</v>
      </c>
      <c r="AK641">
        <f t="shared" si="19"/>
        <v>0</v>
      </c>
      <c r="AL641">
        <f>IF(Table1[[#This Row],[Attrition]]="Yes", Table1[[#This Row],[MonthlyIncome]]*12*1.5, 0)</f>
        <v>0</v>
      </c>
      <c r="AM641" t="str" cm="1">
        <f t="array" ref="AM641">_xlfn.IFS(
Table1[[#This Row],[MonthlyIncome]]&lt;3000,"Under 3K",
Table1[[#This Row],[MonthlyIncome]]&lt;6000,"3K-6K",
Table1[[#This Row],[MonthlyIncome]]&lt;9000,"6K-9K",
Table1[[#This Row],[MonthlyIncome]]&lt;12000,"9K-12K",
TRUE,"12K+")</f>
        <v>3K-6K</v>
      </c>
      <c r="AN641">
        <f>1</f>
        <v>1</v>
      </c>
      <c r="AO641" t="str" cm="1">
        <f t="array" ref="AO641">_xlfn.IFS(
Table1[[#This Row],[YearsAtCompany]]&lt;=2,"0-2 Years",
Table1[[#This Row],[YearsAtCompany]]&lt;=5,"3-5 Years",
Table1[[#This Row],[YearsAtCompany]]&lt;=10,"6-10 Years",
TRUE,"10+ Years")</f>
        <v>3-5 Years</v>
      </c>
    </row>
    <row r="642" spans="1:41"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tr">
        <f t="shared" si="18"/>
        <v>Research</v>
      </c>
      <c r="AK642">
        <f t="shared" si="19"/>
        <v>0</v>
      </c>
      <c r="AL642">
        <f>IF(Table1[[#This Row],[Attrition]]="Yes", Table1[[#This Row],[MonthlyIncome]]*12*1.5, 0)</f>
        <v>0</v>
      </c>
      <c r="AM642" t="str" cm="1">
        <f t="array" ref="AM642">_xlfn.IFS(
Table1[[#This Row],[MonthlyIncome]]&lt;3000,"Under 3K",
Table1[[#This Row],[MonthlyIncome]]&lt;6000,"3K-6K",
Table1[[#This Row],[MonthlyIncome]]&lt;9000,"6K-9K",
Table1[[#This Row],[MonthlyIncome]]&lt;12000,"9K-12K",
TRUE,"12K+")</f>
        <v>3K-6K</v>
      </c>
      <c r="AN642">
        <f>1</f>
        <v>1</v>
      </c>
      <c r="AO642" t="str" cm="1">
        <f t="array" ref="AO642">_xlfn.IFS(
Table1[[#This Row],[YearsAtCompany]]&lt;=2,"0-2 Years",
Table1[[#This Row],[YearsAtCompany]]&lt;=5,"3-5 Years",
Table1[[#This Row],[YearsAtCompany]]&lt;=10,"6-10 Years",
TRUE,"10+ Years")</f>
        <v>3-5 Years</v>
      </c>
    </row>
    <row r="643" spans="1:41"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tr">
        <f t="shared" ref="AJ643:AJ706" si="20">_xlfn.XLOOKUP(P643, $AP$2:$AP$10,$AQ$2:$AQ$10)</f>
        <v>Sales</v>
      </c>
      <c r="AK643">
        <f t="shared" ref="AK643:AK706" si="21">IF(B643 ="Yes",1,0)</f>
        <v>0</v>
      </c>
      <c r="AL643">
        <f>IF(Table1[[#This Row],[Attrition]]="Yes", Table1[[#This Row],[MonthlyIncome]]*12*1.5, 0)</f>
        <v>0</v>
      </c>
      <c r="AM643" t="str" cm="1">
        <f t="array" ref="AM643">_xlfn.IFS(
Table1[[#This Row],[MonthlyIncome]]&lt;3000,"Under 3K",
Table1[[#This Row],[MonthlyIncome]]&lt;6000,"3K-6K",
Table1[[#This Row],[MonthlyIncome]]&lt;9000,"6K-9K",
Table1[[#This Row],[MonthlyIncome]]&lt;12000,"9K-12K",
TRUE,"12K+")</f>
        <v>6K-9K</v>
      </c>
      <c r="AN643">
        <f>1</f>
        <v>1</v>
      </c>
      <c r="AO643" t="str" cm="1">
        <f t="array" ref="AO643">_xlfn.IFS(
Table1[[#This Row],[YearsAtCompany]]&lt;=2,"0-2 Years",
Table1[[#This Row],[YearsAtCompany]]&lt;=5,"3-5 Years",
Table1[[#This Row],[YearsAtCompany]]&lt;=10,"6-10 Years",
TRUE,"10+ Years")</f>
        <v>6-10 Years</v>
      </c>
    </row>
    <row r="644" spans="1:41"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tr">
        <f t="shared" si="20"/>
        <v>Sales</v>
      </c>
      <c r="AK644">
        <f t="shared" si="21"/>
        <v>0</v>
      </c>
      <c r="AL644">
        <f>IF(Table1[[#This Row],[Attrition]]="Yes", Table1[[#This Row],[MonthlyIncome]]*12*1.5, 0)</f>
        <v>0</v>
      </c>
      <c r="AM644" t="str" cm="1">
        <f t="array" ref="AM644">_xlfn.IFS(
Table1[[#This Row],[MonthlyIncome]]&lt;3000,"Under 3K",
Table1[[#This Row],[MonthlyIncome]]&lt;6000,"3K-6K",
Table1[[#This Row],[MonthlyIncome]]&lt;9000,"6K-9K",
Table1[[#This Row],[MonthlyIncome]]&lt;12000,"9K-12K",
TRUE,"12K+")</f>
        <v>Under 3K</v>
      </c>
      <c r="AN644">
        <f>1</f>
        <v>1</v>
      </c>
      <c r="AO644" t="str" cm="1">
        <f t="array" ref="AO644">_xlfn.IFS(
Table1[[#This Row],[YearsAtCompany]]&lt;=2,"0-2 Years",
Table1[[#This Row],[YearsAtCompany]]&lt;=5,"3-5 Years",
Table1[[#This Row],[YearsAtCompany]]&lt;=10,"6-10 Years",
TRUE,"10+ Years")</f>
        <v>0-2 Years</v>
      </c>
    </row>
    <row r="645" spans="1:41"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tr">
        <f t="shared" si="20"/>
        <v>Research</v>
      </c>
      <c r="AK645">
        <f t="shared" si="21"/>
        <v>0</v>
      </c>
      <c r="AL645">
        <f>IF(Table1[[#This Row],[Attrition]]="Yes", Table1[[#This Row],[MonthlyIncome]]*12*1.5, 0)</f>
        <v>0</v>
      </c>
      <c r="AM645" t="str" cm="1">
        <f t="array" ref="AM645">_xlfn.IFS(
Table1[[#This Row],[MonthlyIncome]]&lt;3000,"Under 3K",
Table1[[#This Row],[MonthlyIncome]]&lt;6000,"3K-6K",
Table1[[#This Row],[MonthlyIncome]]&lt;9000,"6K-9K",
Table1[[#This Row],[MonthlyIncome]]&lt;12000,"9K-12K",
TRUE,"12K+")</f>
        <v>3K-6K</v>
      </c>
      <c r="AN645">
        <f>1</f>
        <v>1</v>
      </c>
      <c r="AO645" t="str" cm="1">
        <f t="array" ref="AO645">_xlfn.IFS(
Table1[[#This Row],[YearsAtCompany]]&lt;=2,"0-2 Years",
Table1[[#This Row],[YearsAtCompany]]&lt;=5,"3-5 Years",
Table1[[#This Row],[YearsAtCompany]]&lt;=10,"6-10 Years",
TRUE,"10+ Years")</f>
        <v>3-5 Years</v>
      </c>
    </row>
    <row r="646" spans="1:41"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tr">
        <f t="shared" si="20"/>
        <v>Research</v>
      </c>
      <c r="AK646">
        <f t="shared" si="21"/>
        <v>0</v>
      </c>
      <c r="AL646">
        <f>IF(Table1[[#This Row],[Attrition]]="Yes", Table1[[#This Row],[MonthlyIncome]]*12*1.5, 0)</f>
        <v>0</v>
      </c>
      <c r="AM646" t="str" cm="1">
        <f t="array" ref="AM646">_xlfn.IFS(
Table1[[#This Row],[MonthlyIncome]]&lt;3000,"Under 3K",
Table1[[#This Row],[MonthlyIncome]]&lt;6000,"3K-6K",
Table1[[#This Row],[MonthlyIncome]]&lt;9000,"6K-9K",
Table1[[#This Row],[MonthlyIncome]]&lt;12000,"9K-12K",
TRUE,"12K+")</f>
        <v>Under 3K</v>
      </c>
      <c r="AN646">
        <f>1</f>
        <v>1</v>
      </c>
      <c r="AO646" t="str" cm="1">
        <f t="array" ref="AO646">_xlfn.IFS(
Table1[[#This Row],[YearsAtCompany]]&lt;=2,"0-2 Years",
Table1[[#This Row],[YearsAtCompany]]&lt;=5,"3-5 Years",
Table1[[#This Row],[YearsAtCompany]]&lt;=10,"6-10 Years",
TRUE,"10+ Years")</f>
        <v>6-10 Years</v>
      </c>
    </row>
    <row r="647" spans="1:41"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tr">
        <f t="shared" si="20"/>
        <v>Sales</v>
      </c>
      <c r="AK647">
        <f t="shared" si="21"/>
        <v>1</v>
      </c>
      <c r="AL647">
        <f>IF(Table1[[#This Row],[Attrition]]="Yes", Table1[[#This Row],[MonthlyIncome]]*12*1.5, 0)</f>
        <v>50400</v>
      </c>
      <c r="AM647" t="str" cm="1">
        <f t="array" ref="AM647">_xlfn.IFS(
Table1[[#This Row],[MonthlyIncome]]&lt;3000,"Under 3K",
Table1[[#This Row],[MonthlyIncome]]&lt;6000,"3K-6K",
Table1[[#This Row],[MonthlyIncome]]&lt;9000,"6K-9K",
Table1[[#This Row],[MonthlyIncome]]&lt;12000,"9K-12K",
TRUE,"12K+")</f>
        <v>Under 3K</v>
      </c>
      <c r="AN647">
        <f>1</f>
        <v>1</v>
      </c>
      <c r="AO647" t="str" cm="1">
        <f t="array" ref="AO647">_xlfn.IFS(
Table1[[#This Row],[YearsAtCompany]]&lt;=2,"0-2 Years",
Table1[[#This Row],[YearsAtCompany]]&lt;=5,"3-5 Years",
Table1[[#This Row],[YearsAtCompany]]&lt;=10,"6-10 Years",
TRUE,"10+ Years")</f>
        <v>3-5 Years</v>
      </c>
    </row>
    <row r="648" spans="1:41"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tr">
        <f t="shared" si="20"/>
        <v>Sales</v>
      </c>
      <c r="AK648">
        <f t="shared" si="21"/>
        <v>0</v>
      </c>
      <c r="AL648">
        <f>IF(Table1[[#This Row],[Attrition]]="Yes", Table1[[#This Row],[MonthlyIncome]]*12*1.5, 0)</f>
        <v>0</v>
      </c>
      <c r="AM648" t="str" cm="1">
        <f t="array" ref="AM648">_xlfn.IFS(
Table1[[#This Row],[MonthlyIncome]]&lt;3000,"Under 3K",
Table1[[#This Row],[MonthlyIncome]]&lt;6000,"3K-6K",
Table1[[#This Row],[MonthlyIncome]]&lt;9000,"6K-9K",
Table1[[#This Row],[MonthlyIncome]]&lt;12000,"9K-12K",
TRUE,"12K+")</f>
        <v>9K-12K</v>
      </c>
      <c r="AN648">
        <f>1</f>
        <v>1</v>
      </c>
      <c r="AO648" t="str" cm="1">
        <f t="array" ref="AO648">_xlfn.IFS(
Table1[[#This Row],[YearsAtCompany]]&lt;=2,"0-2 Years",
Table1[[#This Row],[YearsAtCompany]]&lt;=5,"3-5 Years",
Table1[[#This Row],[YearsAtCompany]]&lt;=10,"6-10 Years",
TRUE,"10+ Years")</f>
        <v>0-2 Years</v>
      </c>
    </row>
    <row r="649" spans="1:41"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tr">
        <f t="shared" si="20"/>
        <v>Operations</v>
      </c>
      <c r="AK649">
        <f t="shared" si="21"/>
        <v>0</v>
      </c>
      <c r="AL649">
        <f>IF(Table1[[#This Row],[Attrition]]="Yes", Table1[[#This Row],[MonthlyIncome]]*12*1.5, 0)</f>
        <v>0</v>
      </c>
      <c r="AM649" t="str" cm="1">
        <f t="array" ref="AM649">_xlfn.IFS(
Table1[[#This Row],[MonthlyIncome]]&lt;3000,"Under 3K",
Table1[[#This Row],[MonthlyIncome]]&lt;6000,"3K-6K",
Table1[[#This Row],[MonthlyIncome]]&lt;9000,"6K-9K",
Table1[[#This Row],[MonthlyIncome]]&lt;12000,"9K-12K",
TRUE,"12K+")</f>
        <v>9K-12K</v>
      </c>
      <c r="AN649">
        <f>1</f>
        <v>1</v>
      </c>
      <c r="AO649" t="str" cm="1">
        <f t="array" ref="AO649">_xlfn.IFS(
Table1[[#This Row],[YearsAtCompany]]&lt;=2,"0-2 Years",
Table1[[#This Row],[YearsAtCompany]]&lt;=5,"3-5 Years",
Table1[[#This Row],[YearsAtCompany]]&lt;=10,"6-10 Years",
TRUE,"10+ Years")</f>
        <v>10+ Years</v>
      </c>
    </row>
    <row r="650" spans="1:41"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tr">
        <f t="shared" si="20"/>
        <v>Sales</v>
      </c>
      <c r="AK650">
        <f t="shared" si="21"/>
        <v>0</v>
      </c>
      <c r="AL650">
        <f>IF(Table1[[#This Row],[Attrition]]="Yes", Table1[[#This Row],[MonthlyIncome]]*12*1.5, 0)</f>
        <v>0</v>
      </c>
      <c r="AM650" t="str" cm="1">
        <f t="array" ref="AM650">_xlfn.IFS(
Table1[[#This Row],[MonthlyIncome]]&lt;3000,"Under 3K",
Table1[[#This Row],[MonthlyIncome]]&lt;6000,"3K-6K",
Table1[[#This Row],[MonthlyIncome]]&lt;9000,"6K-9K",
Table1[[#This Row],[MonthlyIncome]]&lt;12000,"9K-12K",
TRUE,"12K+")</f>
        <v>Under 3K</v>
      </c>
      <c r="AN650">
        <f>1</f>
        <v>1</v>
      </c>
      <c r="AO650" t="str" cm="1">
        <f t="array" ref="AO650">_xlfn.IFS(
Table1[[#This Row],[YearsAtCompany]]&lt;=2,"0-2 Years",
Table1[[#This Row],[YearsAtCompany]]&lt;=5,"3-5 Years",
Table1[[#This Row],[YearsAtCompany]]&lt;=10,"6-10 Years",
TRUE,"10+ Years")</f>
        <v>3-5 Years</v>
      </c>
    </row>
    <row r="651" spans="1:41"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tr">
        <f t="shared" si="20"/>
        <v>Research</v>
      </c>
      <c r="AK651">
        <f t="shared" si="21"/>
        <v>0</v>
      </c>
      <c r="AL651">
        <f>IF(Table1[[#This Row],[Attrition]]="Yes", Table1[[#This Row],[MonthlyIncome]]*12*1.5, 0)</f>
        <v>0</v>
      </c>
      <c r="AM651" t="str" cm="1">
        <f t="array" ref="AM651">_xlfn.IFS(
Table1[[#This Row],[MonthlyIncome]]&lt;3000,"Under 3K",
Table1[[#This Row],[MonthlyIncome]]&lt;6000,"3K-6K",
Table1[[#This Row],[MonthlyIncome]]&lt;9000,"6K-9K",
Table1[[#This Row],[MonthlyIncome]]&lt;12000,"9K-12K",
TRUE,"12K+")</f>
        <v>12K+</v>
      </c>
      <c r="AN651">
        <f>1</f>
        <v>1</v>
      </c>
      <c r="AO651" t="str" cm="1">
        <f t="array" ref="AO651">_xlfn.IFS(
Table1[[#This Row],[YearsAtCompany]]&lt;=2,"0-2 Years",
Table1[[#This Row],[YearsAtCompany]]&lt;=5,"3-5 Years",
Table1[[#This Row],[YearsAtCompany]]&lt;=10,"6-10 Years",
TRUE,"10+ Years")</f>
        <v>10+ Years</v>
      </c>
    </row>
    <row r="652" spans="1:41"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tr">
        <f t="shared" si="20"/>
        <v>Healthcare</v>
      </c>
      <c r="AK652">
        <f t="shared" si="21"/>
        <v>0</v>
      </c>
      <c r="AL652">
        <f>IF(Table1[[#This Row],[Attrition]]="Yes", Table1[[#This Row],[MonthlyIncome]]*12*1.5, 0)</f>
        <v>0</v>
      </c>
      <c r="AM652" t="str" cm="1">
        <f t="array" ref="AM652">_xlfn.IFS(
Table1[[#This Row],[MonthlyIncome]]&lt;3000,"Under 3K",
Table1[[#This Row],[MonthlyIncome]]&lt;6000,"3K-6K",
Table1[[#This Row],[MonthlyIncome]]&lt;9000,"6K-9K",
Table1[[#This Row],[MonthlyIncome]]&lt;12000,"9K-12K",
TRUE,"12K+")</f>
        <v>3K-6K</v>
      </c>
      <c r="AN652">
        <f>1</f>
        <v>1</v>
      </c>
      <c r="AO652" t="str" cm="1">
        <f t="array" ref="AO652">_xlfn.IFS(
Table1[[#This Row],[YearsAtCompany]]&lt;=2,"0-2 Years",
Table1[[#This Row],[YearsAtCompany]]&lt;=5,"3-5 Years",
Table1[[#This Row],[YearsAtCompany]]&lt;=10,"6-10 Years",
TRUE,"10+ Years")</f>
        <v>3-5 Years</v>
      </c>
    </row>
    <row r="653" spans="1:41"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tr">
        <f t="shared" si="20"/>
        <v>Sales</v>
      </c>
      <c r="AK653">
        <f t="shared" si="21"/>
        <v>0</v>
      </c>
      <c r="AL653">
        <f>IF(Table1[[#This Row],[Attrition]]="Yes", Table1[[#This Row],[MonthlyIncome]]*12*1.5, 0)</f>
        <v>0</v>
      </c>
      <c r="AM653" t="str" cm="1">
        <f t="array" ref="AM653">_xlfn.IFS(
Table1[[#This Row],[MonthlyIncome]]&lt;3000,"Under 3K",
Table1[[#This Row],[MonthlyIncome]]&lt;6000,"3K-6K",
Table1[[#This Row],[MonthlyIncome]]&lt;9000,"6K-9K",
Table1[[#This Row],[MonthlyIncome]]&lt;12000,"9K-12K",
TRUE,"12K+")</f>
        <v>3K-6K</v>
      </c>
      <c r="AN653">
        <f>1</f>
        <v>1</v>
      </c>
      <c r="AO653" t="str" cm="1">
        <f t="array" ref="AO653">_xlfn.IFS(
Table1[[#This Row],[YearsAtCompany]]&lt;=2,"0-2 Years",
Table1[[#This Row],[YearsAtCompany]]&lt;=5,"3-5 Years",
Table1[[#This Row],[YearsAtCompany]]&lt;=10,"6-10 Years",
TRUE,"10+ Years")</f>
        <v>6-10 Years</v>
      </c>
    </row>
    <row r="654" spans="1:41"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tr">
        <f t="shared" si="20"/>
        <v>Sales</v>
      </c>
      <c r="AK654">
        <f t="shared" si="21"/>
        <v>0</v>
      </c>
      <c r="AL654">
        <f>IF(Table1[[#This Row],[Attrition]]="Yes", Table1[[#This Row],[MonthlyIncome]]*12*1.5, 0)</f>
        <v>0</v>
      </c>
      <c r="AM654" t="str" cm="1">
        <f t="array" ref="AM654">_xlfn.IFS(
Table1[[#This Row],[MonthlyIncome]]&lt;3000,"Under 3K",
Table1[[#This Row],[MonthlyIncome]]&lt;6000,"3K-6K",
Table1[[#This Row],[MonthlyIncome]]&lt;9000,"6K-9K",
Table1[[#This Row],[MonthlyIncome]]&lt;12000,"9K-12K",
TRUE,"12K+")</f>
        <v>6K-9K</v>
      </c>
      <c r="AN654">
        <f>1</f>
        <v>1</v>
      </c>
      <c r="AO654" t="str" cm="1">
        <f t="array" ref="AO654">_xlfn.IFS(
Table1[[#This Row],[YearsAtCompany]]&lt;=2,"0-2 Years",
Table1[[#This Row],[YearsAtCompany]]&lt;=5,"3-5 Years",
Table1[[#This Row],[YearsAtCompany]]&lt;=10,"6-10 Years",
TRUE,"10+ Years")</f>
        <v>6-10 Years</v>
      </c>
    </row>
    <row r="655" spans="1:41"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tr">
        <f t="shared" si="20"/>
        <v>Management</v>
      </c>
      <c r="AK655">
        <f t="shared" si="21"/>
        <v>0</v>
      </c>
      <c r="AL655">
        <f>IF(Table1[[#This Row],[Attrition]]="Yes", Table1[[#This Row],[MonthlyIncome]]*12*1.5, 0)</f>
        <v>0</v>
      </c>
      <c r="AM655" t="str" cm="1">
        <f t="array" ref="AM655">_xlfn.IFS(
Table1[[#This Row],[MonthlyIncome]]&lt;3000,"Under 3K",
Table1[[#This Row],[MonthlyIncome]]&lt;6000,"3K-6K",
Table1[[#This Row],[MonthlyIncome]]&lt;9000,"6K-9K",
Table1[[#This Row],[MonthlyIncome]]&lt;12000,"9K-12K",
TRUE,"12K+")</f>
        <v>12K+</v>
      </c>
      <c r="AN655">
        <f>1</f>
        <v>1</v>
      </c>
      <c r="AO655" t="str" cm="1">
        <f t="array" ref="AO655">_xlfn.IFS(
Table1[[#This Row],[YearsAtCompany]]&lt;=2,"0-2 Years",
Table1[[#This Row],[YearsAtCompany]]&lt;=5,"3-5 Years",
Table1[[#This Row],[YearsAtCompany]]&lt;=10,"6-10 Years",
TRUE,"10+ Years")</f>
        <v>10+ Years</v>
      </c>
    </row>
    <row r="656" spans="1:41"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tr">
        <f t="shared" si="20"/>
        <v>Human Resources</v>
      </c>
      <c r="AK656">
        <f t="shared" si="21"/>
        <v>0</v>
      </c>
      <c r="AL656">
        <f>IF(Table1[[#This Row],[Attrition]]="Yes", Table1[[#This Row],[MonthlyIncome]]*12*1.5, 0)</f>
        <v>0</v>
      </c>
      <c r="AM656" t="str" cm="1">
        <f t="array" ref="AM656">_xlfn.IFS(
Table1[[#This Row],[MonthlyIncome]]&lt;3000,"Under 3K",
Table1[[#This Row],[MonthlyIncome]]&lt;6000,"3K-6K",
Table1[[#This Row],[MonthlyIncome]]&lt;9000,"6K-9K",
Table1[[#This Row],[MonthlyIncome]]&lt;12000,"9K-12K",
TRUE,"12K+")</f>
        <v>3K-6K</v>
      </c>
      <c r="AN656">
        <f>1</f>
        <v>1</v>
      </c>
      <c r="AO656" t="str" cm="1">
        <f t="array" ref="AO656">_xlfn.IFS(
Table1[[#This Row],[YearsAtCompany]]&lt;=2,"0-2 Years",
Table1[[#This Row],[YearsAtCompany]]&lt;=5,"3-5 Years",
Table1[[#This Row],[YearsAtCompany]]&lt;=10,"6-10 Years",
TRUE,"10+ Years")</f>
        <v>3-5 Years</v>
      </c>
    </row>
    <row r="657" spans="1:41"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tr">
        <f t="shared" si="20"/>
        <v>Human Resources</v>
      </c>
      <c r="AK657">
        <f t="shared" si="21"/>
        <v>0</v>
      </c>
      <c r="AL657">
        <f>IF(Table1[[#This Row],[Attrition]]="Yes", Table1[[#This Row],[MonthlyIncome]]*12*1.5, 0)</f>
        <v>0</v>
      </c>
      <c r="AM657" t="str" cm="1">
        <f t="array" ref="AM657">_xlfn.IFS(
Table1[[#This Row],[MonthlyIncome]]&lt;3000,"Under 3K",
Table1[[#This Row],[MonthlyIncome]]&lt;6000,"3K-6K",
Table1[[#This Row],[MonthlyIncome]]&lt;9000,"6K-9K",
Table1[[#This Row],[MonthlyIncome]]&lt;12000,"9K-12K",
TRUE,"12K+")</f>
        <v>Under 3K</v>
      </c>
      <c r="AN657">
        <f>1</f>
        <v>1</v>
      </c>
      <c r="AO657" t="str" cm="1">
        <f t="array" ref="AO657">_xlfn.IFS(
Table1[[#This Row],[YearsAtCompany]]&lt;=2,"0-2 Years",
Table1[[#This Row],[YearsAtCompany]]&lt;=5,"3-5 Years",
Table1[[#This Row],[YearsAtCompany]]&lt;=10,"6-10 Years",
TRUE,"10+ Years")</f>
        <v>3-5 Years</v>
      </c>
    </row>
    <row r="658" spans="1:41"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tr">
        <f t="shared" si="20"/>
        <v>Research</v>
      </c>
      <c r="AK658">
        <f t="shared" si="21"/>
        <v>1</v>
      </c>
      <c r="AL658">
        <f>IF(Table1[[#This Row],[Attrition]]="Yes", Table1[[#This Row],[MonthlyIncome]]*12*1.5, 0)</f>
        <v>50310</v>
      </c>
      <c r="AM658" t="str" cm="1">
        <f t="array" ref="AM658">_xlfn.IFS(
Table1[[#This Row],[MonthlyIncome]]&lt;3000,"Under 3K",
Table1[[#This Row],[MonthlyIncome]]&lt;6000,"3K-6K",
Table1[[#This Row],[MonthlyIncome]]&lt;9000,"6K-9K",
Table1[[#This Row],[MonthlyIncome]]&lt;12000,"9K-12K",
TRUE,"12K+")</f>
        <v>Under 3K</v>
      </c>
      <c r="AN658">
        <f>1</f>
        <v>1</v>
      </c>
      <c r="AO658" t="str" cm="1">
        <f t="array" ref="AO658">_xlfn.IFS(
Table1[[#This Row],[YearsAtCompany]]&lt;=2,"0-2 Years",
Table1[[#This Row],[YearsAtCompany]]&lt;=5,"3-5 Years",
Table1[[#This Row],[YearsAtCompany]]&lt;=10,"6-10 Years",
TRUE,"10+ Years")</f>
        <v>0-2 Years</v>
      </c>
    </row>
    <row r="659" spans="1:41"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tr">
        <f t="shared" si="20"/>
        <v>Research</v>
      </c>
      <c r="AK659">
        <f t="shared" si="21"/>
        <v>0</v>
      </c>
      <c r="AL659">
        <f>IF(Table1[[#This Row],[Attrition]]="Yes", Table1[[#This Row],[MonthlyIncome]]*12*1.5, 0)</f>
        <v>0</v>
      </c>
      <c r="AM659" t="str" cm="1">
        <f t="array" ref="AM659">_xlfn.IFS(
Table1[[#This Row],[MonthlyIncome]]&lt;3000,"Under 3K",
Table1[[#This Row],[MonthlyIncome]]&lt;6000,"3K-6K",
Table1[[#This Row],[MonthlyIncome]]&lt;9000,"6K-9K",
Table1[[#This Row],[MonthlyIncome]]&lt;12000,"9K-12K",
TRUE,"12K+")</f>
        <v>Under 3K</v>
      </c>
      <c r="AN659">
        <f>1</f>
        <v>1</v>
      </c>
      <c r="AO659" t="str" cm="1">
        <f t="array" ref="AO659">_xlfn.IFS(
Table1[[#This Row],[YearsAtCompany]]&lt;=2,"0-2 Years",
Table1[[#This Row],[YearsAtCompany]]&lt;=5,"3-5 Years",
Table1[[#This Row],[YearsAtCompany]]&lt;=10,"6-10 Years",
TRUE,"10+ Years")</f>
        <v>3-5 Years</v>
      </c>
    </row>
    <row r="660" spans="1:41"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tr">
        <f t="shared" si="20"/>
        <v>Research</v>
      </c>
      <c r="AK660">
        <f t="shared" si="21"/>
        <v>0</v>
      </c>
      <c r="AL660">
        <f>IF(Table1[[#This Row],[Attrition]]="Yes", Table1[[#This Row],[MonthlyIncome]]*12*1.5, 0)</f>
        <v>0</v>
      </c>
      <c r="AM660" t="str" cm="1">
        <f t="array" ref="AM660">_xlfn.IFS(
Table1[[#This Row],[MonthlyIncome]]&lt;3000,"Under 3K",
Table1[[#This Row],[MonthlyIncome]]&lt;6000,"3K-6K",
Table1[[#This Row],[MonthlyIncome]]&lt;9000,"6K-9K",
Table1[[#This Row],[MonthlyIncome]]&lt;12000,"9K-12K",
TRUE,"12K+")</f>
        <v>Under 3K</v>
      </c>
      <c r="AN660">
        <f>1</f>
        <v>1</v>
      </c>
      <c r="AO660" t="str" cm="1">
        <f t="array" ref="AO660">_xlfn.IFS(
Table1[[#This Row],[YearsAtCompany]]&lt;=2,"0-2 Years",
Table1[[#This Row],[YearsAtCompany]]&lt;=5,"3-5 Years",
Table1[[#This Row],[YearsAtCompany]]&lt;=10,"6-10 Years",
TRUE,"10+ Years")</f>
        <v>6-10 Years</v>
      </c>
    </row>
    <row r="661" spans="1:41"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tr">
        <f t="shared" si="20"/>
        <v>Sales</v>
      </c>
      <c r="AK661">
        <f t="shared" si="21"/>
        <v>0</v>
      </c>
      <c r="AL661">
        <f>IF(Table1[[#This Row],[Attrition]]="Yes", Table1[[#This Row],[MonthlyIncome]]*12*1.5, 0)</f>
        <v>0</v>
      </c>
      <c r="AM661" t="str" cm="1">
        <f t="array" ref="AM661">_xlfn.IFS(
Table1[[#This Row],[MonthlyIncome]]&lt;3000,"Under 3K",
Table1[[#This Row],[MonthlyIncome]]&lt;6000,"3K-6K",
Table1[[#This Row],[MonthlyIncome]]&lt;9000,"6K-9K",
Table1[[#This Row],[MonthlyIncome]]&lt;12000,"9K-12K",
TRUE,"12K+")</f>
        <v>3K-6K</v>
      </c>
      <c r="AN661">
        <f>1</f>
        <v>1</v>
      </c>
      <c r="AO661" t="str" cm="1">
        <f t="array" ref="AO661">_xlfn.IFS(
Table1[[#This Row],[YearsAtCompany]]&lt;=2,"0-2 Years",
Table1[[#This Row],[YearsAtCompany]]&lt;=5,"3-5 Years",
Table1[[#This Row],[YearsAtCompany]]&lt;=10,"6-10 Years",
TRUE,"10+ Years")</f>
        <v>3-5 Years</v>
      </c>
    </row>
    <row r="662" spans="1:41"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tr">
        <f t="shared" si="20"/>
        <v>Research</v>
      </c>
      <c r="AK662">
        <f t="shared" si="21"/>
        <v>1</v>
      </c>
      <c r="AL662">
        <f>IF(Table1[[#This Row],[Attrition]]="Yes", Table1[[#This Row],[MonthlyIncome]]*12*1.5, 0)</f>
        <v>42840</v>
      </c>
      <c r="AM662" t="str" cm="1">
        <f t="array" ref="AM662">_xlfn.IFS(
Table1[[#This Row],[MonthlyIncome]]&lt;3000,"Under 3K",
Table1[[#This Row],[MonthlyIncome]]&lt;6000,"3K-6K",
Table1[[#This Row],[MonthlyIncome]]&lt;9000,"6K-9K",
Table1[[#This Row],[MonthlyIncome]]&lt;12000,"9K-12K",
TRUE,"12K+")</f>
        <v>Under 3K</v>
      </c>
      <c r="AN662">
        <f>1</f>
        <v>1</v>
      </c>
      <c r="AO662" t="str" cm="1">
        <f t="array" ref="AO662">_xlfn.IFS(
Table1[[#This Row],[YearsAtCompany]]&lt;=2,"0-2 Years",
Table1[[#This Row],[YearsAtCompany]]&lt;=5,"3-5 Years",
Table1[[#This Row],[YearsAtCompany]]&lt;=10,"6-10 Years",
TRUE,"10+ Years")</f>
        <v>0-2 Years</v>
      </c>
    </row>
    <row r="663" spans="1:41"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tr">
        <f t="shared" si="20"/>
        <v>Operations</v>
      </c>
      <c r="AK663">
        <f t="shared" si="21"/>
        <v>0</v>
      </c>
      <c r="AL663">
        <f>IF(Table1[[#This Row],[Attrition]]="Yes", Table1[[#This Row],[MonthlyIncome]]*12*1.5, 0)</f>
        <v>0</v>
      </c>
      <c r="AM663" t="str" cm="1">
        <f t="array" ref="AM663">_xlfn.IFS(
Table1[[#This Row],[MonthlyIncome]]&lt;3000,"Under 3K",
Table1[[#This Row],[MonthlyIncome]]&lt;6000,"3K-6K",
Table1[[#This Row],[MonthlyIncome]]&lt;9000,"6K-9K",
Table1[[#This Row],[MonthlyIncome]]&lt;12000,"9K-12K",
TRUE,"12K+")</f>
        <v>3K-6K</v>
      </c>
      <c r="AN663">
        <f>1</f>
        <v>1</v>
      </c>
      <c r="AO663" t="str" cm="1">
        <f t="array" ref="AO663">_xlfn.IFS(
Table1[[#This Row],[YearsAtCompany]]&lt;=2,"0-2 Years",
Table1[[#This Row],[YearsAtCompany]]&lt;=5,"3-5 Years",
Table1[[#This Row],[YearsAtCompany]]&lt;=10,"6-10 Years",
TRUE,"10+ Years")</f>
        <v>0-2 Years</v>
      </c>
    </row>
    <row r="664" spans="1:41"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tr">
        <f t="shared" si="20"/>
        <v>Sales</v>
      </c>
      <c r="AK664">
        <f t="shared" si="21"/>
        <v>1</v>
      </c>
      <c r="AL664">
        <f>IF(Table1[[#This Row],[Attrition]]="Yes", Table1[[#This Row],[MonthlyIncome]]*12*1.5, 0)</f>
        <v>36792</v>
      </c>
      <c r="AM664" t="str" cm="1">
        <f t="array" ref="AM664">_xlfn.IFS(
Table1[[#This Row],[MonthlyIncome]]&lt;3000,"Under 3K",
Table1[[#This Row],[MonthlyIncome]]&lt;6000,"3K-6K",
Table1[[#This Row],[MonthlyIncome]]&lt;9000,"6K-9K",
Table1[[#This Row],[MonthlyIncome]]&lt;12000,"9K-12K",
TRUE,"12K+")</f>
        <v>Under 3K</v>
      </c>
      <c r="AN664">
        <f>1</f>
        <v>1</v>
      </c>
      <c r="AO664" t="str" cm="1">
        <f t="array" ref="AO664">_xlfn.IFS(
Table1[[#This Row],[YearsAtCompany]]&lt;=2,"0-2 Years",
Table1[[#This Row],[YearsAtCompany]]&lt;=5,"3-5 Years",
Table1[[#This Row],[YearsAtCompany]]&lt;=10,"6-10 Years",
TRUE,"10+ Years")</f>
        <v>0-2 Years</v>
      </c>
    </row>
    <row r="665" spans="1:41"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tr">
        <f t="shared" si="20"/>
        <v>Research</v>
      </c>
      <c r="AK665">
        <f t="shared" si="21"/>
        <v>1</v>
      </c>
      <c r="AL665">
        <f>IF(Table1[[#This Row],[Attrition]]="Yes", Table1[[#This Row],[MonthlyIncome]]*12*1.5, 0)</f>
        <v>48474</v>
      </c>
      <c r="AM665" t="str" cm="1">
        <f t="array" ref="AM665">_xlfn.IFS(
Table1[[#This Row],[MonthlyIncome]]&lt;3000,"Under 3K",
Table1[[#This Row],[MonthlyIncome]]&lt;6000,"3K-6K",
Table1[[#This Row],[MonthlyIncome]]&lt;9000,"6K-9K",
Table1[[#This Row],[MonthlyIncome]]&lt;12000,"9K-12K",
TRUE,"12K+")</f>
        <v>Under 3K</v>
      </c>
      <c r="AN665">
        <f>1</f>
        <v>1</v>
      </c>
      <c r="AO665" t="str" cm="1">
        <f t="array" ref="AO665">_xlfn.IFS(
Table1[[#This Row],[YearsAtCompany]]&lt;=2,"0-2 Years",
Table1[[#This Row],[YearsAtCompany]]&lt;=5,"3-5 Years",
Table1[[#This Row],[YearsAtCompany]]&lt;=10,"6-10 Years",
TRUE,"10+ Years")</f>
        <v>0-2 Years</v>
      </c>
    </row>
    <row r="666" spans="1:41"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tr">
        <f t="shared" si="20"/>
        <v>Healthcare</v>
      </c>
      <c r="AK666">
        <f t="shared" si="21"/>
        <v>0</v>
      </c>
      <c r="AL666">
        <f>IF(Table1[[#This Row],[Attrition]]="Yes", Table1[[#This Row],[MonthlyIncome]]*12*1.5, 0)</f>
        <v>0</v>
      </c>
      <c r="AM666" t="str" cm="1">
        <f t="array" ref="AM666">_xlfn.IFS(
Table1[[#This Row],[MonthlyIncome]]&lt;3000,"Under 3K",
Table1[[#This Row],[MonthlyIncome]]&lt;6000,"3K-6K",
Table1[[#This Row],[MonthlyIncome]]&lt;9000,"6K-9K",
Table1[[#This Row],[MonthlyIncome]]&lt;12000,"9K-12K",
TRUE,"12K+")</f>
        <v>6K-9K</v>
      </c>
      <c r="AN666">
        <f>1</f>
        <v>1</v>
      </c>
      <c r="AO666" t="str" cm="1">
        <f t="array" ref="AO666">_xlfn.IFS(
Table1[[#This Row],[YearsAtCompany]]&lt;=2,"0-2 Years",
Table1[[#This Row],[YearsAtCompany]]&lt;=5,"3-5 Years",
Table1[[#This Row],[YearsAtCompany]]&lt;=10,"6-10 Years",
TRUE,"10+ Years")</f>
        <v>10+ Years</v>
      </c>
    </row>
    <row r="667" spans="1:41"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tr">
        <f t="shared" si="20"/>
        <v>Sales</v>
      </c>
      <c r="AK667">
        <f t="shared" si="21"/>
        <v>0</v>
      </c>
      <c r="AL667">
        <f>IF(Table1[[#This Row],[Attrition]]="Yes", Table1[[#This Row],[MonthlyIncome]]*12*1.5, 0)</f>
        <v>0</v>
      </c>
      <c r="AM667" t="str" cm="1">
        <f t="array" ref="AM667">_xlfn.IFS(
Table1[[#This Row],[MonthlyIncome]]&lt;3000,"Under 3K",
Table1[[#This Row],[MonthlyIncome]]&lt;6000,"3K-6K",
Table1[[#This Row],[MonthlyIncome]]&lt;9000,"6K-9K",
Table1[[#This Row],[MonthlyIncome]]&lt;12000,"9K-12K",
TRUE,"12K+")</f>
        <v>3K-6K</v>
      </c>
      <c r="AN667">
        <f>1</f>
        <v>1</v>
      </c>
      <c r="AO667" t="str" cm="1">
        <f t="array" ref="AO667">_xlfn.IFS(
Table1[[#This Row],[YearsAtCompany]]&lt;=2,"0-2 Years",
Table1[[#This Row],[YearsAtCompany]]&lt;=5,"3-5 Years",
Table1[[#This Row],[YearsAtCompany]]&lt;=10,"6-10 Years",
TRUE,"10+ Years")</f>
        <v>3-5 Years</v>
      </c>
    </row>
    <row r="668" spans="1:41"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tr">
        <f t="shared" si="20"/>
        <v>Operations</v>
      </c>
      <c r="AK668">
        <f t="shared" si="21"/>
        <v>1</v>
      </c>
      <c r="AL668">
        <f>IF(Table1[[#This Row],[Attrition]]="Yes", Table1[[#This Row],[MonthlyIncome]]*12*1.5, 0)</f>
        <v>75078</v>
      </c>
      <c r="AM668" t="str" cm="1">
        <f t="array" ref="AM668">_xlfn.IFS(
Table1[[#This Row],[MonthlyIncome]]&lt;3000,"Under 3K",
Table1[[#This Row],[MonthlyIncome]]&lt;6000,"3K-6K",
Table1[[#This Row],[MonthlyIncome]]&lt;9000,"6K-9K",
Table1[[#This Row],[MonthlyIncome]]&lt;12000,"9K-12K",
TRUE,"12K+")</f>
        <v>3K-6K</v>
      </c>
      <c r="AN668">
        <f>1</f>
        <v>1</v>
      </c>
      <c r="AO668" t="str" cm="1">
        <f t="array" ref="AO668">_xlfn.IFS(
Table1[[#This Row],[YearsAtCompany]]&lt;=2,"0-2 Years",
Table1[[#This Row],[YearsAtCompany]]&lt;=5,"3-5 Years",
Table1[[#This Row],[YearsAtCompany]]&lt;=10,"6-10 Years",
TRUE,"10+ Years")</f>
        <v>3-5 Years</v>
      </c>
    </row>
    <row r="669" spans="1:41"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tr">
        <f t="shared" si="20"/>
        <v>Research</v>
      </c>
      <c r="AK669">
        <f t="shared" si="21"/>
        <v>1</v>
      </c>
      <c r="AL669">
        <f>IF(Table1[[#This Row],[Attrition]]="Yes", Table1[[#This Row],[MonthlyIncome]]*12*1.5, 0)</f>
        <v>50004</v>
      </c>
      <c r="AM669" t="str" cm="1">
        <f t="array" ref="AM669">_xlfn.IFS(
Table1[[#This Row],[MonthlyIncome]]&lt;3000,"Under 3K",
Table1[[#This Row],[MonthlyIncome]]&lt;6000,"3K-6K",
Table1[[#This Row],[MonthlyIncome]]&lt;9000,"6K-9K",
Table1[[#This Row],[MonthlyIncome]]&lt;12000,"9K-12K",
TRUE,"12K+")</f>
        <v>Under 3K</v>
      </c>
      <c r="AN669">
        <f>1</f>
        <v>1</v>
      </c>
      <c r="AO669" t="str" cm="1">
        <f t="array" ref="AO669">_xlfn.IFS(
Table1[[#This Row],[YearsAtCompany]]&lt;=2,"0-2 Years",
Table1[[#This Row],[YearsAtCompany]]&lt;=5,"3-5 Years",
Table1[[#This Row],[YearsAtCompany]]&lt;=10,"6-10 Years",
TRUE,"10+ Years")</f>
        <v>6-10 Years</v>
      </c>
    </row>
    <row r="670" spans="1:41"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tr">
        <f t="shared" si="20"/>
        <v>Research</v>
      </c>
      <c r="AK670">
        <f t="shared" si="21"/>
        <v>0</v>
      </c>
      <c r="AL670">
        <f>IF(Table1[[#This Row],[Attrition]]="Yes", Table1[[#This Row],[MonthlyIncome]]*12*1.5, 0)</f>
        <v>0</v>
      </c>
      <c r="AM670" t="str" cm="1">
        <f t="array" ref="AM670">_xlfn.IFS(
Table1[[#This Row],[MonthlyIncome]]&lt;3000,"Under 3K",
Table1[[#This Row],[MonthlyIncome]]&lt;6000,"3K-6K",
Table1[[#This Row],[MonthlyIncome]]&lt;9000,"6K-9K",
Table1[[#This Row],[MonthlyIncome]]&lt;12000,"9K-12K",
TRUE,"12K+")</f>
        <v>Under 3K</v>
      </c>
      <c r="AN670">
        <f>1</f>
        <v>1</v>
      </c>
      <c r="AO670" t="str" cm="1">
        <f t="array" ref="AO670">_xlfn.IFS(
Table1[[#This Row],[YearsAtCompany]]&lt;=2,"0-2 Years",
Table1[[#This Row],[YearsAtCompany]]&lt;=5,"3-5 Years",
Table1[[#This Row],[YearsAtCompany]]&lt;=10,"6-10 Years",
TRUE,"10+ Years")</f>
        <v>0-2 Years</v>
      </c>
    </row>
    <row r="671" spans="1:41"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tr">
        <f t="shared" si="20"/>
        <v>Research</v>
      </c>
      <c r="AK671">
        <f t="shared" si="21"/>
        <v>1</v>
      </c>
      <c r="AL671">
        <f>IF(Table1[[#This Row],[Attrition]]="Yes", Table1[[#This Row],[MonthlyIncome]]*12*1.5, 0)</f>
        <v>43272</v>
      </c>
      <c r="AM671" t="str" cm="1">
        <f t="array" ref="AM671">_xlfn.IFS(
Table1[[#This Row],[MonthlyIncome]]&lt;3000,"Under 3K",
Table1[[#This Row],[MonthlyIncome]]&lt;6000,"3K-6K",
Table1[[#This Row],[MonthlyIncome]]&lt;9000,"6K-9K",
Table1[[#This Row],[MonthlyIncome]]&lt;12000,"9K-12K",
TRUE,"12K+")</f>
        <v>Under 3K</v>
      </c>
      <c r="AN671">
        <f>1</f>
        <v>1</v>
      </c>
      <c r="AO671" t="str" cm="1">
        <f t="array" ref="AO671">_xlfn.IFS(
Table1[[#This Row],[YearsAtCompany]]&lt;=2,"0-2 Years",
Table1[[#This Row],[YearsAtCompany]]&lt;=5,"3-5 Years",
Table1[[#This Row],[YearsAtCompany]]&lt;=10,"6-10 Years",
TRUE,"10+ Years")</f>
        <v>0-2 Years</v>
      </c>
    </row>
    <row r="672" spans="1:41"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tr">
        <f t="shared" si="20"/>
        <v>Research</v>
      </c>
      <c r="AK672">
        <f t="shared" si="21"/>
        <v>0</v>
      </c>
      <c r="AL672">
        <f>IF(Table1[[#This Row],[Attrition]]="Yes", Table1[[#This Row],[MonthlyIncome]]*12*1.5, 0)</f>
        <v>0</v>
      </c>
      <c r="AM672" t="str" cm="1">
        <f t="array" ref="AM672">_xlfn.IFS(
Table1[[#This Row],[MonthlyIncome]]&lt;3000,"Under 3K",
Table1[[#This Row],[MonthlyIncome]]&lt;6000,"3K-6K",
Table1[[#This Row],[MonthlyIncome]]&lt;9000,"6K-9K",
Table1[[#This Row],[MonthlyIncome]]&lt;12000,"9K-12K",
TRUE,"12K+")</f>
        <v>Under 3K</v>
      </c>
      <c r="AN672">
        <f>1</f>
        <v>1</v>
      </c>
      <c r="AO672" t="str" cm="1">
        <f t="array" ref="AO672">_xlfn.IFS(
Table1[[#This Row],[YearsAtCompany]]&lt;=2,"0-2 Years",
Table1[[#This Row],[YearsAtCompany]]&lt;=5,"3-5 Years",
Table1[[#This Row],[YearsAtCompany]]&lt;=10,"6-10 Years",
TRUE,"10+ Years")</f>
        <v>0-2 Years</v>
      </c>
    </row>
    <row r="673" spans="1:41"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tr">
        <f t="shared" si="20"/>
        <v>Research</v>
      </c>
      <c r="AK673">
        <f t="shared" si="21"/>
        <v>0</v>
      </c>
      <c r="AL673">
        <f>IF(Table1[[#This Row],[Attrition]]="Yes", Table1[[#This Row],[MonthlyIncome]]*12*1.5, 0)</f>
        <v>0</v>
      </c>
      <c r="AM673" t="str" cm="1">
        <f t="array" ref="AM673">_xlfn.IFS(
Table1[[#This Row],[MonthlyIncome]]&lt;3000,"Under 3K",
Table1[[#This Row],[MonthlyIncome]]&lt;6000,"3K-6K",
Table1[[#This Row],[MonthlyIncome]]&lt;9000,"6K-9K",
Table1[[#This Row],[MonthlyIncome]]&lt;12000,"9K-12K",
TRUE,"12K+")</f>
        <v>Under 3K</v>
      </c>
      <c r="AN673">
        <f>1</f>
        <v>1</v>
      </c>
      <c r="AO673" t="str" cm="1">
        <f t="array" ref="AO673">_xlfn.IFS(
Table1[[#This Row],[YearsAtCompany]]&lt;=2,"0-2 Years",
Table1[[#This Row],[YearsAtCompany]]&lt;=5,"3-5 Years",
Table1[[#This Row],[YearsAtCompany]]&lt;=10,"6-10 Years",
TRUE,"10+ Years")</f>
        <v>0-2 Years</v>
      </c>
    </row>
    <row r="674" spans="1:41"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tr">
        <f t="shared" si="20"/>
        <v>Sales</v>
      </c>
      <c r="AK674">
        <f t="shared" si="21"/>
        <v>0</v>
      </c>
      <c r="AL674">
        <f>IF(Table1[[#This Row],[Attrition]]="Yes", Table1[[#This Row],[MonthlyIncome]]*12*1.5, 0)</f>
        <v>0</v>
      </c>
      <c r="AM674" t="str" cm="1">
        <f t="array" ref="AM674">_xlfn.IFS(
Table1[[#This Row],[MonthlyIncome]]&lt;3000,"Under 3K",
Table1[[#This Row],[MonthlyIncome]]&lt;6000,"3K-6K",
Table1[[#This Row],[MonthlyIncome]]&lt;9000,"6K-9K",
Table1[[#This Row],[MonthlyIncome]]&lt;12000,"9K-12K",
TRUE,"12K+")</f>
        <v>6K-9K</v>
      </c>
      <c r="AN674">
        <f>1</f>
        <v>1</v>
      </c>
      <c r="AO674" t="str" cm="1">
        <f t="array" ref="AO674">_xlfn.IFS(
Table1[[#This Row],[YearsAtCompany]]&lt;=2,"0-2 Years",
Table1[[#This Row],[YearsAtCompany]]&lt;=5,"3-5 Years",
Table1[[#This Row],[YearsAtCompany]]&lt;=10,"6-10 Years",
TRUE,"10+ Years")</f>
        <v>3-5 Years</v>
      </c>
    </row>
    <row r="675" spans="1:41"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tr">
        <f t="shared" si="20"/>
        <v>Research</v>
      </c>
      <c r="AK675">
        <f t="shared" si="21"/>
        <v>0</v>
      </c>
      <c r="AL675">
        <f>IF(Table1[[#This Row],[Attrition]]="Yes", Table1[[#This Row],[MonthlyIncome]]*12*1.5, 0)</f>
        <v>0</v>
      </c>
      <c r="AM675" t="str" cm="1">
        <f t="array" ref="AM675">_xlfn.IFS(
Table1[[#This Row],[MonthlyIncome]]&lt;3000,"Under 3K",
Table1[[#This Row],[MonthlyIncome]]&lt;6000,"3K-6K",
Table1[[#This Row],[MonthlyIncome]]&lt;9000,"6K-9K",
Table1[[#This Row],[MonthlyIncome]]&lt;12000,"9K-12K",
TRUE,"12K+")</f>
        <v>Under 3K</v>
      </c>
      <c r="AN675">
        <f>1</f>
        <v>1</v>
      </c>
      <c r="AO675" t="str" cm="1">
        <f t="array" ref="AO675">_xlfn.IFS(
Table1[[#This Row],[YearsAtCompany]]&lt;=2,"0-2 Years",
Table1[[#This Row],[YearsAtCompany]]&lt;=5,"3-5 Years",
Table1[[#This Row],[YearsAtCompany]]&lt;=10,"6-10 Years",
TRUE,"10+ Years")</f>
        <v>3-5 Years</v>
      </c>
    </row>
    <row r="676" spans="1:41"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tr">
        <f t="shared" si="20"/>
        <v>Healthcare</v>
      </c>
      <c r="AK676">
        <f t="shared" si="21"/>
        <v>0</v>
      </c>
      <c r="AL676">
        <f>IF(Table1[[#This Row],[Attrition]]="Yes", Table1[[#This Row],[MonthlyIncome]]*12*1.5, 0)</f>
        <v>0</v>
      </c>
      <c r="AM676" t="str" cm="1">
        <f t="array" ref="AM676">_xlfn.IFS(
Table1[[#This Row],[MonthlyIncome]]&lt;3000,"Under 3K",
Table1[[#This Row],[MonthlyIncome]]&lt;6000,"3K-6K",
Table1[[#This Row],[MonthlyIncome]]&lt;9000,"6K-9K",
Table1[[#This Row],[MonthlyIncome]]&lt;12000,"9K-12K",
TRUE,"12K+")</f>
        <v>9K-12K</v>
      </c>
      <c r="AN676">
        <f>1</f>
        <v>1</v>
      </c>
      <c r="AO676" t="str" cm="1">
        <f t="array" ref="AO676">_xlfn.IFS(
Table1[[#This Row],[YearsAtCompany]]&lt;=2,"0-2 Years",
Table1[[#This Row],[YearsAtCompany]]&lt;=5,"3-5 Years",
Table1[[#This Row],[YearsAtCompany]]&lt;=10,"6-10 Years",
TRUE,"10+ Years")</f>
        <v>6-10 Years</v>
      </c>
    </row>
    <row r="677" spans="1:41"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tr">
        <f t="shared" si="20"/>
        <v>Sales</v>
      </c>
      <c r="AK677">
        <f t="shared" si="21"/>
        <v>0</v>
      </c>
      <c r="AL677">
        <f>IF(Table1[[#This Row],[Attrition]]="Yes", Table1[[#This Row],[MonthlyIncome]]*12*1.5, 0)</f>
        <v>0</v>
      </c>
      <c r="AM677" t="str" cm="1">
        <f t="array" ref="AM677">_xlfn.IFS(
Table1[[#This Row],[MonthlyIncome]]&lt;3000,"Under 3K",
Table1[[#This Row],[MonthlyIncome]]&lt;6000,"3K-6K",
Table1[[#This Row],[MonthlyIncome]]&lt;9000,"6K-9K",
Table1[[#This Row],[MonthlyIncome]]&lt;12000,"9K-12K",
TRUE,"12K+")</f>
        <v>Under 3K</v>
      </c>
      <c r="AN677">
        <f>1</f>
        <v>1</v>
      </c>
      <c r="AO677" t="str" cm="1">
        <f t="array" ref="AO677">_xlfn.IFS(
Table1[[#This Row],[YearsAtCompany]]&lt;=2,"0-2 Years",
Table1[[#This Row],[YearsAtCompany]]&lt;=5,"3-5 Years",
Table1[[#This Row],[YearsAtCompany]]&lt;=10,"6-10 Years",
TRUE,"10+ Years")</f>
        <v>6-10 Years</v>
      </c>
    </row>
    <row r="678" spans="1:41"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tr">
        <f t="shared" si="20"/>
        <v>Healthcare</v>
      </c>
      <c r="AK678">
        <f t="shared" si="21"/>
        <v>0</v>
      </c>
      <c r="AL678">
        <f>IF(Table1[[#This Row],[Attrition]]="Yes", Table1[[#This Row],[MonthlyIncome]]*12*1.5, 0)</f>
        <v>0</v>
      </c>
      <c r="AM678" t="str" cm="1">
        <f t="array" ref="AM678">_xlfn.IFS(
Table1[[#This Row],[MonthlyIncome]]&lt;3000,"Under 3K",
Table1[[#This Row],[MonthlyIncome]]&lt;6000,"3K-6K",
Table1[[#This Row],[MonthlyIncome]]&lt;9000,"6K-9K",
Table1[[#This Row],[MonthlyIncome]]&lt;12000,"9K-12K",
TRUE,"12K+")</f>
        <v>3K-6K</v>
      </c>
      <c r="AN678">
        <f>1</f>
        <v>1</v>
      </c>
      <c r="AO678" t="str" cm="1">
        <f t="array" ref="AO678">_xlfn.IFS(
Table1[[#This Row],[YearsAtCompany]]&lt;=2,"0-2 Years",
Table1[[#This Row],[YearsAtCompany]]&lt;=5,"3-5 Years",
Table1[[#This Row],[YearsAtCompany]]&lt;=10,"6-10 Years",
TRUE,"10+ Years")</f>
        <v>6-10 Years</v>
      </c>
    </row>
    <row r="679" spans="1:41"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tr">
        <f t="shared" si="20"/>
        <v>Research</v>
      </c>
      <c r="AK679">
        <f t="shared" si="21"/>
        <v>0</v>
      </c>
      <c r="AL679">
        <f>IF(Table1[[#This Row],[Attrition]]="Yes", Table1[[#This Row],[MonthlyIncome]]*12*1.5, 0)</f>
        <v>0</v>
      </c>
      <c r="AM679" t="str" cm="1">
        <f t="array" ref="AM679">_xlfn.IFS(
Table1[[#This Row],[MonthlyIncome]]&lt;3000,"Under 3K",
Table1[[#This Row],[MonthlyIncome]]&lt;6000,"3K-6K",
Table1[[#This Row],[MonthlyIncome]]&lt;9000,"6K-9K",
Table1[[#This Row],[MonthlyIncome]]&lt;12000,"9K-12K",
TRUE,"12K+")</f>
        <v>6K-9K</v>
      </c>
      <c r="AN679">
        <f>1</f>
        <v>1</v>
      </c>
      <c r="AO679" t="str" cm="1">
        <f t="array" ref="AO679">_xlfn.IFS(
Table1[[#This Row],[YearsAtCompany]]&lt;=2,"0-2 Years",
Table1[[#This Row],[YearsAtCompany]]&lt;=5,"3-5 Years",
Table1[[#This Row],[YearsAtCompany]]&lt;=10,"6-10 Years",
TRUE,"10+ Years")</f>
        <v>10+ Years</v>
      </c>
    </row>
    <row r="680" spans="1:41"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tr">
        <f t="shared" si="20"/>
        <v>Research</v>
      </c>
      <c r="AK680">
        <f t="shared" si="21"/>
        <v>0</v>
      </c>
      <c r="AL680">
        <f>IF(Table1[[#This Row],[Attrition]]="Yes", Table1[[#This Row],[MonthlyIncome]]*12*1.5, 0)</f>
        <v>0</v>
      </c>
      <c r="AM680" t="str" cm="1">
        <f t="array" ref="AM680">_xlfn.IFS(
Table1[[#This Row],[MonthlyIncome]]&lt;3000,"Under 3K",
Table1[[#This Row],[MonthlyIncome]]&lt;6000,"3K-6K",
Table1[[#This Row],[MonthlyIncome]]&lt;9000,"6K-9K",
Table1[[#This Row],[MonthlyIncome]]&lt;12000,"9K-12K",
TRUE,"12K+")</f>
        <v>Under 3K</v>
      </c>
      <c r="AN680">
        <f>1</f>
        <v>1</v>
      </c>
      <c r="AO680" t="str" cm="1">
        <f t="array" ref="AO680">_xlfn.IFS(
Table1[[#This Row],[YearsAtCompany]]&lt;=2,"0-2 Years",
Table1[[#This Row],[YearsAtCompany]]&lt;=5,"3-5 Years",
Table1[[#This Row],[YearsAtCompany]]&lt;=10,"6-10 Years",
TRUE,"10+ Years")</f>
        <v>0-2 Years</v>
      </c>
    </row>
    <row r="681" spans="1:41"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tr">
        <f t="shared" si="20"/>
        <v>Sales</v>
      </c>
      <c r="AK681">
        <f t="shared" si="21"/>
        <v>0</v>
      </c>
      <c r="AL681">
        <f>IF(Table1[[#This Row],[Attrition]]="Yes", Table1[[#This Row],[MonthlyIncome]]*12*1.5, 0)</f>
        <v>0</v>
      </c>
      <c r="AM681" t="str" cm="1">
        <f t="array" ref="AM681">_xlfn.IFS(
Table1[[#This Row],[MonthlyIncome]]&lt;3000,"Under 3K",
Table1[[#This Row],[MonthlyIncome]]&lt;6000,"3K-6K",
Table1[[#This Row],[MonthlyIncome]]&lt;9000,"6K-9K",
Table1[[#This Row],[MonthlyIncome]]&lt;12000,"9K-12K",
TRUE,"12K+")</f>
        <v>6K-9K</v>
      </c>
      <c r="AN681">
        <f>1</f>
        <v>1</v>
      </c>
      <c r="AO681" t="str" cm="1">
        <f t="array" ref="AO681">_xlfn.IFS(
Table1[[#This Row],[YearsAtCompany]]&lt;=2,"0-2 Years",
Table1[[#This Row],[YearsAtCompany]]&lt;=5,"3-5 Years",
Table1[[#This Row],[YearsAtCompany]]&lt;=10,"6-10 Years",
TRUE,"10+ Years")</f>
        <v>6-10 Years</v>
      </c>
    </row>
    <row r="682" spans="1:41"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tr">
        <f t="shared" si="20"/>
        <v>Research</v>
      </c>
      <c r="AK682">
        <f t="shared" si="21"/>
        <v>0</v>
      </c>
      <c r="AL682">
        <f>IF(Table1[[#This Row],[Attrition]]="Yes", Table1[[#This Row],[MonthlyIncome]]*12*1.5, 0)</f>
        <v>0</v>
      </c>
      <c r="AM682" t="str" cm="1">
        <f t="array" ref="AM682">_xlfn.IFS(
Table1[[#This Row],[MonthlyIncome]]&lt;3000,"Under 3K",
Table1[[#This Row],[MonthlyIncome]]&lt;6000,"3K-6K",
Table1[[#This Row],[MonthlyIncome]]&lt;9000,"6K-9K",
Table1[[#This Row],[MonthlyIncome]]&lt;12000,"9K-12K",
TRUE,"12K+")</f>
        <v>3K-6K</v>
      </c>
      <c r="AN682">
        <f>1</f>
        <v>1</v>
      </c>
      <c r="AO682" t="str" cm="1">
        <f t="array" ref="AO682">_xlfn.IFS(
Table1[[#This Row],[YearsAtCompany]]&lt;=2,"0-2 Years",
Table1[[#This Row],[YearsAtCompany]]&lt;=5,"3-5 Years",
Table1[[#This Row],[YearsAtCompany]]&lt;=10,"6-10 Years",
TRUE,"10+ Years")</f>
        <v>6-10 Years</v>
      </c>
    </row>
    <row r="683" spans="1:41"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tr">
        <f t="shared" si="20"/>
        <v>Research</v>
      </c>
      <c r="AK683">
        <f t="shared" si="21"/>
        <v>0</v>
      </c>
      <c r="AL683">
        <f>IF(Table1[[#This Row],[Attrition]]="Yes", Table1[[#This Row],[MonthlyIncome]]*12*1.5, 0)</f>
        <v>0</v>
      </c>
      <c r="AM683" t="str" cm="1">
        <f t="array" ref="AM683">_xlfn.IFS(
Table1[[#This Row],[MonthlyIncome]]&lt;3000,"Under 3K",
Table1[[#This Row],[MonthlyIncome]]&lt;6000,"3K-6K",
Table1[[#This Row],[MonthlyIncome]]&lt;9000,"6K-9K",
Table1[[#This Row],[MonthlyIncome]]&lt;12000,"9K-12K",
TRUE,"12K+")</f>
        <v>12K+</v>
      </c>
      <c r="AN683">
        <f>1</f>
        <v>1</v>
      </c>
      <c r="AO683" t="str" cm="1">
        <f t="array" ref="AO683">_xlfn.IFS(
Table1[[#This Row],[YearsAtCompany]]&lt;=2,"0-2 Years",
Table1[[#This Row],[YearsAtCompany]]&lt;=5,"3-5 Years",
Table1[[#This Row],[YearsAtCompany]]&lt;=10,"6-10 Years",
TRUE,"10+ Years")</f>
        <v>10+ Years</v>
      </c>
    </row>
    <row r="684" spans="1:41"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tr">
        <f t="shared" si="20"/>
        <v>Research</v>
      </c>
      <c r="AK684">
        <f t="shared" si="21"/>
        <v>0</v>
      </c>
      <c r="AL684">
        <f>IF(Table1[[#This Row],[Attrition]]="Yes", Table1[[#This Row],[MonthlyIncome]]*12*1.5, 0)</f>
        <v>0</v>
      </c>
      <c r="AM684" t="str" cm="1">
        <f t="array" ref="AM684">_xlfn.IFS(
Table1[[#This Row],[MonthlyIncome]]&lt;3000,"Under 3K",
Table1[[#This Row],[MonthlyIncome]]&lt;6000,"3K-6K",
Table1[[#This Row],[MonthlyIncome]]&lt;9000,"6K-9K",
Table1[[#This Row],[MonthlyIncome]]&lt;12000,"9K-12K",
TRUE,"12K+")</f>
        <v>Under 3K</v>
      </c>
      <c r="AN684">
        <f>1</f>
        <v>1</v>
      </c>
      <c r="AO684" t="str" cm="1">
        <f t="array" ref="AO684">_xlfn.IFS(
Table1[[#This Row],[YearsAtCompany]]&lt;=2,"0-2 Years",
Table1[[#This Row],[YearsAtCompany]]&lt;=5,"3-5 Years",
Table1[[#This Row],[YearsAtCompany]]&lt;=10,"6-10 Years",
TRUE,"10+ Years")</f>
        <v>3-5 Years</v>
      </c>
    </row>
    <row r="685" spans="1:41"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tr">
        <f t="shared" si="20"/>
        <v>Sales</v>
      </c>
      <c r="AK685">
        <f t="shared" si="21"/>
        <v>1</v>
      </c>
      <c r="AL685">
        <f>IF(Table1[[#This Row],[Attrition]]="Yes", Table1[[#This Row],[MonthlyIncome]]*12*1.5, 0)</f>
        <v>43434</v>
      </c>
      <c r="AM685" t="str" cm="1">
        <f t="array" ref="AM685">_xlfn.IFS(
Table1[[#This Row],[MonthlyIncome]]&lt;3000,"Under 3K",
Table1[[#This Row],[MonthlyIncome]]&lt;6000,"3K-6K",
Table1[[#This Row],[MonthlyIncome]]&lt;9000,"6K-9K",
Table1[[#This Row],[MonthlyIncome]]&lt;12000,"9K-12K",
TRUE,"12K+")</f>
        <v>Under 3K</v>
      </c>
      <c r="AN685">
        <f>1</f>
        <v>1</v>
      </c>
      <c r="AO685" t="str" cm="1">
        <f t="array" ref="AO685">_xlfn.IFS(
Table1[[#This Row],[YearsAtCompany]]&lt;=2,"0-2 Years",
Table1[[#This Row],[YearsAtCompany]]&lt;=5,"3-5 Years",
Table1[[#This Row],[YearsAtCompany]]&lt;=10,"6-10 Years",
TRUE,"10+ Years")</f>
        <v>0-2 Years</v>
      </c>
    </row>
    <row r="686" spans="1:41"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tr">
        <f t="shared" si="20"/>
        <v>Sales</v>
      </c>
      <c r="AK686">
        <f t="shared" si="21"/>
        <v>0</v>
      </c>
      <c r="AL686">
        <f>IF(Table1[[#This Row],[Attrition]]="Yes", Table1[[#This Row],[MonthlyIncome]]*12*1.5, 0)</f>
        <v>0</v>
      </c>
      <c r="AM686" t="str" cm="1">
        <f t="array" ref="AM686">_xlfn.IFS(
Table1[[#This Row],[MonthlyIncome]]&lt;3000,"Under 3K",
Table1[[#This Row],[MonthlyIncome]]&lt;6000,"3K-6K",
Table1[[#This Row],[MonthlyIncome]]&lt;9000,"6K-9K",
Table1[[#This Row],[MonthlyIncome]]&lt;12000,"9K-12K",
TRUE,"12K+")</f>
        <v>9K-12K</v>
      </c>
      <c r="AN686">
        <f>1</f>
        <v>1</v>
      </c>
      <c r="AO686" t="str" cm="1">
        <f t="array" ref="AO686">_xlfn.IFS(
Table1[[#This Row],[YearsAtCompany]]&lt;=2,"0-2 Years",
Table1[[#This Row],[YearsAtCompany]]&lt;=5,"3-5 Years",
Table1[[#This Row],[YearsAtCompany]]&lt;=10,"6-10 Years",
TRUE,"10+ Years")</f>
        <v>0-2 Years</v>
      </c>
    </row>
    <row r="687" spans="1:41"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tr">
        <f t="shared" si="20"/>
        <v>Sales</v>
      </c>
      <c r="AK687">
        <f t="shared" si="21"/>
        <v>0</v>
      </c>
      <c r="AL687">
        <f>IF(Table1[[#This Row],[Attrition]]="Yes", Table1[[#This Row],[MonthlyIncome]]*12*1.5, 0)</f>
        <v>0</v>
      </c>
      <c r="AM687" t="str" cm="1">
        <f t="array" ref="AM687">_xlfn.IFS(
Table1[[#This Row],[MonthlyIncome]]&lt;3000,"Under 3K",
Table1[[#This Row],[MonthlyIncome]]&lt;6000,"3K-6K",
Table1[[#This Row],[MonthlyIncome]]&lt;9000,"6K-9K",
Table1[[#This Row],[MonthlyIncome]]&lt;12000,"9K-12K",
TRUE,"12K+")</f>
        <v>3K-6K</v>
      </c>
      <c r="AN687">
        <f>1</f>
        <v>1</v>
      </c>
      <c r="AO687" t="str" cm="1">
        <f t="array" ref="AO687">_xlfn.IFS(
Table1[[#This Row],[YearsAtCompany]]&lt;=2,"0-2 Years",
Table1[[#This Row],[YearsAtCompany]]&lt;=5,"3-5 Years",
Table1[[#This Row],[YearsAtCompany]]&lt;=10,"6-10 Years",
TRUE,"10+ Years")</f>
        <v>6-10 Years</v>
      </c>
    </row>
    <row r="688" spans="1:41"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tr">
        <f t="shared" si="20"/>
        <v>Research</v>
      </c>
      <c r="AK688">
        <f t="shared" si="21"/>
        <v>0</v>
      </c>
      <c r="AL688">
        <f>IF(Table1[[#This Row],[Attrition]]="Yes", Table1[[#This Row],[MonthlyIncome]]*12*1.5, 0)</f>
        <v>0</v>
      </c>
      <c r="AM688" t="str" cm="1">
        <f t="array" ref="AM688">_xlfn.IFS(
Table1[[#This Row],[MonthlyIncome]]&lt;3000,"Under 3K",
Table1[[#This Row],[MonthlyIncome]]&lt;6000,"3K-6K",
Table1[[#This Row],[MonthlyIncome]]&lt;9000,"6K-9K",
Table1[[#This Row],[MonthlyIncome]]&lt;12000,"9K-12K",
TRUE,"12K+")</f>
        <v>3K-6K</v>
      </c>
      <c r="AN688">
        <f>1</f>
        <v>1</v>
      </c>
      <c r="AO688" t="str" cm="1">
        <f t="array" ref="AO688">_xlfn.IFS(
Table1[[#This Row],[YearsAtCompany]]&lt;=2,"0-2 Years",
Table1[[#This Row],[YearsAtCompany]]&lt;=5,"3-5 Years",
Table1[[#This Row],[YearsAtCompany]]&lt;=10,"6-10 Years",
TRUE,"10+ Years")</f>
        <v>10+ Years</v>
      </c>
    </row>
    <row r="689" spans="1:41"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tr">
        <f t="shared" si="20"/>
        <v>Research</v>
      </c>
      <c r="AK689">
        <f t="shared" si="21"/>
        <v>0</v>
      </c>
      <c r="AL689">
        <f>IF(Table1[[#This Row],[Attrition]]="Yes", Table1[[#This Row],[MonthlyIncome]]*12*1.5, 0)</f>
        <v>0</v>
      </c>
      <c r="AM689" t="str" cm="1">
        <f t="array" ref="AM689">_xlfn.IFS(
Table1[[#This Row],[MonthlyIncome]]&lt;3000,"Under 3K",
Table1[[#This Row],[MonthlyIncome]]&lt;6000,"3K-6K",
Table1[[#This Row],[MonthlyIncome]]&lt;9000,"6K-9K",
Table1[[#This Row],[MonthlyIncome]]&lt;12000,"9K-12K",
TRUE,"12K+")</f>
        <v>Under 3K</v>
      </c>
      <c r="AN689">
        <f>1</f>
        <v>1</v>
      </c>
      <c r="AO689" t="str" cm="1">
        <f t="array" ref="AO689">_xlfn.IFS(
Table1[[#This Row],[YearsAtCompany]]&lt;=2,"0-2 Years",
Table1[[#This Row],[YearsAtCompany]]&lt;=5,"3-5 Years",
Table1[[#This Row],[YearsAtCompany]]&lt;=10,"6-10 Years",
TRUE,"10+ Years")</f>
        <v>10+ Years</v>
      </c>
    </row>
    <row r="690" spans="1:41"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tr">
        <f t="shared" si="20"/>
        <v>Sales</v>
      </c>
      <c r="AK690">
        <f t="shared" si="21"/>
        <v>1</v>
      </c>
      <c r="AL690">
        <f>IF(Table1[[#This Row],[Attrition]]="Yes", Table1[[#This Row],[MonthlyIncome]]*12*1.5, 0)</f>
        <v>38178</v>
      </c>
      <c r="AM690" t="str" cm="1">
        <f t="array" ref="AM690">_xlfn.IFS(
Table1[[#This Row],[MonthlyIncome]]&lt;3000,"Under 3K",
Table1[[#This Row],[MonthlyIncome]]&lt;6000,"3K-6K",
Table1[[#This Row],[MonthlyIncome]]&lt;9000,"6K-9K",
Table1[[#This Row],[MonthlyIncome]]&lt;12000,"9K-12K",
TRUE,"12K+")</f>
        <v>Under 3K</v>
      </c>
      <c r="AN690">
        <f>1</f>
        <v>1</v>
      </c>
      <c r="AO690" t="str" cm="1">
        <f t="array" ref="AO690">_xlfn.IFS(
Table1[[#This Row],[YearsAtCompany]]&lt;=2,"0-2 Years",
Table1[[#This Row],[YearsAtCompany]]&lt;=5,"3-5 Years",
Table1[[#This Row],[YearsAtCompany]]&lt;=10,"6-10 Years",
TRUE,"10+ Years")</f>
        <v>0-2 Years</v>
      </c>
    </row>
    <row r="691" spans="1:41"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tr">
        <f t="shared" si="20"/>
        <v>Research</v>
      </c>
      <c r="AK691">
        <f t="shared" si="21"/>
        <v>1</v>
      </c>
      <c r="AL691">
        <f>IF(Table1[[#This Row],[Attrition]]="Yes", Table1[[#This Row],[MonthlyIncome]]*12*1.5, 0)</f>
        <v>53514</v>
      </c>
      <c r="AM691" t="str" cm="1">
        <f t="array" ref="AM691">_xlfn.IFS(
Table1[[#This Row],[MonthlyIncome]]&lt;3000,"Under 3K",
Table1[[#This Row],[MonthlyIncome]]&lt;6000,"3K-6K",
Table1[[#This Row],[MonthlyIncome]]&lt;9000,"6K-9K",
Table1[[#This Row],[MonthlyIncome]]&lt;12000,"9K-12K",
TRUE,"12K+")</f>
        <v>Under 3K</v>
      </c>
      <c r="AN691">
        <f>1</f>
        <v>1</v>
      </c>
      <c r="AO691" t="str" cm="1">
        <f t="array" ref="AO691">_xlfn.IFS(
Table1[[#This Row],[YearsAtCompany]]&lt;=2,"0-2 Years",
Table1[[#This Row],[YearsAtCompany]]&lt;=5,"3-5 Years",
Table1[[#This Row],[YearsAtCompany]]&lt;=10,"6-10 Years",
TRUE,"10+ Years")</f>
        <v>0-2 Years</v>
      </c>
    </row>
    <row r="692" spans="1:41"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tr">
        <f t="shared" si="20"/>
        <v>Healthcare</v>
      </c>
      <c r="AK692">
        <f t="shared" si="21"/>
        <v>0</v>
      </c>
      <c r="AL692">
        <f>IF(Table1[[#This Row],[Attrition]]="Yes", Table1[[#This Row],[MonthlyIncome]]*12*1.5, 0)</f>
        <v>0</v>
      </c>
      <c r="AM692" t="str" cm="1">
        <f t="array" ref="AM692">_xlfn.IFS(
Table1[[#This Row],[MonthlyIncome]]&lt;3000,"Under 3K",
Table1[[#This Row],[MonthlyIncome]]&lt;6000,"3K-6K",
Table1[[#This Row],[MonthlyIncome]]&lt;9000,"6K-9K",
Table1[[#This Row],[MonthlyIncome]]&lt;12000,"9K-12K",
TRUE,"12K+")</f>
        <v>3K-6K</v>
      </c>
      <c r="AN692">
        <f>1</f>
        <v>1</v>
      </c>
      <c r="AO692" t="str" cm="1">
        <f t="array" ref="AO692">_xlfn.IFS(
Table1[[#This Row],[YearsAtCompany]]&lt;=2,"0-2 Years",
Table1[[#This Row],[YearsAtCompany]]&lt;=5,"3-5 Years",
Table1[[#This Row],[YearsAtCompany]]&lt;=10,"6-10 Years",
TRUE,"10+ Years")</f>
        <v>6-10 Years</v>
      </c>
    </row>
    <row r="693" spans="1:41"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tr">
        <f t="shared" si="20"/>
        <v>Research</v>
      </c>
      <c r="AK693">
        <f t="shared" si="21"/>
        <v>0</v>
      </c>
      <c r="AL693">
        <f>IF(Table1[[#This Row],[Attrition]]="Yes", Table1[[#This Row],[MonthlyIncome]]*12*1.5, 0)</f>
        <v>0</v>
      </c>
      <c r="AM693" t="str" cm="1">
        <f t="array" ref="AM693">_xlfn.IFS(
Table1[[#This Row],[MonthlyIncome]]&lt;3000,"Under 3K",
Table1[[#This Row],[MonthlyIncome]]&lt;6000,"3K-6K",
Table1[[#This Row],[MonthlyIncome]]&lt;9000,"6K-9K",
Table1[[#This Row],[MonthlyIncome]]&lt;12000,"9K-12K",
TRUE,"12K+")</f>
        <v>3K-6K</v>
      </c>
      <c r="AN693">
        <f>1</f>
        <v>1</v>
      </c>
      <c r="AO693" t="str" cm="1">
        <f t="array" ref="AO693">_xlfn.IFS(
Table1[[#This Row],[YearsAtCompany]]&lt;=2,"0-2 Years",
Table1[[#This Row],[YearsAtCompany]]&lt;=5,"3-5 Years",
Table1[[#This Row],[YearsAtCompany]]&lt;=10,"6-10 Years",
TRUE,"10+ Years")</f>
        <v>0-2 Years</v>
      </c>
    </row>
    <row r="694" spans="1:41"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tr">
        <f t="shared" si="20"/>
        <v>Operations</v>
      </c>
      <c r="AK694">
        <f t="shared" si="21"/>
        <v>0</v>
      </c>
      <c r="AL694">
        <f>IF(Table1[[#This Row],[Attrition]]="Yes", Table1[[#This Row],[MonthlyIncome]]*12*1.5, 0)</f>
        <v>0</v>
      </c>
      <c r="AM694" t="str" cm="1">
        <f t="array" ref="AM694">_xlfn.IFS(
Table1[[#This Row],[MonthlyIncome]]&lt;3000,"Under 3K",
Table1[[#This Row],[MonthlyIncome]]&lt;6000,"3K-6K",
Table1[[#This Row],[MonthlyIncome]]&lt;9000,"6K-9K",
Table1[[#This Row],[MonthlyIncome]]&lt;12000,"9K-12K",
TRUE,"12K+")</f>
        <v>6K-9K</v>
      </c>
      <c r="AN694">
        <f>1</f>
        <v>1</v>
      </c>
      <c r="AO694" t="str" cm="1">
        <f t="array" ref="AO694">_xlfn.IFS(
Table1[[#This Row],[YearsAtCompany]]&lt;=2,"0-2 Years",
Table1[[#This Row],[YearsAtCompany]]&lt;=5,"3-5 Years",
Table1[[#This Row],[YearsAtCompany]]&lt;=10,"6-10 Years",
TRUE,"10+ Years")</f>
        <v>6-10 Years</v>
      </c>
    </row>
    <row r="695" spans="1:41"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tr">
        <f t="shared" si="20"/>
        <v>Sales</v>
      </c>
      <c r="AK695">
        <f t="shared" si="21"/>
        <v>1</v>
      </c>
      <c r="AL695">
        <f>IF(Table1[[#This Row],[Attrition]]="Yes", Table1[[#This Row],[MonthlyIncome]]*12*1.5, 0)</f>
        <v>185850</v>
      </c>
      <c r="AM695" t="str" cm="1">
        <f t="array" ref="AM695">_xlfn.IFS(
Table1[[#This Row],[MonthlyIncome]]&lt;3000,"Under 3K",
Table1[[#This Row],[MonthlyIncome]]&lt;6000,"3K-6K",
Table1[[#This Row],[MonthlyIncome]]&lt;9000,"6K-9K",
Table1[[#This Row],[MonthlyIncome]]&lt;12000,"9K-12K",
TRUE,"12K+")</f>
        <v>9K-12K</v>
      </c>
      <c r="AN695">
        <f>1</f>
        <v>1</v>
      </c>
      <c r="AO695" t="str" cm="1">
        <f t="array" ref="AO695">_xlfn.IFS(
Table1[[#This Row],[YearsAtCompany]]&lt;=2,"0-2 Years",
Table1[[#This Row],[YearsAtCompany]]&lt;=5,"3-5 Years",
Table1[[#This Row],[YearsAtCompany]]&lt;=10,"6-10 Years",
TRUE,"10+ Years")</f>
        <v>10+ Years</v>
      </c>
    </row>
    <row r="696" spans="1:41"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tr">
        <f t="shared" si="20"/>
        <v>Healthcare</v>
      </c>
      <c r="AK696">
        <f t="shared" si="21"/>
        <v>0</v>
      </c>
      <c r="AL696">
        <f>IF(Table1[[#This Row],[Attrition]]="Yes", Table1[[#This Row],[MonthlyIncome]]*12*1.5, 0)</f>
        <v>0</v>
      </c>
      <c r="AM696" t="str" cm="1">
        <f t="array" ref="AM696">_xlfn.IFS(
Table1[[#This Row],[MonthlyIncome]]&lt;3000,"Under 3K",
Table1[[#This Row],[MonthlyIncome]]&lt;6000,"3K-6K",
Table1[[#This Row],[MonthlyIncome]]&lt;9000,"6K-9K",
Table1[[#This Row],[MonthlyIncome]]&lt;12000,"9K-12K",
TRUE,"12K+")</f>
        <v>6K-9K</v>
      </c>
      <c r="AN696">
        <f>1</f>
        <v>1</v>
      </c>
      <c r="AO696" t="str" cm="1">
        <f t="array" ref="AO696">_xlfn.IFS(
Table1[[#This Row],[YearsAtCompany]]&lt;=2,"0-2 Years",
Table1[[#This Row],[YearsAtCompany]]&lt;=5,"3-5 Years",
Table1[[#This Row],[YearsAtCompany]]&lt;=10,"6-10 Years",
TRUE,"10+ Years")</f>
        <v>3-5 Years</v>
      </c>
    </row>
    <row r="697" spans="1:41"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tr">
        <f t="shared" si="20"/>
        <v>Sales</v>
      </c>
      <c r="AK697">
        <f t="shared" si="21"/>
        <v>1</v>
      </c>
      <c r="AL697">
        <f>IF(Table1[[#This Row],[Attrition]]="Yes", Table1[[#This Row],[MonthlyIncome]]*12*1.5, 0)</f>
        <v>190962</v>
      </c>
      <c r="AM697" t="str" cm="1">
        <f t="array" ref="AM697">_xlfn.IFS(
Table1[[#This Row],[MonthlyIncome]]&lt;3000,"Under 3K",
Table1[[#This Row],[MonthlyIncome]]&lt;6000,"3K-6K",
Table1[[#This Row],[MonthlyIncome]]&lt;9000,"6K-9K",
Table1[[#This Row],[MonthlyIncome]]&lt;12000,"9K-12K",
TRUE,"12K+")</f>
        <v>9K-12K</v>
      </c>
      <c r="AN697">
        <f>1</f>
        <v>1</v>
      </c>
      <c r="AO697" t="str" cm="1">
        <f t="array" ref="AO697">_xlfn.IFS(
Table1[[#This Row],[YearsAtCompany]]&lt;=2,"0-2 Years",
Table1[[#This Row],[YearsAtCompany]]&lt;=5,"3-5 Years",
Table1[[#This Row],[YearsAtCompany]]&lt;=10,"6-10 Years",
TRUE,"10+ Years")</f>
        <v>10+ Years</v>
      </c>
    </row>
    <row r="698" spans="1:41"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tr">
        <f t="shared" si="20"/>
        <v>Research</v>
      </c>
      <c r="AK698">
        <f t="shared" si="21"/>
        <v>0</v>
      </c>
      <c r="AL698">
        <f>IF(Table1[[#This Row],[Attrition]]="Yes", Table1[[#This Row],[MonthlyIncome]]*12*1.5, 0)</f>
        <v>0</v>
      </c>
      <c r="AM698" t="str" cm="1">
        <f t="array" ref="AM698">_xlfn.IFS(
Table1[[#This Row],[MonthlyIncome]]&lt;3000,"Under 3K",
Table1[[#This Row],[MonthlyIncome]]&lt;6000,"3K-6K",
Table1[[#This Row],[MonthlyIncome]]&lt;9000,"6K-9K",
Table1[[#This Row],[MonthlyIncome]]&lt;12000,"9K-12K",
TRUE,"12K+")</f>
        <v>3K-6K</v>
      </c>
      <c r="AN698">
        <f>1</f>
        <v>1</v>
      </c>
      <c r="AO698" t="str" cm="1">
        <f t="array" ref="AO698">_xlfn.IFS(
Table1[[#This Row],[YearsAtCompany]]&lt;=2,"0-2 Years",
Table1[[#This Row],[YearsAtCompany]]&lt;=5,"3-5 Years",
Table1[[#This Row],[YearsAtCompany]]&lt;=10,"6-10 Years",
TRUE,"10+ Years")</f>
        <v>6-10 Years</v>
      </c>
    </row>
    <row r="699" spans="1:41"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tr">
        <f t="shared" si="20"/>
        <v>Sales</v>
      </c>
      <c r="AK699">
        <f t="shared" si="21"/>
        <v>0</v>
      </c>
      <c r="AL699">
        <f>IF(Table1[[#This Row],[Attrition]]="Yes", Table1[[#This Row],[MonthlyIncome]]*12*1.5, 0)</f>
        <v>0</v>
      </c>
      <c r="AM699" t="str" cm="1">
        <f t="array" ref="AM699">_xlfn.IFS(
Table1[[#This Row],[MonthlyIncome]]&lt;3000,"Under 3K",
Table1[[#This Row],[MonthlyIncome]]&lt;6000,"3K-6K",
Table1[[#This Row],[MonthlyIncome]]&lt;9000,"6K-9K",
Table1[[#This Row],[MonthlyIncome]]&lt;12000,"9K-12K",
TRUE,"12K+")</f>
        <v>Under 3K</v>
      </c>
      <c r="AN699">
        <f>1</f>
        <v>1</v>
      </c>
      <c r="AO699" t="str" cm="1">
        <f t="array" ref="AO699">_xlfn.IFS(
Table1[[#This Row],[YearsAtCompany]]&lt;=2,"0-2 Years",
Table1[[#This Row],[YearsAtCompany]]&lt;=5,"3-5 Years",
Table1[[#This Row],[YearsAtCompany]]&lt;=10,"6-10 Years",
TRUE,"10+ Years")</f>
        <v>3-5 Years</v>
      </c>
    </row>
    <row r="700" spans="1:41"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tr">
        <f t="shared" si="20"/>
        <v>Sales</v>
      </c>
      <c r="AK700">
        <f t="shared" si="21"/>
        <v>0</v>
      </c>
      <c r="AL700">
        <f>IF(Table1[[#This Row],[Attrition]]="Yes", Table1[[#This Row],[MonthlyIncome]]*12*1.5, 0)</f>
        <v>0</v>
      </c>
      <c r="AM700" t="str" cm="1">
        <f t="array" ref="AM700">_xlfn.IFS(
Table1[[#This Row],[MonthlyIncome]]&lt;3000,"Under 3K",
Table1[[#This Row],[MonthlyIncome]]&lt;6000,"3K-6K",
Table1[[#This Row],[MonthlyIncome]]&lt;9000,"6K-9K",
Table1[[#This Row],[MonthlyIncome]]&lt;12000,"9K-12K",
TRUE,"12K+")</f>
        <v>3K-6K</v>
      </c>
      <c r="AN700">
        <f>1</f>
        <v>1</v>
      </c>
      <c r="AO700" t="str" cm="1">
        <f t="array" ref="AO700">_xlfn.IFS(
Table1[[#This Row],[YearsAtCompany]]&lt;=2,"0-2 Years",
Table1[[#This Row],[YearsAtCompany]]&lt;=5,"3-5 Years",
Table1[[#This Row],[YearsAtCompany]]&lt;=10,"6-10 Years",
TRUE,"10+ Years")</f>
        <v>3-5 Years</v>
      </c>
    </row>
    <row r="701" spans="1:41"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tr">
        <f t="shared" si="20"/>
        <v>Management</v>
      </c>
      <c r="AK701">
        <f t="shared" si="21"/>
        <v>0</v>
      </c>
      <c r="AL701">
        <f>IF(Table1[[#This Row],[Attrition]]="Yes", Table1[[#This Row],[MonthlyIncome]]*12*1.5, 0)</f>
        <v>0</v>
      </c>
      <c r="AM701" t="str" cm="1">
        <f t="array" ref="AM701">_xlfn.IFS(
Table1[[#This Row],[MonthlyIncome]]&lt;3000,"Under 3K",
Table1[[#This Row],[MonthlyIncome]]&lt;6000,"3K-6K",
Table1[[#This Row],[MonthlyIncome]]&lt;9000,"6K-9K",
Table1[[#This Row],[MonthlyIncome]]&lt;12000,"9K-12K",
TRUE,"12K+")</f>
        <v>12K+</v>
      </c>
      <c r="AN701">
        <f>1</f>
        <v>1</v>
      </c>
      <c r="AO701" t="str" cm="1">
        <f t="array" ref="AO701">_xlfn.IFS(
Table1[[#This Row],[YearsAtCompany]]&lt;=2,"0-2 Years",
Table1[[#This Row],[YearsAtCompany]]&lt;=5,"3-5 Years",
Table1[[#This Row],[YearsAtCompany]]&lt;=10,"6-10 Years",
TRUE,"10+ Years")</f>
        <v>6-10 Years</v>
      </c>
    </row>
    <row r="702" spans="1:41"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tr">
        <f t="shared" si="20"/>
        <v>Research</v>
      </c>
      <c r="AK702">
        <f t="shared" si="21"/>
        <v>1</v>
      </c>
      <c r="AL702">
        <f>IF(Table1[[#This Row],[Attrition]]="Yes", Table1[[#This Row],[MonthlyIncome]]*12*1.5, 0)</f>
        <v>44622</v>
      </c>
      <c r="AM702" t="str" cm="1">
        <f t="array" ref="AM702">_xlfn.IFS(
Table1[[#This Row],[MonthlyIncome]]&lt;3000,"Under 3K",
Table1[[#This Row],[MonthlyIncome]]&lt;6000,"3K-6K",
Table1[[#This Row],[MonthlyIncome]]&lt;9000,"6K-9K",
Table1[[#This Row],[MonthlyIncome]]&lt;12000,"9K-12K",
TRUE,"12K+")</f>
        <v>Under 3K</v>
      </c>
      <c r="AN702">
        <f>1</f>
        <v>1</v>
      </c>
      <c r="AO702" t="str" cm="1">
        <f t="array" ref="AO702">_xlfn.IFS(
Table1[[#This Row],[YearsAtCompany]]&lt;=2,"0-2 Years",
Table1[[#This Row],[YearsAtCompany]]&lt;=5,"3-5 Years",
Table1[[#This Row],[YearsAtCompany]]&lt;=10,"6-10 Years",
TRUE,"10+ Years")</f>
        <v>0-2 Years</v>
      </c>
    </row>
    <row r="703" spans="1:41"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tr">
        <f t="shared" si="20"/>
        <v>Management</v>
      </c>
      <c r="AK703">
        <f t="shared" si="21"/>
        <v>0</v>
      </c>
      <c r="AL703">
        <f>IF(Table1[[#This Row],[Attrition]]="Yes", Table1[[#This Row],[MonthlyIncome]]*12*1.5, 0)</f>
        <v>0</v>
      </c>
      <c r="AM703" t="str" cm="1">
        <f t="array" ref="AM703">_xlfn.IFS(
Table1[[#This Row],[MonthlyIncome]]&lt;3000,"Under 3K",
Table1[[#This Row],[MonthlyIncome]]&lt;6000,"3K-6K",
Table1[[#This Row],[MonthlyIncome]]&lt;9000,"6K-9K",
Table1[[#This Row],[MonthlyIncome]]&lt;12000,"9K-12K",
TRUE,"12K+")</f>
        <v>12K+</v>
      </c>
      <c r="AN703">
        <f>1</f>
        <v>1</v>
      </c>
      <c r="AO703" t="str" cm="1">
        <f t="array" ref="AO703">_xlfn.IFS(
Table1[[#This Row],[YearsAtCompany]]&lt;=2,"0-2 Years",
Table1[[#This Row],[YearsAtCompany]]&lt;=5,"3-5 Years",
Table1[[#This Row],[YearsAtCompany]]&lt;=10,"6-10 Years",
TRUE,"10+ Years")</f>
        <v>10+ Years</v>
      </c>
    </row>
    <row r="704" spans="1:41"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tr">
        <f t="shared" si="20"/>
        <v>Sales</v>
      </c>
      <c r="AK704">
        <f t="shared" si="21"/>
        <v>0</v>
      </c>
      <c r="AL704">
        <f>IF(Table1[[#This Row],[Attrition]]="Yes", Table1[[#This Row],[MonthlyIncome]]*12*1.5, 0)</f>
        <v>0</v>
      </c>
      <c r="AM704" t="str" cm="1">
        <f t="array" ref="AM704">_xlfn.IFS(
Table1[[#This Row],[MonthlyIncome]]&lt;3000,"Under 3K",
Table1[[#This Row],[MonthlyIncome]]&lt;6000,"3K-6K",
Table1[[#This Row],[MonthlyIncome]]&lt;9000,"6K-9K",
Table1[[#This Row],[MonthlyIncome]]&lt;12000,"9K-12K",
TRUE,"12K+")</f>
        <v>6K-9K</v>
      </c>
      <c r="AN704">
        <f>1</f>
        <v>1</v>
      </c>
      <c r="AO704" t="str" cm="1">
        <f t="array" ref="AO704">_xlfn.IFS(
Table1[[#This Row],[YearsAtCompany]]&lt;=2,"0-2 Years",
Table1[[#This Row],[YearsAtCompany]]&lt;=5,"3-5 Years",
Table1[[#This Row],[YearsAtCompany]]&lt;=10,"6-10 Years",
TRUE,"10+ Years")</f>
        <v>6-10 Years</v>
      </c>
    </row>
    <row r="705" spans="1:41"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tr">
        <f t="shared" si="20"/>
        <v>Sales</v>
      </c>
      <c r="AK705">
        <f t="shared" si="21"/>
        <v>0</v>
      </c>
      <c r="AL705">
        <f>IF(Table1[[#This Row],[Attrition]]="Yes", Table1[[#This Row],[MonthlyIncome]]*12*1.5, 0)</f>
        <v>0</v>
      </c>
      <c r="AM705" t="str" cm="1">
        <f t="array" ref="AM705">_xlfn.IFS(
Table1[[#This Row],[MonthlyIncome]]&lt;3000,"Under 3K",
Table1[[#This Row],[MonthlyIncome]]&lt;6000,"3K-6K",
Table1[[#This Row],[MonthlyIncome]]&lt;9000,"6K-9K",
Table1[[#This Row],[MonthlyIncome]]&lt;12000,"9K-12K",
TRUE,"12K+")</f>
        <v>3K-6K</v>
      </c>
      <c r="AN705">
        <f>1</f>
        <v>1</v>
      </c>
      <c r="AO705" t="str" cm="1">
        <f t="array" ref="AO705">_xlfn.IFS(
Table1[[#This Row],[YearsAtCompany]]&lt;=2,"0-2 Years",
Table1[[#This Row],[YearsAtCompany]]&lt;=5,"3-5 Years",
Table1[[#This Row],[YearsAtCompany]]&lt;=10,"6-10 Years",
TRUE,"10+ Years")</f>
        <v>3-5 Years</v>
      </c>
    </row>
    <row r="706" spans="1:41"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tr">
        <f t="shared" si="20"/>
        <v>Sales</v>
      </c>
      <c r="AK706">
        <f t="shared" si="21"/>
        <v>0</v>
      </c>
      <c r="AL706">
        <f>IF(Table1[[#This Row],[Attrition]]="Yes", Table1[[#This Row],[MonthlyIncome]]*12*1.5, 0)</f>
        <v>0</v>
      </c>
      <c r="AM706" t="str" cm="1">
        <f t="array" ref="AM706">_xlfn.IFS(
Table1[[#This Row],[MonthlyIncome]]&lt;3000,"Under 3K",
Table1[[#This Row],[MonthlyIncome]]&lt;6000,"3K-6K",
Table1[[#This Row],[MonthlyIncome]]&lt;9000,"6K-9K",
Table1[[#This Row],[MonthlyIncome]]&lt;12000,"9K-12K",
TRUE,"12K+")</f>
        <v>6K-9K</v>
      </c>
      <c r="AN706">
        <f>1</f>
        <v>1</v>
      </c>
      <c r="AO706" t="str" cm="1">
        <f t="array" ref="AO706">_xlfn.IFS(
Table1[[#This Row],[YearsAtCompany]]&lt;=2,"0-2 Years",
Table1[[#This Row],[YearsAtCompany]]&lt;=5,"3-5 Years",
Table1[[#This Row],[YearsAtCompany]]&lt;=10,"6-10 Years",
TRUE,"10+ Years")</f>
        <v>6-10 Years</v>
      </c>
    </row>
    <row r="707" spans="1:41"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tr">
        <f t="shared" ref="AJ707:AJ770" si="22">_xlfn.XLOOKUP(P707, $AP$2:$AP$10,$AQ$2:$AQ$10)</f>
        <v>Sales</v>
      </c>
      <c r="AK707">
        <f t="shared" ref="AK707:AK770" si="23">IF(B707 ="Yes",1,0)</f>
        <v>0</v>
      </c>
      <c r="AL707">
        <f>IF(Table1[[#This Row],[Attrition]]="Yes", Table1[[#This Row],[MonthlyIncome]]*12*1.5, 0)</f>
        <v>0</v>
      </c>
      <c r="AM707" t="str" cm="1">
        <f t="array" ref="AM707">_xlfn.IFS(
Table1[[#This Row],[MonthlyIncome]]&lt;3000,"Under 3K",
Table1[[#This Row],[MonthlyIncome]]&lt;6000,"3K-6K",
Table1[[#This Row],[MonthlyIncome]]&lt;9000,"6K-9K",
Table1[[#This Row],[MonthlyIncome]]&lt;12000,"9K-12K",
TRUE,"12K+")</f>
        <v>6K-9K</v>
      </c>
      <c r="AN707">
        <f>1</f>
        <v>1</v>
      </c>
      <c r="AO707" t="str" cm="1">
        <f t="array" ref="AO707">_xlfn.IFS(
Table1[[#This Row],[YearsAtCompany]]&lt;=2,"0-2 Years",
Table1[[#This Row],[YearsAtCompany]]&lt;=5,"3-5 Years",
Table1[[#This Row],[YearsAtCompany]]&lt;=10,"6-10 Years",
TRUE,"10+ Years")</f>
        <v>6-10 Years</v>
      </c>
    </row>
    <row r="708" spans="1:41"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tr">
        <f t="shared" si="22"/>
        <v>Sales</v>
      </c>
      <c r="AK708">
        <f t="shared" si="23"/>
        <v>1</v>
      </c>
      <c r="AL708">
        <f>IF(Table1[[#This Row],[Attrition]]="Yes", Table1[[#This Row],[MonthlyIncome]]*12*1.5, 0)</f>
        <v>237492</v>
      </c>
      <c r="AM708" t="str" cm="1">
        <f t="array" ref="AM708">_xlfn.IFS(
Table1[[#This Row],[MonthlyIncome]]&lt;3000,"Under 3K",
Table1[[#This Row],[MonthlyIncome]]&lt;6000,"3K-6K",
Table1[[#This Row],[MonthlyIncome]]&lt;9000,"6K-9K",
Table1[[#This Row],[MonthlyIncome]]&lt;12000,"9K-12K",
TRUE,"12K+")</f>
        <v>12K+</v>
      </c>
      <c r="AN708">
        <f>1</f>
        <v>1</v>
      </c>
      <c r="AO708" t="str" cm="1">
        <f t="array" ref="AO708">_xlfn.IFS(
Table1[[#This Row],[YearsAtCompany]]&lt;=2,"0-2 Years",
Table1[[#This Row],[YearsAtCompany]]&lt;=5,"3-5 Years",
Table1[[#This Row],[YearsAtCompany]]&lt;=10,"6-10 Years",
TRUE,"10+ Years")</f>
        <v>0-2 Years</v>
      </c>
    </row>
    <row r="709" spans="1:41"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tr">
        <f t="shared" si="22"/>
        <v>Operations</v>
      </c>
      <c r="AK709">
        <f t="shared" si="23"/>
        <v>0</v>
      </c>
      <c r="AL709">
        <f>IF(Table1[[#This Row],[Attrition]]="Yes", Table1[[#This Row],[MonthlyIncome]]*12*1.5, 0)</f>
        <v>0</v>
      </c>
      <c r="AM709" t="str" cm="1">
        <f t="array" ref="AM709">_xlfn.IFS(
Table1[[#This Row],[MonthlyIncome]]&lt;3000,"Under 3K",
Table1[[#This Row],[MonthlyIncome]]&lt;6000,"3K-6K",
Table1[[#This Row],[MonthlyIncome]]&lt;9000,"6K-9K",
Table1[[#This Row],[MonthlyIncome]]&lt;12000,"9K-12K",
TRUE,"12K+")</f>
        <v>3K-6K</v>
      </c>
      <c r="AN709">
        <f>1</f>
        <v>1</v>
      </c>
      <c r="AO709" t="str" cm="1">
        <f t="array" ref="AO709">_xlfn.IFS(
Table1[[#This Row],[YearsAtCompany]]&lt;=2,"0-2 Years",
Table1[[#This Row],[YearsAtCompany]]&lt;=5,"3-5 Years",
Table1[[#This Row],[YearsAtCompany]]&lt;=10,"6-10 Years",
TRUE,"10+ Years")</f>
        <v>10+ Years</v>
      </c>
    </row>
    <row r="710" spans="1:41"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tr">
        <f t="shared" si="22"/>
        <v>Sales</v>
      </c>
      <c r="AK710">
        <f t="shared" si="23"/>
        <v>0</v>
      </c>
      <c r="AL710">
        <f>IF(Table1[[#This Row],[Attrition]]="Yes", Table1[[#This Row],[MonthlyIncome]]*12*1.5, 0)</f>
        <v>0</v>
      </c>
      <c r="AM710" t="str" cm="1">
        <f t="array" ref="AM710">_xlfn.IFS(
Table1[[#This Row],[MonthlyIncome]]&lt;3000,"Under 3K",
Table1[[#This Row],[MonthlyIncome]]&lt;6000,"3K-6K",
Table1[[#This Row],[MonthlyIncome]]&lt;9000,"6K-9K",
Table1[[#This Row],[MonthlyIncome]]&lt;12000,"9K-12K",
TRUE,"12K+")</f>
        <v>3K-6K</v>
      </c>
      <c r="AN710">
        <f>1</f>
        <v>1</v>
      </c>
      <c r="AO710" t="str" cm="1">
        <f t="array" ref="AO710">_xlfn.IFS(
Table1[[#This Row],[YearsAtCompany]]&lt;=2,"0-2 Years",
Table1[[#This Row],[YearsAtCompany]]&lt;=5,"3-5 Years",
Table1[[#This Row],[YearsAtCompany]]&lt;=10,"6-10 Years",
TRUE,"10+ Years")</f>
        <v>6-10 Years</v>
      </c>
    </row>
    <row r="711" spans="1:41"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tr">
        <f t="shared" si="22"/>
        <v>Research</v>
      </c>
      <c r="AK711">
        <f t="shared" si="23"/>
        <v>1</v>
      </c>
      <c r="AL711">
        <f>IF(Table1[[#This Row],[Attrition]]="Yes", Table1[[#This Row],[MonthlyIncome]]*12*1.5, 0)</f>
        <v>41778</v>
      </c>
      <c r="AM711" t="str" cm="1">
        <f t="array" ref="AM711">_xlfn.IFS(
Table1[[#This Row],[MonthlyIncome]]&lt;3000,"Under 3K",
Table1[[#This Row],[MonthlyIncome]]&lt;6000,"3K-6K",
Table1[[#This Row],[MonthlyIncome]]&lt;9000,"6K-9K",
Table1[[#This Row],[MonthlyIncome]]&lt;12000,"9K-12K",
TRUE,"12K+")</f>
        <v>Under 3K</v>
      </c>
      <c r="AN711">
        <f>1</f>
        <v>1</v>
      </c>
      <c r="AO711" t="str" cm="1">
        <f t="array" ref="AO711">_xlfn.IFS(
Table1[[#This Row],[YearsAtCompany]]&lt;=2,"0-2 Years",
Table1[[#This Row],[YearsAtCompany]]&lt;=5,"3-5 Years",
Table1[[#This Row],[YearsAtCompany]]&lt;=10,"6-10 Years",
TRUE,"10+ Years")</f>
        <v>3-5 Years</v>
      </c>
    </row>
    <row r="712" spans="1:41"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tr">
        <f t="shared" si="22"/>
        <v>Management</v>
      </c>
      <c r="AK712">
        <f t="shared" si="23"/>
        <v>0</v>
      </c>
      <c r="AL712">
        <f>IF(Table1[[#This Row],[Attrition]]="Yes", Table1[[#This Row],[MonthlyIncome]]*12*1.5, 0)</f>
        <v>0</v>
      </c>
      <c r="AM712" t="str" cm="1">
        <f t="array" ref="AM712">_xlfn.IFS(
Table1[[#This Row],[MonthlyIncome]]&lt;3000,"Under 3K",
Table1[[#This Row],[MonthlyIncome]]&lt;6000,"3K-6K",
Table1[[#This Row],[MonthlyIncome]]&lt;9000,"6K-9K",
Table1[[#This Row],[MonthlyIncome]]&lt;12000,"9K-12K",
TRUE,"12K+")</f>
        <v>12K+</v>
      </c>
      <c r="AN712">
        <f>1</f>
        <v>1</v>
      </c>
      <c r="AO712" t="str" cm="1">
        <f t="array" ref="AO712">_xlfn.IFS(
Table1[[#This Row],[YearsAtCompany]]&lt;=2,"0-2 Years",
Table1[[#This Row],[YearsAtCompany]]&lt;=5,"3-5 Years",
Table1[[#This Row],[YearsAtCompany]]&lt;=10,"6-10 Years",
TRUE,"10+ Years")</f>
        <v>6-10 Years</v>
      </c>
    </row>
    <row r="713" spans="1:41"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tr">
        <f t="shared" si="22"/>
        <v>Research</v>
      </c>
      <c r="AK713">
        <f t="shared" si="23"/>
        <v>1</v>
      </c>
      <c r="AL713">
        <f>IF(Table1[[#This Row],[Attrition]]="Yes", Table1[[#This Row],[MonthlyIncome]]*12*1.5, 0)</f>
        <v>43272</v>
      </c>
      <c r="AM713" t="str" cm="1">
        <f t="array" ref="AM713">_xlfn.IFS(
Table1[[#This Row],[MonthlyIncome]]&lt;3000,"Under 3K",
Table1[[#This Row],[MonthlyIncome]]&lt;6000,"3K-6K",
Table1[[#This Row],[MonthlyIncome]]&lt;9000,"6K-9K",
Table1[[#This Row],[MonthlyIncome]]&lt;12000,"9K-12K",
TRUE,"12K+")</f>
        <v>Under 3K</v>
      </c>
      <c r="AN713">
        <f>1</f>
        <v>1</v>
      </c>
      <c r="AO713" t="str" cm="1">
        <f t="array" ref="AO713">_xlfn.IFS(
Table1[[#This Row],[YearsAtCompany]]&lt;=2,"0-2 Years",
Table1[[#This Row],[YearsAtCompany]]&lt;=5,"3-5 Years",
Table1[[#This Row],[YearsAtCompany]]&lt;=10,"6-10 Years",
TRUE,"10+ Years")</f>
        <v>0-2 Years</v>
      </c>
    </row>
    <row r="714" spans="1:41"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tr">
        <f t="shared" si="22"/>
        <v>Research</v>
      </c>
      <c r="AK714">
        <f t="shared" si="23"/>
        <v>0</v>
      </c>
      <c r="AL714">
        <f>IF(Table1[[#This Row],[Attrition]]="Yes", Table1[[#This Row],[MonthlyIncome]]*12*1.5, 0)</f>
        <v>0</v>
      </c>
      <c r="AM714" t="str" cm="1">
        <f t="array" ref="AM714">_xlfn.IFS(
Table1[[#This Row],[MonthlyIncome]]&lt;3000,"Under 3K",
Table1[[#This Row],[MonthlyIncome]]&lt;6000,"3K-6K",
Table1[[#This Row],[MonthlyIncome]]&lt;9000,"6K-9K",
Table1[[#This Row],[MonthlyIncome]]&lt;12000,"9K-12K",
TRUE,"12K+")</f>
        <v>3K-6K</v>
      </c>
      <c r="AN714">
        <f>1</f>
        <v>1</v>
      </c>
      <c r="AO714" t="str" cm="1">
        <f t="array" ref="AO714">_xlfn.IFS(
Table1[[#This Row],[YearsAtCompany]]&lt;=2,"0-2 Years",
Table1[[#This Row],[YearsAtCompany]]&lt;=5,"3-5 Years",
Table1[[#This Row],[YearsAtCompany]]&lt;=10,"6-10 Years",
TRUE,"10+ Years")</f>
        <v>3-5 Years</v>
      </c>
    </row>
    <row r="715" spans="1:41"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tr">
        <f t="shared" si="22"/>
        <v>Research</v>
      </c>
      <c r="AK715">
        <f t="shared" si="23"/>
        <v>0</v>
      </c>
      <c r="AL715">
        <f>IF(Table1[[#This Row],[Attrition]]="Yes", Table1[[#This Row],[MonthlyIncome]]*12*1.5, 0)</f>
        <v>0</v>
      </c>
      <c r="AM715" t="str" cm="1">
        <f t="array" ref="AM715">_xlfn.IFS(
Table1[[#This Row],[MonthlyIncome]]&lt;3000,"Under 3K",
Table1[[#This Row],[MonthlyIncome]]&lt;6000,"3K-6K",
Table1[[#This Row],[MonthlyIncome]]&lt;9000,"6K-9K",
Table1[[#This Row],[MonthlyIncome]]&lt;12000,"9K-12K",
TRUE,"12K+")</f>
        <v>Under 3K</v>
      </c>
      <c r="AN715">
        <f>1</f>
        <v>1</v>
      </c>
      <c r="AO715" t="str" cm="1">
        <f t="array" ref="AO715">_xlfn.IFS(
Table1[[#This Row],[YearsAtCompany]]&lt;=2,"0-2 Years",
Table1[[#This Row],[YearsAtCompany]]&lt;=5,"3-5 Years",
Table1[[#This Row],[YearsAtCompany]]&lt;=10,"6-10 Years",
TRUE,"10+ Years")</f>
        <v>3-5 Years</v>
      </c>
    </row>
    <row r="716" spans="1:41"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tr">
        <f t="shared" si="22"/>
        <v>Research</v>
      </c>
      <c r="AK716">
        <f t="shared" si="23"/>
        <v>0</v>
      </c>
      <c r="AL716">
        <f>IF(Table1[[#This Row],[Attrition]]="Yes", Table1[[#This Row],[MonthlyIncome]]*12*1.5, 0)</f>
        <v>0</v>
      </c>
      <c r="AM716" t="str" cm="1">
        <f t="array" ref="AM716">_xlfn.IFS(
Table1[[#This Row],[MonthlyIncome]]&lt;3000,"Under 3K",
Table1[[#This Row],[MonthlyIncome]]&lt;6000,"3K-6K",
Table1[[#This Row],[MonthlyIncome]]&lt;9000,"6K-9K",
Table1[[#This Row],[MonthlyIncome]]&lt;12000,"9K-12K",
TRUE,"12K+")</f>
        <v>12K+</v>
      </c>
      <c r="AN716">
        <f>1</f>
        <v>1</v>
      </c>
      <c r="AO716" t="str" cm="1">
        <f t="array" ref="AO716">_xlfn.IFS(
Table1[[#This Row],[YearsAtCompany]]&lt;=2,"0-2 Years",
Table1[[#This Row],[YearsAtCompany]]&lt;=5,"3-5 Years",
Table1[[#This Row],[YearsAtCompany]]&lt;=10,"6-10 Years",
TRUE,"10+ Years")</f>
        <v>3-5 Years</v>
      </c>
    </row>
    <row r="717" spans="1:41"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tr">
        <f t="shared" si="22"/>
        <v>Healthcare</v>
      </c>
      <c r="AK717">
        <f t="shared" si="23"/>
        <v>0</v>
      </c>
      <c r="AL717">
        <f>IF(Table1[[#This Row],[Attrition]]="Yes", Table1[[#This Row],[MonthlyIncome]]*12*1.5, 0)</f>
        <v>0</v>
      </c>
      <c r="AM717" t="str" cm="1">
        <f t="array" ref="AM717">_xlfn.IFS(
Table1[[#This Row],[MonthlyIncome]]&lt;3000,"Under 3K",
Table1[[#This Row],[MonthlyIncome]]&lt;6000,"3K-6K",
Table1[[#This Row],[MonthlyIncome]]&lt;9000,"6K-9K",
Table1[[#This Row],[MonthlyIncome]]&lt;12000,"9K-12K",
TRUE,"12K+")</f>
        <v>3K-6K</v>
      </c>
      <c r="AN717">
        <f>1</f>
        <v>1</v>
      </c>
      <c r="AO717" t="str" cm="1">
        <f t="array" ref="AO717">_xlfn.IFS(
Table1[[#This Row],[YearsAtCompany]]&lt;=2,"0-2 Years",
Table1[[#This Row],[YearsAtCompany]]&lt;=5,"3-5 Years",
Table1[[#This Row],[YearsAtCompany]]&lt;=10,"6-10 Years",
TRUE,"10+ Years")</f>
        <v>6-10 Years</v>
      </c>
    </row>
    <row r="718" spans="1:41"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tr">
        <f t="shared" si="22"/>
        <v>Research</v>
      </c>
      <c r="AK718">
        <f t="shared" si="23"/>
        <v>0</v>
      </c>
      <c r="AL718">
        <f>IF(Table1[[#This Row],[Attrition]]="Yes", Table1[[#This Row],[MonthlyIncome]]*12*1.5, 0)</f>
        <v>0</v>
      </c>
      <c r="AM718" t="str" cm="1">
        <f t="array" ref="AM718">_xlfn.IFS(
Table1[[#This Row],[MonthlyIncome]]&lt;3000,"Under 3K",
Table1[[#This Row],[MonthlyIncome]]&lt;6000,"3K-6K",
Table1[[#This Row],[MonthlyIncome]]&lt;9000,"6K-9K",
Table1[[#This Row],[MonthlyIncome]]&lt;12000,"9K-12K",
TRUE,"12K+")</f>
        <v>12K+</v>
      </c>
      <c r="AN718">
        <f>1</f>
        <v>1</v>
      </c>
      <c r="AO718" t="str" cm="1">
        <f t="array" ref="AO718">_xlfn.IFS(
Table1[[#This Row],[YearsAtCompany]]&lt;=2,"0-2 Years",
Table1[[#This Row],[YearsAtCompany]]&lt;=5,"3-5 Years",
Table1[[#This Row],[YearsAtCompany]]&lt;=10,"6-10 Years",
TRUE,"10+ Years")</f>
        <v>10+ Years</v>
      </c>
    </row>
    <row r="719" spans="1:41"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tr">
        <f t="shared" si="22"/>
        <v>Research</v>
      </c>
      <c r="AK719">
        <f t="shared" si="23"/>
        <v>0</v>
      </c>
      <c r="AL719">
        <f>IF(Table1[[#This Row],[Attrition]]="Yes", Table1[[#This Row],[MonthlyIncome]]*12*1.5, 0)</f>
        <v>0</v>
      </c>
      <c r="AM719" t="str" cm="1">
        <f t="array" ref="AM719">_xlfn.IFS(
Table1[[#This Row],[MonthlyIncome]]&lt;3000,"Under 3K",
Table1[[#This Row],[MonthlyIncome]]&lt;6000,"3K-6K",
Table1[[#This Row],[MonthlyIncome]]&lt;9000,"6K-9K",
Table1[[#This Row],[MonthlyIncome]]&lt;12000,"9K-12K",
TRUE,"12K+")</f>
        <v>Under 3K</v>
      </c>
      <c r="AN719">
        <f>1</f>
        <v>1</v>
      </c>
      <c r="AO719" t="str" cm="1">
        <f t="array" ref="AO719">_xlfn.IFS(
Table1[[#This Row],[YearsAtCompany]]&lt;=2,"0-2 Years",
Table1[[#This Row],[YearsAtCompany]]&lt;=5,"3-5 Years",
Table1[[#This Row],[YearsAtCompany]]&lt;=10,"6-10 Years",
TRUE,"10+ Years")</f>
        <v>0-2 Years</v>
      </c>
    </row>
    <row r="720" spans="1:41"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tr">
        <f t="shared" si="22"/>
        <v>Research</v>
      </c>
      <c r="AK720">
        <f t="shared" si="23"/>
        <v>0</v>
      </c>
      <c r="AL720">
        <f>IF(Table1[[#This Row],[Attrition]]="Yes", Table1[[#This Row],[MonthlyIncome]]*12*1.5, 0)</f>
        <v>0</v>
      </c>
      <c r="AM720" t="str" cm="1">
        <f t="array" ref="AM720">_xlfn.IFS(
Table1[[#This Row],[MonthlyIncome]]&lt;3000,"Under 3K",
Table1[[#This Row],[MonthlyIncome]]&lt;6000,"3K-6K",
Table1[[#This Row],[MonthlyIncome]]&lt;9000,"6K-9K",
Table1[[#This Row],[MonthlyIncome]]&lt;12000,"9K-12K",
TRUE,"12K+")</f>
        <v>3K-6K</v>
      </c>
      <c r="AN720">
        <f>1</f>
        <v>1</v>
      </c>
      <c r="AO720" t="str" cm="1">
        <f t="array" ref="AO720">_xlfn.IFS(
Table1[[#This Row],[YearsAtCompany]]&lt;=2,"0-2 Years",
Table1[[#This Row],[YearsAtCompany]]&lt;=5,"3-5 Years",
Table1[[#This Row],[YearsAtCompany]]&lt;=10,"6-10 Years",
TRUE,"10+ Years")</f>
        <v>6-10 Years</v>
      </c>
    </row>
    <row r="721" spans="1:41"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tr">
        <f t="shared" si="22"/>
        <v>Sales</v>
      </c>
      <c r="AK721">
        <f t="shared" si="23"/>
        <v>0</v>
      </c>
      <c r="AL721">
        <f>IF(Table1[[#This Row],[Attrition]]="Yes", Table1[[#This Row],[MonthlyIncome]]*12*1.5, 0)</f>
        <v>0</v>
      </c>
      <c r="AM721" t="str" cm="1">
        <f t="array" ref="AM721">_xlfn.IFS(
Table1[[#This Row],[MonthlyIncome]]&lt;3000,"Under 3K",
Table1[[#This Row],[MonthlyIncome]]&lt;6000,"3K-6K",
Table1[[#This Row],[MonthlyIncome]]&lt;9000,"6K-9K",
Table1[[#This Row],[MonthlyIncome]]&lt;12000,"9K-12K",
TRUE,"12K+")</f>
        <v>3K-6K</v>
      </c>
      <c r="AN721">
        <f>1</f>
        <v>1</v>
      </c>
      <c r="AO721" t="str" cm="1">
        <f t="array" ref="AO721">_xlfn.IFS(
Table1[[#This Row],[YearsAtCompany]]&lt;=2,"0-2 Years",
Table1[[#This Row],[YearsAtCompany]]&lt;=5,"3-5 Years",
Table1[[#This Row],[YearsAtCompany]]&lt;=10,"6-10 Years",
TRUE,"10+ Years")</f>
        <v>6-10 Years</v>
      </c>
    </row>
    <row r="722" spans="1:41"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tr">
        <f t="shared" si="22"/>
        <v>Research</v>
      </c>
      <c r="AK722">
        <f t="shared" si="23"/>
        <v>1</v>
      </c>
      <c r="AL722">
        <f>IF(Table1[[#This Row],[Attrition]]="Yes", Table1[[#This Row],[MonthlyIncome]]*12*1.5, 0)</f>
        <v>38376</v>
      </c>
      <c r="AM722" t="str" cm="1">
        <f t="array" ref="AM722">_xlfn.IFS(
Table1[[#This Row],[MonthlyIncome]]&lt;3000,"Under 3K",
Table1[[#This Row],[MonthlyIncome]]&lt;6000,"3K-6K",
Table1[[#This Row],[MonthlyIncome]]&lt;9000,"6K-9K",
Table1[[#This Row],[MonthlyIncome]]&lt;12000,"9K-12K",
TRUE,"12K+")</f>
        <v>Under 3K</v>
      </c>
      <c r="AN722">
        <f>1</f>
        <v>1</v>
      </c>
      <c r="AO722" t="str" cm="1">
        <f t="array" ref="AO722">_xlfn.IFS(
Table1[[#This Row],[YearsAtCompany]]&lt;=2,"0-2 Years",
Table1[[#This Row],[YearsAtCompany]]&lt;=5,"3-5 Years",
Table1[[#This Row],[YearsAtCompany]]&lt;=10,"6-10 Years",
TRUE,"10+ Years")</f>
        <v>3-5 Years</v>
      </c>
    </row>
    <row r="723" spans="1:41"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tr">
        <f t="shared" si="22"/>
        <v>Operations</v>
      </c>
      <c r="AK723">
        <f t="shared" si="23"/>
        <v>0</v>
      </c>
      <c r="AL723">
        <f>IF(Table1[[#This Row],[Attrition]]="Yes", Table1[[#This Row],[MonthlyIncome]]*12*1.5, 0)</f>
        <v>0</v>
      </c>
      <c r="AM723" t="str" cm="1">
        <f t="array" ref="AM723">_xlfn.IFS(
Table1[[#This Row],[MonthlyIncome]]&lt;3000,"Under 3K",
Table1[[#This Row],[MonthlyIncome]]&lt;6000,"3K-6K",
Table1[[#This Row],[MonthlyIncome]]&lt;9000,"6K-9K",
Table1[[#This Row],[MonthlyIncome]]&lt;12000,"9K-12K",
TRUE,"12K+")</f>
        <v>12K+</v>
      </c>
      <c r="AN723">
        <f>1</f>
        <v>1</v>
      </c>
      <c r="AO723" t="str" cm="1">
        <f t="array" ref="AO723">_xlfn.IFS(
Table1[[#This Row],[YearsAtCompany]]&lt;=2,"0-2 Years",
Table1[[#This Row],[YearsAtCompany]]&lt;=5,"3-5 Years",
Table1[[#This Row],[YearsAtCompany]]&lt;=10,"6-10 Years",
TRUE,"10+ Years")</f>
        <v>10+ Years</v>
      </c>
    </row>
    <row r="724" spans="1:41"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tr">
        <f t="shared" si="22"/>
        <v>Research</v>
      </c>
      <c r="AK724">
        <f t="shared" si="23"/>
        <v>0</v>
      </c>
      <c r="AL724">
        <f>IF(Table1[[#This Row],[Attrition]]="Yes", Table1[[#This Row],[MonthlyIncome]]*12*1.5, 0)</f>
        <v>0</v>
      </c>
      <c r="AM724" t="str" cm="1">
        <f t="array" ref="AM724">_xlfn.IFS(
Table1[[#This Row],[MonthlyIncome]]&lt;3000,"Under 3K",
Table1[[#This Row],[MonthlyIncome]]&lt;6000,"3K-6K",
Table1[[#This Row],[MonthlyIncome]]&lt;9000,"6K-9K",
Table1[[#This Row],[MonthlyIncome]]&lt;12000,"9K-12K",
TRUE,"12K+")</f>
        <v>Under 3K</v>
      </c>
      <c r="AN724">
        <f>1</f>
        <v>1</v>
      </c>
      <c r="AO724" t="str" cm="1">
        <f t="array" ref="AO724">_xlfn.IFS(
Table1[[#This Row],[YearsAtCompany]]&lt;=2,"0-2 Years",
Table1[[#This Row],[YearsAtCompany]]&lt;=5,"3-5 Years",
Table1[[#This Row],[YearsAtCompany]]&lt;=10,"6-10 Years",
TRUE,"10+ Years")</f>
        <v>0-2 Years</v>
      </c>
    </row>
    <row r="725" spans="1:41"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tr">
        <f t="shared" si="22"/>
        <v>Operations</v>
      </c>
      <c r="AK725">
        <f t="shared" si="23"/>
        <v>0</v>
      </c>
      <c r="AL725">
        <f>IF(Table1[[#This Row],[Attrition]]="Yes", Table1[[#This Row],[MonthlyIncome]]*12*1.5, 0)</f>
        <v>0</v>
      </c>
      <c r="AM725" t="str" cm="1">
        <f t="array" ref="AM725">_xlfn.IFS(
Table1[[#This Row],[MonthlyIncome]]&lt;3000,"Under 3K",
Table1[[#This Row],[MonthlyIncome]]&lt;6000,"3K-6K",
Table1[[#This Row],[MonthlyIncome]]&lt;9000,"6K-9K",
Table1[[#This Row],[MonthlyIncome]]&lt;12000,"9K-12K",
TRUE,"12K+")</f>
        <v>9K-12K</v>
      </c>
      <c r="AN725">
        <f>1</f>
        <v>1</v>
      </c>
      <c r="AO725" t="str" cm="1">
        <f t="array" ref="AO725">_xlfn.IFS(
Table1[[#This Row],[YearsAtCompany]]&lt;=2,"0-2 Years",
Table1[[#This Row],[YearsAtCompany]]&lt;=5,"3-5 Years",
Table1[[#This Row],[YearsAtCompany]]&lt;=10,"6-10 Years",
TRUE,"10+ Years")</f>
        <v>6-10 Years</v>
      </c>
    </row>
    <row r="726" spans="1:41"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tr">
        <f t="shared" si="22"/>
        <v>Operations</v>
      </c>
      <c r="AK726">
        <f t="shared" si="23"/>
        <v>0</v>
      </c>
      <c r="AL726">
        <f>IF(Table1[[#This Row],[Attrition]]="Yes", Table1[[#This Row],[MonthlyIncome]]*12*1.5, 0)</f>
        <v>0</v>
      </c>
      <c r="AM726" t="str" cm="1">
        <f t="array" ref="AM726">_xlfn.IFS(
Table1[[#This Row],[MonthlyIncome]]&lt;3000,"Under 3K",
Table1[[#This Row],[MonthlyIncome]]&lt;6000,"3K-6K",
Table1[[#This Row],[MonthlyIncome]]&lt;9000,"6K-9K",
Table1[[#This Row],[MonthlyIncome]]&lt;12000,"9K-12K",
TRUE,"12K+")</f>
        <v>3K-6K</v>
      </c>
      <c r="AN726">
        <f>1</f>
        <v>1</v>
      </c>
      <c r="AO726" t="str" cm="1">
        <f t="array" ref="AO726">_xlfn.IFS(
Table1[[#This Row],[YearsAtCompany]]&lt;=2,"0-2 Years",
Table1[[#This Row],[YearsAtCompany]]&lt;=5,"3-5 Years",
Table1[[#This Row],[YearsAtCompany]]&lt;=10,"6-10 Years",
TRUE,"10+ Years")</f>
        <v>3-5 Years</v>
      </c>
    </row>
    <row r="727" spans="1:41"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tr">
        <f t="shared" si="22"/>
        <v>Research</v>
      </c>
      <c r="AK727">
        <f t="shared" si="23"/>
        <v>1</v>
      </c>
      <c r="AL727">
        <f>IF(Table1[[#This Row],[Attrition]]="Yes", Table1[[#This Row],[MonthlyIncome]]*12*1.5, 0)</f>
        <v>67374</v>
      </c>
      <c r="AM727" t="str" cm="1">
        <f t="array" ref="AM727">_xlfn.IFS(
Table1[[#This Row],[MonthlyIncome]]&lt;3000,"Under 3K",
Table1[[#This Row],[MonthlyIncome]]&lt;6000,"3K-6K",
Table1[[#This Row],[MonthlyIncome]]&lt;9000,"6K-9K",
Table1[[#This Row],[MonthlyIncome]]&lt;12000,"9K-12K",
TRUE,"12K+")</f>
        <v>3K-6K</v>
      </c>
      <c r="AN727">
        <f>1</f>
        <v>1</v>
      </c>
      <c r="AO727" t="str" cm="1">
        <f t="array" ref="AO727">_xlfn.IFS(
Table1[[#This Row],[YearsAtCompany]]&lt;=2,"0-2 Years",
Table1[[#This Row],[YearsAtCompany]]&lt;=5,"3-5 Years",
Table1[[#This Row],[YearsAtCompany]]&lt;=10,"6-10 Years",
TRUE,"10+ Years")</f>
        <v>3-5 Years</v>
      </c>
    </row>
    <row r="728" spans="1:41"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tr">
        <f t="shared" si="22"/>
        <v>Operations</v>
      </c>
      <c r="AK728">
        <f t="shared" si="23"/>
        <v>0</v>
      </c>
      <c r="AL728">
        <f>IF(Table1[[#This Row],[Attrition]]="Yes", Table1[[#This Row],[MonthlyIncome]]*12*1.5, 0)</f>
        <v>0</v>
      </c>
      <c r="AM728" t="str" cm="1">
        <f t="array" ref="AM728">_xlfn.IFS(
Table1[[#This Row],[MonthlyIncome]]&lt;3000,"Under 3K",
Table1[[#This Row],[MonthlyIncome]]&lt;6000,"3K-6K",
Table1[[#This Row],[MonthlyIncome]]&lt;9000,"6K-9K",
Table1[[#This Row],[MonthlyIncome]]&lt;12000,"9K-12K",
TRUE,"12K+")</f>
        <v>3K-6K</v>
      </c>
      <c r="AN728">
        <f>1</f>
        <v>1</v>
      </c>
      <c r="AO728" t="str" cm="1">
        <f t="array" ref="AO728">_xlfn.IFS(
Table1[[#This Row],[YearsAtCompany]]&lt;=2,"0-2 Years",
Table1[[#This Row],[YearsAtCompany]]&lt;=5,"3-5 Years",
Table1[[#This Row],[YearsAtCompany]]&lt;=10,"6-10 Years",
TRUE,"10+ Years")</f>
        <v>3-5 Years</v>
      </c>
    </row>
    <row r="729" spans="1:41"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tr">
        <f t="shared" si="22"/>
        <v>Research</v>
      </c>
      <c r="AK729">
        <f t="shared" si="23"/>
        <v>0</v>
      </c>
      <c r="AL729">
        <f>IF(Table1[[#This Row],[Attrition]]="Yes", Table1[[#This Row],[MonthlyIncome]]*12*1.5, 0)</f>
        <v>0</v>
      </c>
      <c r="AM729" t="str" cm="1">
        <f t="array" ref="AM729">_xlfn.IFS(
Table1[[#This Row],[MonthlyIncome]]&lt;3000,"Under 3K",
Table1[[#This Row],[MonthlyIncome]]&lt;6000,"3K-6K",
Table1[[#This Row],[MonthlyIncome]]&lt;9000,"6K-9K",
Table1[[#This Row],[MonthlyIncome]]&lt;12000,"9K-12K",
TRUE,"12K+")</f>
        <v>Under 3K</v>
      </c>
      <c r="AN729">
        <f>1</f>
        <v>1</v>
      </c>
      <c r="AO729" t="str" cm="1">
        <f t="array" ref="AO729">_xlfn.IFS(
Table1[[#This Row],[YearsAtCompany]]&lt;=2,"0-2 Years",
Table1[[#This Row],[YearsAtCompany]]&lt;=5,"3-5 Years",
Table1[[#This Row],[YearsAtCompany]]&lt;=10,"6-10 Years",
TRUE,"10+ Years")</f>
        <v>0-2 Years</v>
      </c>
    </row>
    <row r="730" spans="1:41"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tr">
        <f t="shared" si="22"/>
        <v>Operations</v>
      </c>
      <c r="AK730">
        <f t="shared" si="23"/>
        <v>0</v>
      </c>
      <c r="AL730">
        <f>IF(Table1[[#This Row],[Attrition]]="Yes", Table1[[#This Row],[MonthlyIncome]]*12*1.5, 0)</f>
        <v>0</v>
      </c>
      <c r="AM730" t="str" cm="1">
        <f t="array" ref="AM730">_xlfn.IFS(
Table1[[#This Row],[MonthlyIncome]]&lt;3000,"Under 3K",
Table1[[#This Row],[MonthlyIncome]]&lt;6000,"3K-6K",
Table1[[#This Row],[MonthlyIncome]]&lt;9000,"6K-9K",
Table1[[#This Row],[MonthlyIncome]]&lt;12000,"9K-12K",
TRUE,"12K+")</f>
        <v>9K-12K</v>
      </c>
      <c r="AN730">
        <f>1</f>
        <v>1</v>
      </c>
      <c r="AO730" t="str" cm="1">
        <f t="array" ref="AO730">_xlfn.IFS(
Table1[[#This Row],[YearsAtCompany]]&lt;=2,"0-2 Years",
Table1[[#This Row],[YearsAtCompany]]&lt;=5,"3-5 Years",
Table1[[#This Row],[YearsAtCompany]]&lt;=10,"6-10 Years",
TRUE,"10+ Years")</f>
        <v>6-10 Years</v>
      </c>
    </row>
    <row r="731" spans="1:41"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tr">
        <f t="shared" si="22"/>
        <v>Healthcare</v>
      </c>
      <c r="AK731">
        <f t="shared" si="23"/>
        <v>0</v>
      </c>
      <c r="AL731">
        <f>IF(Table1[[#This Row],[Attrition]]="Yes", Table1[[#This Row],[MonthlyIncome]]*12*1.5, 0)</f>
        <v>0</v>
      </c>
      <c r="AM731" t="str" cm="1">
        <f t="array" ref="AM731">_xlfn.IFS(
Table1[[#This Row],[MonthlyIncome]]&lt;3000,"Under 3K",
Table1[[#This Row],[MonthlyIncome]]&lt;6000,"3K-6K",
Table1[[#This Row],[MonthlyIncome]]&lt;9000,"6K-9K",
Table1[[#This Row],[MonthlyIncome]]&lt;12000,"9K-12K",
TRUE,"12K+")</f>
        <v>9K-12K</v>
      </c>
      <c r="AN731">
        <f>1</f>
        <v>1</v>
      </c>
      <c r="AO731" t="str" cm="1">
        <f t="array" ref="AO731">_xlfn.IFS(
Table1[[#This Row],[YearsAtCompany]]&lt;=2,"0-2 Years",
Table1[[#This Row],[YearsAtCompany]]&lt;=5,"3-5 Years",
Table1[[#This Row],[YearsAtCompany]]&lt;=10,"6-10 Years",
TRUE,"10+ Years")</f>
        <v>10+ Years</v>
      </c>
    </row>
    <row r="732" spans="1:41"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tr">
        <f t="shared" si="22"/>
        <v>Research</v>
      </c>
      <c r="AK732">
        <f t="shared" si="23"/>
        <v>0</v>
      </c>
      <c r="AL732">
        <f>IF(Table1[[#This Row],[Attrition]]="Yes", Table1[[#This Row],[MonthlyIncome]]*12*1.5, 0)</f>
        <v>0</v>
      </c>
      <c r="AM732" t="str" cm="1">
        <f t="array" ref="AM732">_xlfn.IFS(
Table1[[#This Row],[MonthlyIncome]]&lt;3000,"Under 3K",
Table1[[#This Row],[MonthlyIncome]]&lt;6000,"3K-6K",
Table1[[#This Row],[MonthlyIncome]]&lt;9000,"6K-9K",
Table1[[#This Row],[MonthlyIncome]]&lt;12000,"9K-12K",
TRUE,"12K+")</f>
        <v>9K-12K</v>
      </c>
      <c r="AN732">
        <f>1</f>
        <v>1</v>
      </c>
      <c r="AO732" t="str" cm="1">
        <f t="array" ref="AO732">_xlfn.IFS(
Table1[[#This Row],[YearsAtCompany]]&lt;=2,"0-2 Years",
Table1[[#This Row],[YearsAtCompany]]&lt;=5,"3-5 Years",
Table1[[#This Row],[YearsAtCompany]]&lt;=10,"6-10 Years",
TRUE,"10+ Years")</f>
        <v>6-10 Years</v>
      </c>
    </row>
    <row r="733" spans="1:41"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tr">
        <f t="shared" si="22"/>
        <v>Research</v>
      </c>
      <c r="AK733">
        <f t="shared" si="23"/>
        <v>1</v>
      </c>
      <c r="AL733">
        <f>IF(Table1[[#This Row],[Attrition]]="Yes", Table1[[#This Row],[MonthlyIncome]]*12*1.5, 0)</f>
        <v>46800</v>
      </c>
      <c r="AM733" t="str" cm="1">
        <f t="array" ref="AM733">_xlfn.IFS(
Table1[[#This Row],[MonthlyIncome]]&lt;3000,"Under 3K",
Table1[[#This Row],[MonthlyIncome]]&lt;6000,"3K-6K",
Table1[[#This Row],[MonthlyIncome]]&lt;9000,"6K-9K",
Table1[[#This Row],[MonthlyIncome]]&lt;12000,"9K-12K",
TRUE,"12K+")</f>
        <v>Under 3K</v>
      </c>
      <c r="AN733">
        <f>1</f>
        <v>1</v>
      </c>
      <c r="AO733" t="str" cm="1">
        <f t="array" ref="AO733">_xlfn.IFS(
Table1[[#This Row],[YearsAtCompany]]&lt;=2,"0-2 Years",
Table1[[#This Row],[YearsAtCompany]]&lt;=5,"3-5 Years",
Table1[[#This Row],[YearsAtCompany]]&lt;=10,"6-10 Years",
TRUE,"10+ Years")</f>
        <v>0-2 Years</v>
      </c>
    </row>
    <row r="734" spans="1:41"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tr">
        <f t="shared" si="22"/>
        <v>Research</v>
      </c>
      <c r="AK734">
        <f t="shared" si="23"/>
        <v>1</v>
      </c>
      <c r="AL734">
        <f>IF(Table1[[#This Row],[Attrition]]="Yes", Table1[[#This Row],[MonthlyIncome]]*12*1.5, 0)</f>
        <v>43596</v>
      </c>
      <c r="AM734" t="str" cm="1">
        <f t="array" ref="AM734">_xlfn.IFS(
Table1[[#This Row],[MonthlyIncome]]&lt;3000,"Under 3K",
Table1[[#This Row],[MonthlyIncome]]&lt;6000,"3K-6K",
Table1[[#This Row],[MonthlyIncome]]&lt;9000,"6K-9K",
Table1[[#This Row],[MonthlyIncome]]&lt;12000,"9K-12K",
TRUE,"12K+")</f>
        <v>Under 3K</v>
      </c>
      <c r="AN734">
        <f>1</f>
        <v>1</v>
      </c>
      <c r="AO734" t="str" cm="1">
        <f t="array" ref="AO734">_xlfn.IFS(
Table1[[#This Row],[YearsAtCompany]]&lt;=2,"0-2 Years",
Table1[[#This Row],[YearsAtCompany]]&lt;=5,"3-5 Years",
Table1[[#This Row],[YearsAtCompany]]&lt;=10,"6-10 Years",
TRUE,"10+ Years")</f>
        <v>3-5 Years</v>
      </c>
    </row>
    <row r="735" spans="1:41"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tr">
        <f t="shared" si="22"/>
        <v>Operations</v>
      </c>
      <c r="AK735">
        <f t="shared" si="23"/>
        <v>0</v>
      </c>
      <c r="AL735">
        <f>IF(Table1[[#This Row],[Attrition]]="Yes", Table1[[#This Row],[MonthlyIncome]]*12*1.5, 0)</f>
        <v>0</v>
      </c>
      <c r="AM735" t="str" cm="1">
        <f t="array" ref="AM735">_xlfn.IFS(
Table1[[#This Row],[MonthlyIncome]]&lt;3000,"Under 3K",
Table1[[#This Row],[MonthlyIncome]]&lt;6000,"3K-6K",
Table1[[#This Row],[MonthlyIncome]]&lt;9000,"6K-9K",
Table1[[#This Row],[MonthlyIncome]]&lt;12000,"9K-12K",
TRUE,"12K+")</f>
        <v>3K-6K</v>
      </c>
      <c r="AN735">
        <f>1</f>
        <v>1</v>
      </c>
      <c r="AO735" t="str" cm="1">
        <f t="array" ref="AO735">_xlfn.IFS(
Table1[[#This Row],[YearsAtCompany]]&lt;=2,"0-2 Years",
Table1[[#This Row],[YearsAtCompany]]&lt;=5,"3-5 Years",
Table1[[#This Row],[YearsAtCompany]]&lt;=10,"6-10 Years",
TRUE,"10+ Years")</f>
        <v>6-10 Years</v>
      </c>
    </row>
    <row r="736" spans="1:41"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tr">
        <f t="shared" si="22"/>
        <v>Research</v>
      </c>
      <c r="AK736">
        <f t="shared" si="23"/>
        <v>0</v>
      </c>
      <c r="AL736">
        <f>IF(Table1[[#This Row],[Attrition]]="Yes", Table1[[#This Row],[MonthlyIncome]]*12*1.5, 0)</f>
        <v>0</v>
      </c>
      <c r="AM736" t="str" cm="1">
        <f t="array" ref="AM736">_xlfn.IFS(
Table1[[#This Row],[MonthlyIncome]]&lt;3000,"Under 3K",
Table1[[#This Row],[MonthlyIncome]]&lt;6000,"3K-6K",
Table1[[#This Row],[MonthlyIncome]]&lt;9000,"6K-9K",
Table1[[#This Row],[MonthlyIncome]]&lt;12000,"9K-12K",
TRUE,"12K+")</f>
        <v>Under 3K</v>
      </c>
      <c r="AN736">
        <f>1</f>
        <v>1</v>
      </c>
      <c r="AO736" t="str" cm="1">
        <f t="array" ref="AO736">_xlfn.IFS(
Table1[[#This Row],[YearsAtCompany]]&lt;=2,"0-2 Years",
Table1[[#This Row],[YearsAtCompany]]&lt;=5,"3-5 Years",
Table1[[#This Row],[YearsAtCompany]]&lt;=10,"6-10 Years",
TRUE,"10+ Years")</f>
        <v>3-5 Years</v>
      </c>
    </row>
    <row r="737" spans="1:41"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tr">
        <f t="shared" si="22"/>
        <v>Healthcare</v>
      </c>
      <c r="AK737">
        <f t="shared" si="23"/>
        <v>0</v>
      </c>
      <c r="AL737">
        <f>IF(Table1[[#This Row],[Attrition]]="Yes", Table1[[#This Row],[MonthlyIncome]]*12*1.5, 0)</f>
        <v>0</v>
      </c>
      <c r="AM737" t="str" cm="1">
        <f t="array" ref="AM737">_xlfn.IFS(
Table1[[#This Row],[MonthlyIncome]]&lt;3000,"Under 3K",
Table1[[#This Row],[MonthlyIncome]]&lt;6000,"3K-6K",
Table1[[#This Row],[MonthlyIncome]]&lt;9000,"6K-9K",
Table1[[#This Row],[MonthlyIncome]]&lt;12000,"9K-12K",
TRUE,"12K+")</f>
        <v>3K-6K</v>
      </c>
      <c r="AN737">
        <f>1</f>
        <v>1</v>
      </c>
      <c r="AO737" t="str" cm="1">
        <f t="array" ref="AO737">_xlfn.IFS(
Table1[[#This Row],[YearsAtCompany]]&lt;=2,"0-2 Years",
Table1[[#This Row],[YearsAtCompany]]&lt;=5,"3-5 Years",
Table1[[#This Row],[YearsAtCompany]]&lt;=10,"6-10 Years",
TRUE,"10+ Years")</f>
        <v>0-2 Years</v>
      </c>
    </row>
    <row r="738" spans="1:41"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tr">
        <f t="shared" si="22"/>
        <v>Healthcare</v>
      </c>
      <c r="AK738">
        <f t="shared" si="23"/>
        <v>0</v>
      </c>
      <c r="AL738">
        <f>IF(Table1[[#This Row],[Attrition]]="Yes", Table1[[#This Row],[MonthlyIncome]]*12*1.5, 0)</f>
        <v>0</v>
      </c>
      <c r="AM738" t="str" cm="1">
        <f t="array" ref="AM738">_xlfn.IFS(
Table1[[#This Row],[MonthlyIncome]]&lt;3000,"Under 3K",
Table1[[#This Row],[MonthlyIncome]]&lt;6000,"3K-6K",
Table1[[#This Row],[MonthlyIncome]]&lt;9000,"6K-9K",
Table1[[#This Row],[MonthlyIncome]]&lt;12000,"9K-12K",
TRUE,"12K+")</f>
        <v>9K-12K</v>
      </c>
      <c r="AN738">
        <f>1</f>
        <v>1</v>
      </c>
      <c r="AO738" t="str" cm="1">
        <f t="array" ref="AO738">_xlfn.IFS(
Table1[[#This Row],[YearsAtCompany]]&lt;=2,"0-2 Years",
Table1[[#This Row],[YearsAtCompany]]&lt;=5,"3-5 Years",
Table1[[#This Row],[YearsAtCompany]]&lt;=10,"6-10 Years",
TRUE,"10+ Years")</f>
        <v>10+ Years</v>
      </c>
    </row>
    <row r="739" spans="1:41"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tr">
        <f t="shared" si="22"/>
        <v>Operations</v>
      </c>
      <c r="AK739">
        <f t="shared" si="23"/>
        <v>0</v>
      </c>
      <c r="AL739">
        <f>IF(Table1[[#This Row],[Attrition]]="Yes", Table1[[#This Row],[MonthlyIncome]]*12*1.5, 0)</f>
        <v>0</v>
      </c>
      <c r="AM739" t="str" cm="1">
        <f t="array" ref="AM739">_xlfn.IFS(
Table1[[#This Row],[MonthlyIncome]]&lt;3000,"Under 3K",
Table1[[#This Row],[MonthlyIncome]]&lt;6000,"3K-6K",
Table1[[#This Row],[MonthlyIncome]]&lt;9000,"6K-9K",
Table1[[#This Row],[MonthlyIncome]]&lt;12000,"9K-12K",
TRUE,"12K+")</f>
        <v>3K-6K</v>
      </c>
      <c r="AN739">
        <f>1</f>
        <v>1</v>
      </c>
      <c r="AO739" t="str" cm="1">
        <f t="array" ref="AO739">_xlfn.IFS(
Table1[[#This Row],[YearsAtCompany]]&lt;=2,"0-2 Years",
Table1[[#This Row],[YearsAtCompany]]&lt;=5,"3-5 Years",
Table1[[#This Row],[YearsAtCompany]]&lt;=10,"6-10 Years",
TRUE,"10+ Years")</f>
        <v>0-2 Years</v>
      </c>
    </row>
    <row r="740" spans="1:41"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tr">
        <f t="shared" si="22"/>
        <v>Operations</v>
      </c>
      <c r="AK740">
        <f t="shared" si="23"/>
        <v>0</v>
      </c>
      <c r="AL740">
        <f>IF(Table1[[#This Row],[Attrition]]="Yes", Table1[[#This Row],[MonthlyIncome]]*12*1.5, 0)</f>
        <v>0</v>
      </c>
      <c r="AM740" t="str" cm="1">
        <f t="array" ref="AM740">_xlfn.IFS(
Table1[[#This Row],[MonthlyIncome]]&lt;3000,"Under 3K",
Table1[[#This Row],[MonthlyIncome]]&lt;6000,"3K-6K",
Table1[[#This Row],[MonthlyIncome]]&lt;9000,"6K-9K",
Table1[[#This Row],[MonthlyIncome]]&lt;12000,"9K-12K",
TRUE,"12K+")</f>
        <v>12K+</v>
      </c>
      <c r="AN740">
        <f>1</f>
        <v>1</v>
      </c>
      <c r="AO740" t="str" cm="1">
        <f t="array" ref="AO740">_xlfn.IFS(
Table1[[#This Row],[YearsAtCompany]]&lt;=2,"0-2 Years",
Table1[[#This Row],[YearsAtCompany]]&lt;=5,"3-5 Years",
Table1[[#This Row],[YearsAtCompany]]&lt;=10,"6-10 Years",
TRUE,"10+ Years")</f>
        <v>10+ Years</v>
      </c>
    </row>
    <row r="741" spans="1:41"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tr">
        <f t="shared" si="22"/>
        <v>Operations</v>
      </c>
      <c r="AK741">
        <f t="shared" si="23"/>
        <v>0</v>
      </c>
      <c r="AL741">
        <f>IF(Table1[[#This Row],[Attrition]]="Yes", Table1[[#This Row],[MonthlyIncome]]*12*1.5, 0)</f>
        <v>0</v>
      </c>
      <c r="AM741" t="str" cm="1">
        <f t="array" ref="AM741">_xlfn.IFS(
Table1[[#This Row],[MonthlyIncome]]&lt;3000,"Under 3K",
Table1[[#This Row],[MonthlyIncome]]&lt;6000,"3K-6K",
Table1[[#This Row],[MonthlyIncome]]&lt;9000,"6K-9K",
Table1[[#This Row],[MonthlyIncome]]&lt;12000,"9K-12K",
TRUE,"12K+")</f>
        <v>3K-6K</v>
      </c>
      <c r="AN741">
        <f>1</f>
        <v>1</v>
      </c>
      <c r="AO741" t="str" cm="1">
        <f t="array" ref="AO741">_xlfn.IFS(
Table1[[#This Row],[YearsAtCompany]]&lt;=2,"0-2 Years",
Table1[[#This Row],[YearsAtCompany]]&lt;=5,"3-5 Years",
Table1[[#This Row],[YearsAtCompany]]&lt;=10,"6-10 Years",
TRUE,"10+ Years")</f>
        <v>3-5 Years</v>
      </c>
    </row>
    <row r="742" spans="1:41"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tr">
        <f t="shared" si="22"/>
        <v>Research</v>
      </c>
      <c r="AK742">
        <f t="shared" si="23"/>
        <v>0</v>
      </c>
      <c r="AL742">
        <f>IF(Table1[[#This Row],[Attrition]]="Yes", Table1[[#This Row],[MonthlyIncome]]*12*1.5, 0)</f>
        <v>0</v>
      </c>
      <c r="AM742" t="str" cm="1">
        <f t="array" ref="AM742">_xlfn.IFS(
Table1[[#This Row],[MonthlyIncome]]&lt;3000,"Under 3K",
Table1[[#This Row],[MonthlyIncome]]&lt;6000,"3K-6K",
Table1[[#This Row],[MonthlyIncome]]&lt;9000,"6K-9K",
Table1[[#This Row],[MonthlyIncome]]&lt;12000,"9K-12K",
TRUE,"12K+")</f>
        <v>3K-6K</v>
      </c>
      <c r="AN742">
        <f>1</f>
        <v>1</v>
      </c>
      <c r="AO742" t="str" cm="1">
        <f t="array" ref="AO742">_xlfn.IFS(
Table1[[#This Row],[YearsAtCompany]]&lt;=2,"0-2 Years",
Table1[[#This Row],[YearsAtCompany]]&lt;=5,"3-5 Years",
Table1[[#This Row],[YearsAtCompany]]&lt;=10,"6-10 Years",
TRUE,"10+ Years")</f>
        <v>3-5 Years</v>
      </c>
    </row>
    <row r="743" spans="1:41"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tr">
        <f t="shared" si="22"/>
        <v>Management</v>
      </c>
      <c r="AK743">
        <f t="shared" si="23"/>
        <v>0</v>
      </c>
      <c r="AL743">
        <f>IF(Table1[[#This Row],[Attrition]]="Yes", Table1[[#This Row],[MonthlyIncome]]*12*1.5, 0)</f>
        <v>0</v>
      </c>
      <c r="AM743" t="str" cm="1">
        <f t="array" ref="AM743">_xlfn.IFS(
Table1[[#This Row],[MonthlyIncome]]&lt;3000,"Under 3K",
Table1[[#This Row],[MonthlyIncome]]&lt;6000,"3K-6K",
Table1[[#This Row],[MonthlyIncome]]&lt;9000,"6K-9K",
Table1[[#This Row],[MonthlyIncome]]&lt;12000,"9K-12K",
TRUE,"12K+")</f>
        <v>12K+</v>
      </c>
      <c r="AN743">
        <f>1</f>
        <v>1</v>
      </c>
      <c r="AO743" t="str" cm="1">
        <f t="array" ref="AO743">_xlfn.IFS(
Table1[[#This Row],[YearsAtCompany]]&lt;=2,"0-2 Years",
Table1[[#This Row],[YearsAtCompany]]&lt;=5,"3-5 Years",
Table1[[#This Row],[YearsAtCompany]]&lt;=10,"6-10 Years",
TRUE,"10+ Years")</f>
        <v>0-2 Years</v>
      </c>
    </row>
    <row r="744" spans="1:41"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tr">
        <f t="shared" si="22"/>
        <v>Research</v>
      </c>
      <c r="AK744">
        <f t="shared" si="23"/>
        <v>0</v>
      </c>
      <c r="AL744">
        <f>IF(Table1[[#This Row],[Attrition]]="Yes", Table1[[#This Row],[MonthlyIncome]]*12*1.5, 0)</f>
        <v>0</v>
      </c>
      <c r="AM744" t="str" cm="1">
        <f t="array" ref="AM744">_xlfn.IFS(
Table1[[#This Row],[MonthlyIncome]]&lt;3000,"Under 3K",
Table1[[#This Row],[MonthlyIncome]]&lt;6000,"3K-6K",
Table1[[#This Row],[MonthlyIncome]]&lt;9000,"6K-9K",
Table1[[#This Row],[MonthlyIncome]]&lt;12000,"9K-12K",
TRUE,"12K+")</f>
        <v>Under 3K</v>
      </c>
      <c r="AN744">
        <f>1</f>
        <v>1</v>
      </c>
      <c r="AO744" t="str" cm="1">
        <f t="array" ref="AO744">_xlfn.IFS(
Table1[[#This Row],[YearsAtCompany]]&lt;=2,"0-2 Years",
Table1[[#This Row],[YearsAtCompany]]&lt;=5,"3-5 Years",
Table1[[#This Row],[YearsAtCompany]]&lt;=10,"6-10 Years",
TRUE,"10+ Years")</f>
        <v>0-2 Years</v>
      </c>
    </row>
    <row r="745" spans="1:41"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tr">
        <f t="shared" si="22"/>
        <v>Operations</v>
      </c>
      <c r="AK745">
        <f t="shared" si="23"/>
        <v>0</v>
      </c>
      <c r="AL745">
        <f>IF(Table1[[#This Row],[Attrition]]="Yes", Table1[[#This Row],[MonthlyIncome]]*12*1.5, 0)</f>
        <v>0</v>
      </c>
      <c r="AM745" t="str" cm="1">
        <f t="array" ref="AM745">_xlfn.IFS(
Table1[[#This Row],[MonthlyIncome]]&lt;3000,"Under 3K",
Table1[[#This Row],[MonthlyIncome]]&lt;6000,"3K-6K",
Table1[[#This Row],[MonthlyIncome]]&lt;9000,"6K-9K",
Table1[[#This Row],[MonthlyIncome]]&lt;12000,"9K-12K",
TRUE,"12K+")</f>
        <v>12K+</v>
      </c>
      <c r="AN745">
        <f>1</f>
        <v>1</v>
      </c>
      <c r="AO745" t="str" cm="1">
        <f t="array" ref="AO745">_xlfn.IFS(
Table1[[#This Row],[YearsAtCompany]]&lt;=2,"0-2 Years",
Table1[[#This Row],[YearsAtCompany]]&lt;=5,"3-5 Years",
Table1[[#This Row],[YearsAtCompany]]&lt;=10,"6-10 Years",
TRUE,"10+ Years")</f>
        <v>3-5 Years</v>
      </c>
    </row>
    <row r="746" spans="1:41"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tr">
        <f t="shared" si="22"/>
        <v>Healthcare</v>
      </c>
      <c r="AK746">
        <f t="shared" si="23"/>
        <v>1</v>
      </c>
      <c r="AL746">
        <f>IF(Table1[[#This Row],[Attrition]]="Yes", Table1[[#This Row],[MonthlyIncome]]*12*1.5, 0)</f>
        <v>85986</v>
      </c>
      <c r="AM746" t="str" cm="1">
        <f t="array" ref="AM746">_xlfn.IFS(
Table1[[#This Row],[MonthlyIncome]]&lt;3000,"Under 3K",
Table1[[#This Row],[MonthlyIncome]]&lt;6000,"3K-6K",
Table1[[#This Row],[MonthlyIncome]]&lt;9000,"6K-9K",
Table1[[#This Row],[MonthlyIncome]]&lt;12000,"9K-12K",
TRUE,"12K+")</f>
        <v>3K-6K</v>
      </c>
      <c r="AN746">
        <f>1</f>
        <v>1</v>
      </c>
      <c r="AO746" t="str" cm="1">
        <f t="array" ref="AO746">_xlfn.IFS(
Table1[[#This Row],[YearsAtCompany]]&lt;=2,"0-2 Years",
Table1[[#This Row],[YearsAtCompany]]&lt;=5,"3-5 Years",
Table1[[#This Row],[YearsAtCompany]]&lt;=10,"6-10 Years",
TRUE,"10+ Years")</f>
        <v>0-2 Years</v>
      </c>
    </row>
    <row r="747" spans="1:41"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tr">
        <f t="shared" si="22"/>
        <v>Healthcare</v>
      </c>
      <c r="AK747">
        <f t="shared" si="23"/>
        <v>0</v>
      </c>
      <c r="AL747">
        <f>IF(Table1[[#This Row],[Attrition]]="Yes", Table1[[#This Row],[MonthlyIncome]]*12*1.5, 0)</f>
        <v>0</v>
      </c>
      <c r="AM747" t="str" cm="1">
        <f t="array" ref="AM747">_xlfn.IFS(
Table1[[#This Row],[MonthlyIncome]]&lt;3000,"Under 3K",
Table1[[#This Row],[MonthlyIncome]]&lt;6000,"3K-6K",
Table1[[#This Row],[MonthlyIncome]]&lt;9000,"6K-9K",
Table1[[#This Row],[MonthlyIncome]]&lt;12000,"9K-12K",
TRUE,"12K+")</f>
        <v>6K-9K</v>
      </c>
      <c r="AN747">
        <f>1</f>
        <v>1</v>
      </c>
      <c r="AO747" t="str" cm="1">
        <f t="array" ref="AO747">_xlfn.IFS(
Table1[[#This Row],[YearsAtCompany]]&lt;=2,"0-2 Years",
Table1[[#This Row],[YearsAtCompany]]&lt;=5,"3-5 Years",
Table1[[#This Row],[YearsAtCompany]]&lt;=10,"6-10 Years",
TRUE,"10+ Years")</f>
        <v>6-10 Years</v>
      </c>
    </row>
    <row r="748" spans="1:41"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tr">
        <f t="shared" si="22"/>
        <v>Research</v>
      </c>
      <c r="AK748">
        <f t="shared" si="23"/>
        <v>0</v>
      </c>
      <c r="AL748">
        <f>IF(Table1[[#This Row],[Attrition]]="Yes", Table1[[#This Row],[MonthlyIncome]]*12*1.5, 0)</f>
        <v>0</v>
      </c>
      <c r="AM748" t="str" cm="1">
        <f t="array" ref="AM748">_xlfn.IFS(
Table1[[#This Row],[MonthlyIncome]]&lt;3000,"Under 3K",
Table1[[#This Row],[MonthlyIncome]]&lt;6000,"3K-6K",
Table1[[#This Row],[MonthlyIncome]]&lt;9000,"6K-9K",
Table1[[#This Row],[MonthlyIncome]]&lt;12000,"9K-12K",
TRUE,"12K+")</f>
        <v>12K+</v>
      </c>
      <c r="AN748">
        <f>1</f>
        <v>1</v>
      </c>
      <c r="AO748" t="str" cm="1">
        <f t="array" ref="AO748">_xlfn.IFS(
Table1[[#This Row],[YearsAtCompany]]&lt;=2,"0-2 Years",
Table1[[#This Row],[YearsAtCompany]]&lt;=5,"3-5 Years",
Table1[[#This Row],[YearsAtCompany]]&lt;=10,"6-10 Years",
TRUE,"10+ Years")</f>
        <v>10+ Years</v>
      </c>
    </row>
    <row r="749" spans="1:41"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tr">
        <f t="shared" si="22"/>
        <v>Sales</v>
      </c>
      <c r="AK749">
        <f t="shared" si="23"/>
        <v>0</v>
      </c>
      <c r="AL749">
        <f>IF(Table1[[#This Row],[Attrition]]="Yes", Table1[[#This Row],[MonthlyIncome]]*12*1.5, 0)</f>
        <v>0</v>
      </c>
      <c r="AM749" t="str" cm="1">
        <f t="array" ref="AM749">_xlfn.IFS(
Table1[[#This Row],[MonthlyIncome]]&lt;3000,"Under 3K",
Table1[[#This Row],[MonthlyIncome]]&lt;6000,"3K-6K",
Table1[[#This Row],[MonthlyIncome]]&lt;9000,"6K-9K",
Table1[[#This Row],[MonthlyIncome]]&lt;12000,"9K-12K",
TRUE,"12K+")</f>
        <v>6K-9K</v>
      </c>
      <c r="AN749">
        <f>1</f>
        <v>1</v>
      </c>
      <c r="AO749" t="str" cm="1">
        <f t="array" ref="AO749">_xlfn.IFS(
Table1[[#This Row],[YearsAtCompany]]&lt;=2,"0-2 Years",
Table1[[#This Row],[YearsAtCompany]]&lt;=5,"3-5 Years",
Table1[[#This Row],[YearsAtCompany]]&lt;=10,"6-10 Years",
TRUE,"10+ Years")</f>
        <v>0-2 Years</v>
      </c>
    </row>
    <row r="750" spans="1:41"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tr">
        <f t="shared" si="22"/>
        <v>Sales</v>
      </c>
      <c r="AK750">
        <f t="shared" si="23"/>
        <v>1</v>
      </c>
      <c r="AL750">
        <f>IF(Table1[[#This Row],[Attrition]]="Yes", Table1[[#This Row],[MonthlyIncome]]*12*1.5, 0)</f>
        <v>89442</v>
      </c>
      <c r="AM750" t="str" cm="1">
        <f t="array" ref="AM750">_xlfn.IFS(
Table1[[#This Row],[MonthlyIncome]]&lt;3000,"Under 3K",
Table1[[#This Row],[MonthlyIncome]]&lt;6000,"3K-6K",
Table1[[#This Row],[MonthlyIncome]]&lt;9000,"6K-9K",
Table1[[#This Row],[MonthlyIncome]]&lt;12000,"9K-12K",
TRUE,"12K+")</f>
        <v>3K-6K</v>
      </c>
      <c r="AN750">
        <f>1</f>
        <v>1</v>
      </c>
      <c r="AO750" t="str" cm="1">
        <f t="array" ref="AO750">_xlfn.IFS(
Table1[[#This Row],[YearsAtCompany]]&lt;=2,"0-2 Years",
Table1[[#This Row],[YearsAtCompany]]&lt;=5,"3-5 Years",
Table1[[#This Row],[YearsAtCompany]]&lt;=10,"6-10 Years",
TRUE,"10+ Years")</f>
        <v>0-2 Years</v>
      </c>
    </row>
    <row r="751" spans="1:41"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tr">
        <f t="shared" si="22"/>
        <v>Management</v>
      </c>
      <c r="AK751">
        <f t="shared" si="23"/>
        <v>1</v>
      </c>
      <c r="AL751">
        <f>IF(Table1[[#This Row],[Attrition]]="Yes", Table1[[#This Row],[MonthlyIncome]]*12*1.5, 0)</f>
        <v>357210</v>
      </c>
      <c r="AM751" t="str" cm="1">
        <f t="array" ref="AM751">_xlfn.IFS(
Table1[[#This Row],[MonthlyIncome]]&lt;3000,"Under 3K",
Table1[[#This Row],[MonthlyIncome]]&lt;6000,"3K-6K",
Table1[[#This Row],[MonthlyIncome]]&lt;9000,"6K-9K",
Table1[[#This Row],[MonthlyIncome]]&lt;12000,"9K-12K",
TRUE,"12K+")</f>
        <v>12K+</v>
      </c>
      <c r="AN751">
        <f>1</f>
        <v>1</v>
      </c>
      <c r="AO751" t="str" cm="1">
        <f t="array" ref="AO751">_xlfn.IFS(
Table1[[#This Row],[YearsAtCompany]]&lt;=2,"0-2 Years",
Table1[[#This Row],[YearsAtCompany]]&lt;=5,"3-5 Years",
Table1[[#This Row],[YearsAtCompany]]&lt;=10,"6-10 Years",
TRUE,"10+ Years")</f>
        <v>10+ Years</v>
      </c>
    </row>
    <row r="752" spans="1:41"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tr">
        <f t="shared" si="22"/>
        <v>Sales</v>
      </c>
      <c r="AK752">
        <f t="shared" si="23"/>
        <v>0</v>
      </c>
      <c r="AL752">
        <f>IF(Table1[[#This Row],[Attrition]]="Yes", Table1[[#This Row],[MonthlyIncome]]*12*1.5, 0)</f>
        <v>0</v>
      </c>
      <c r="AM752" t="str" cm="1">
        <f t="array" ref="AM752">_xlfn.IFS(
Table1[[#This Row],[MonthlyIncome]]&lt;3000,"Under 3K",
Table1[[#This Row],[MonthlyIncome]]&lt;6000,"3K-6K",
Table1[[#This Row],[MonthlyIncome]]&lt;9000,"6K-9K",
Table1[[#This Row],[MonthlyIncome]]&lt;12000,"9K-12K",
TRUE,"12K+")</f>
        <v>12K+</v>
      </c>
      <c r="AN752">
        <f>1</f>
        <v>1</v>
      </c>
      <c r="AO752" t="str" cm="1">
        <f t="array" ref="AO752">_xlfn.IFS(
Table1[[#This Row],[YearsAtCompany]]&lt;=2,"0-2 Years",
Table1[[#This Row],[YearsAtCompany]]&lt;=5,"3-5 Years",
Table1[[#This Row],[YearsAtCompany]]&lt;=10,"6-10 Years",
TRUE,"10+ Years")</f>
        <v>10+ Years</v>
      </c>
    </row>
    <row r="753" spans="1:41"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tr">
        <f t="shared" si="22"/>
        <v>Sales</v>
      </c>
      <c r="AK753">
        <f t="shared" si="23"/>
        <v>0</v>
      </c>
      <c r="AL753">
        <f>IF(Table1[[#This Row],[Attrition]]="Yes", Table1[[#This Row],[MonthlyIncome]]*12*1.5, 0)</f>
        <v>0</v>
      </c>
      <c r="AM753" t="str" cm="1">
        <f t="array" ref="AM753">_xlfn.IFS(
Table1[[#This Row],[MonthlyIncome]]&lt;3000,"Under 3K",
Table1[[#This Row],[MonthlyIncome]]&lt;6000,"3K-6K",
Table1[[#This Row],[MonthlyIncome]]&lt;9000,"6K-9K",
Table1[[#This Row],[MonthlyIncome]]&lt;12000,"9K-12K",
TRUE,"12K+")</f>
        <v>6K-9K</v>
      </c>
      <c r="AN753">
        <f>1</f>
        <v>1</v>
      </c>
      <c r="AO753" t="str" cm="1">
        <f t="array" ref="AO753">_xlfn.IFS(
Table1[[#This Row],[YearsAtCompany]]&lt;=2,"0-2 Years",
Table1[[#This Row],[YearsAtCompany]]&lt;=5,"3-5 Years",
Table1[[#This Row],[YearsAtCompany]]&lt;=10,"6-10 Years",
TRUE,"10+ Years")</f>
        <v>10+ Years</v>
      </c>
    </row>
    <row r="754" spans="1:41"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tr">
        <f t="shared" si="22"/>
        <v>Research</v>
      </c>
      <c r="AK754">
        <f t="shared" si="23"/>
        <v>1</v>
      </c>
      <c r="AL754">
        <f>IF(Table1[[#This Row],[Attrition]]="Yes", Table1[[#This Row],[MonthlyIncome]]*12*1.5, 0)</f>
        <v>49374</v>
      </c>
      <c r="AM754" t="str" cm="1">
        <f t="array" ref="AM754">_xlfn.IFS(
Table1[[#This Row],[MonthlyIncome]]&lt;3000,"Under 3K",
Table1[[#This Row],[MonthlyIncome]]&lt;6000,"3K-6K",
Table1[[#This Row],[MonthlyIncome]]&lt;9000,"6K-9K",
Table1[[#This Row],[MonthlyIncome]]&lt;12000,"9K-12K",
TRUE,"12K+")</f>
        <v>Under 3K</v>
      </c>
      <c r="AN754">
        <f>1</f>
        <v>1</v>
      </c>
      <c r="AO754" t="str" cm="1">
        <f t="array" ref="AO754">_xlfn.IFS(
Table1[[#This Row],[YearsAtCompany]]&lt;=2,"0-2 Years",
Table1[[#This Row],[YearsAtCompany]]&lt;=5,"3-5 Years",
Table1[[#This Row],[YearsAtCompany]]&lt;=10,"6-10 Years",
TRUE,"10+ Years")</f>
        <v>10+ Years</v>
      </c>
    </row>
    <row r="755" spans="1:41"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tr">
        <f t="shared" si="22"/>
        <v>Operations</v>
      </c>
      <c r="AK755">
        <f t="shared" si="23"/>
        <v>0</v>
      </c>
      <c r="AL755">
        <f>IF(Table1[[#This Row],[Attrition]]="Yes", Table1[[#This Row],[MonthlyIncome]]*12*1.5, 0)</f>
        <v>0</v>
      </c>
      <c r="AM755" t="str" cm="1">
        <f t="array" ref="AM755">_xlfn.IFS(
Table1[[#This Row],[MonthlyIncome]]&lt;3000,"Under 3K",
Table1[[#This Row],[MonthlyIncome]]&lt;6000,"3K-6K",
Table1[[#This Row],[MonthlyIncome]]&lt;9000,"6K-9K",
Table1[[#This Row],[MonthlyIncome]]&lt;12000,"9K-12K",
TRUE,"12K+")</f>
        <v>9K-12K</v>
      </c>
      <c r="AN755">
        <f>1</f>
        <v>1</v>
      </c>
      <c r="AO755" t="str" cm="1">
        <f t="array" ref="AO755">_xlfn.IFS(
Table1[[#This Row],[YearsAtCompany]]&lt;=2,"0-2 Years",
Table1[[#This Row],[YearsAtCompany]]&lt;=5,"3-5 Years",
Table1[[#This Row],[YearsAtCompany]]&lt;=10,"6-10 Years",
TRUE,"10+ Years")</f>
        <v>10+ Years</v>
      </c>
    </row>
    <row r="756" spans="1:41"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tr">
        <f t="shared" si="22"/>
        <v>Sales</v>
      </c>
      <c r="AK756">
        <f t="shared" si="23"/>
        <v>0</v>
      </c>
      <c r="AL756">
        <f>IF(Table1[[#This Row],[Attrition]]="Yes", Table1[[#This Row],[MonthlyIncome]]*12*1.5, 0)</f>
        <v>0</v>
      </c>
      <c r="AM756" t="str" cm="1">
        <f t="array" ref="AM756">_xlfn.IFS(
Table1[[#This Row],[MonthlyIncome]]&lt;3000,"Under 3K",
Table1[[#This Row],[MonthlyIncome]]&lt;6000,"3K-6K",
Table1[[#This Row],[MonthlyIncome]]&lt;9000,"6K-9K",
Table1[[#This Row],[MonthlyIncome]]&lt;12000,"9K-12K",
TRUE,"12K+")</f>
        <v>Under 3K</v>
      </c>
      <c r="AN756">
        <f>1</f>
        <v>1</v>
      </c>
      <c r="AO756" t="str" cm="1">
        <f t="array" ref="AO756">_xlfn.IFS(
Table1[[#This Row],[YearsAtCompany]]&lt;=2,"0-2 Years",
Table1[[#This Row],[YearsAtCompany]]&lt;=5,"3-5 Years",
Table1[[#This Row],[YearsAtCompany]]&lt;=10,"6-10 Years",
TRUE,"10+ Years")</f>
        <v>0-2 Years</v>
      </c>
    </row>
    <row r="757" spans="1:41"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tr">
        <f t="shared" si="22"/>
        <v>Management</v>
      </c>
      <c r="AK757">
        <f t="shared" si="23"/>
        <v>0</v>
      </c>
      <c r="AL757">
        <f>IF(Table1[[#This Row],[Attrition]]="Yes", Table1[[#This Row],[MonthlyIncome]]*12*1.5, 0)</f>
        <v>0</v>
      </c>
      <c r="AM757" t="str" cm="1">
        <f t="array" ref="AM757">_xlfn.IFS(
Table1[[#This Row],[MonthlyIncome]]&lt;3000,"Under 3K",
Table1[[#This Row],[MonthlyIncome]]&lt;6000,"3K-6K",
Table1[[#This Row],[MonthlyIncome]]&lt;9000,"6K-9K",
Table1[[#This Row],[MonthlyIncome]]&lt;12000,"9K-12K",
TRUE,"12K+")</f>
        <v>12K+</v>
      </c>
      <c r="AN757">
        <f>1</f>
        <v>1</v>
      </c>
      <c r="AO757" t="str" cm="1">
        <f t="array" ref="AO757">_xlfn.IFS(
Table1[[#This Row],[YearsAtCompany]]&lt;=2,"0-2 Years",
Table1[[#This Row],[YearsAtCompany]]&lt;=5,"3-5 Years",
Table1[[#This Row],[YearsAtCompany]]&lt;=10,"6-10 Years",
TRUE,"10+ Years")</f>
        <v>6-10 Years</v>
      </c>
    </row>
    <row r="758" spans="1:41"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tr">
        <f t="shared" si="22"/>
        <v>Research</v>
      </c>
      <c r="AK758">
        <f t="shared" si="23"/>
        <v>0</v>
      </c>
      <c r="AL758">
        <f>IF(Table1[[#This Row],[Attrition]]="Yes", Table1[[#This Row],[MonthlyIncome]]*12*1.5, 0)</f>
        <v>0</v>
      </c>
      <c r="AM758" t="str" cm="1">
        <f t="array" ref="AM758">_xlfn.IFS(
Table1[[#This Row],[MonthlyIncome]]&lt;3000,"Under 3K",
Table1[[#This Row],[MonthlyIncome]]&lt;6000,"3K-6K",
Table1[[#This Row],[MonthlyIncome]]&lt;9000,"6K-9K",
Table1[[#This Row],[MonthlyIncome]]&lt;12000,"9K-12K",
TRUE,"12K+")</f>
        <v>3K-6K</v>
      </c>
      <c r="AN758">
        <f>1</f>
        <v>1</v>
      </c>
      <c r="AO758" t="str" cm="1">
        <f t="array" ref="AO758">_xlfn.IFS(
Table1[[#This Row],[YearsAtCompany]]&lt;=2,"0-2 Years",
Table1[[#This Row],[YearsAtCompany]]&lt;=5,"3-5 Years",
Table1[[#This Row],[YearsAtCompany]]&lt;=10,"6-10 Years",
TRUE,"10+ Years")</f>
        <v>6-10 Years</v>
      </c>
    </row>
    <row r="759" spans="1:41"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tr">
        <f t="shared" si="22"/>
        <v>Sales</v>
      </c>
      <c r="AK759">
        <f t="shared" si="23"/>
        <v>0</v>
      </c>
      <c r="AL759">
        <f>IF(Table1[[#This Row],[Attrition]]="Yes", Table1[[#This Row],[MonthlyIncome]]*12*1.5, 0)</f>
        <v>0</v>
      </c>
      <c r="AM759" t="str" cm="1">
        <f t="array" ref="AM759">_xlfn.IFS(
Table1[[#This Row],[MonthlyIncome]]&lt;3000,"Under 3K",
Table1[[#This Row],[MonthlyIncome]]&lt;6000,"3K-6K",
Table1[[#This Row],[MonthlyIncome]]&lt;9000,"6K-9K",
Table1[[#This Row],[MonthlyIncome]]&lt;12000,"9K-12K",
TRUE,"12K+")</f>
        <v>9K-12K</v>
      </c>
      <c r="AN759">
        <f>1</f>
        <v>1</v>
      </c>
      <c r="AO759" t="str" cm="1">
        <f t="array" ref="AO759">_xlfn.IFS(
Table1[[#This Row],[YearsAtCompany]]&lt;=2,"0-2 Years",
Table1[[#This Row],[YearsAtCompany]]&lt;=5,"3-5 Years",
Table1[[#This Row],[YearsAtCompany]]&lt;=10,"6-10 Years",
TRUE,"10+ Years")</f>
        <v>10+ Years</v>
      </c>
    </row>
    <row r="760" spans="1:41"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tr">
        <f t="shared" si="22"/>
        <v>Management</v>
      </c>
      <c r="AK760">
        <f t="shared" si="23"/>
        <v>0</v>
      </c>
      <c r="AL760">
        <f>IF(Table1[[#This Row],[Attrition]]="Yes", Table1[[#This Row],[MonthlyIncome]]*12*1.5, 0)</f>
        <v>0</v>
      </c>
      <c r="AM760" t="str" cm="1">
        <f t="array" ref="AM760">_xlfn.IFS(
Table1[[#This Row],[MonthlyIncome]]&lt;3000,"Under 3K",
Table1[[#This Row],[MonthlyIncome]]&lt;6000,"3K-6K",
Table1[[#This Row],[MonthlyIncome]]&lt;9000,"6K-9K",
Table1[[#This Row],[MonthlyIncome]]&lt;12000,"9K-12K",
TRUE,"12K+")</f>
        <v>9K-12K</v>
      </c>
      <c r="AN760">
        <f>1</f>
        <v>1</v>
      </c>
      <c r="AO760" t="str" cm="1">
        <f t="array" ref="AO760">_xlfn.IFS(
Table1[[#This Row],[YearsAtCompany]]&lt;=2,"0-2 Years",
Table1[[#This Row],[YearsAtCompany]]&lt;=5,"3-5 Years",
Table1[[#This Row],[YearsAtCompany]]&lt;=10,"6-10 Years",
TRUE,"10+ Years")</f>
        <v>6-10 Years</v>
      </c>
    </row>
    <row r="761" spans="1:41"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tr">
        <f t="shared" si="22"/>
        <v>Human Resources</v>
      </c>
      <c r="AK761">
        <f t="shared" si="23"/>
        <v>0</v>
      </c>
      <c r="AL761">
        <f>IF(Table1[[#This Row],[Attrition]]="Yes", Table1[[#This Row],[MonthlyIncome]]*12*1.5, 0)</f>
        <v>0</v>
      </c>
      <c r="AM761" t="str" cm="1">
        <f t="array" ref="AM761">_xlfn.IFS(
Table1[[#This Row],[MonthlyIncome]]&lt;3000,"Under 3K",
Table1[[#This Row],[MonthlyIncome]]&lt;6000,"3K-6K",
Table1[[#This Row],[MonthlyIncome]]&lt;9000,"6K-9K",
Table1[[#This Row],[MonthlyIncome]]&lt;12000,"9K-12K",
TRUE,"12K+")</f>
        <v>Under 3K</v>
      </c>
      <c r="AN761">
        <f>1</f>
        <v>1</v>
      </c>
      <c r="AO761" t="str" cm="1">
        <f t="array" ref="AO761">_xlfn.IFS(
Table1[[#This Row],[YearsAtCompany]]&lt;=2,"0-2 Years",
Table1[[#This Row],[YearsAtCompany]]&lt;=5,"3-5 Years",
Table1[[#This Row],[YearsAtCompany]]&lt;=10,"6-10 Years",
TRUE,"10+ Years")</f>
        <v>6-10 Years</v>
      </c>
    </row>
    <row r="762" spans="1:41"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tr">
        <f t="shared" si="22"/>
        <v>Sales</v>
      </c>
      <c r="AK762">
        <f t="shared" si="23"/>
        <v>0</v>
      </c>
      <c r="AL762">
        <f>IF(Table1[[#This Row],[Attrition]]="Yes", Table1[[#This Row],[MonthlyIncome]]*12*1.5, 0)</f>
        <v>0</v>
      </c>
      <c r="AM762" t="str" cm="1">
        <f t="array" ref="AM762">_xlfn.IFS(
Table1[[#This Row],[MonthlyIncome]]&lt;3000,"Under 3K",
Table1[[#This Row],[MonthlyIncome]]&lt;6000,"3K-6K",
Table1[[#This Row],[MonthlyIncome]]&lt;9000,"6K-9K",
Table1[[#This Row],[MonthlyIncome]]&lt;12000,"9K-12K",
TRUE,"12K+")</f>
        <v>6K-9K</v>
      </c>
      <c r="AN762">
        <f>1</f>
        <v>1</v>
      </c>
      <c r="AO762" t="str" cm="1">
        <f t="array" ref="AO762">_xlfn.IFS(
Table1[[#This Row],[YearsAtCompany]]&lt;=2,"0-2 Years",
Table1[[#This Row],[YearsAtCompany]]&lt;=5,"3-5 Years",
Table1[[#This Row],[YearsAtCompany]]&lt;=10,"6-10 Years",
TRUE,"10+ Years")</f>
        <v>10+ Years</v>
      </c>
    </row>
    <row r="763" spans="1:41"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tr">
        <f t="shared" si="22"/>
        <v>Research</v>
      </c>
      <c r="AK763">
        <f t="shared" si="23"/>
        <v>1</v>
      </c>
      <c r="AL763">
        <f>IF(Table1[[#This Row],[Attrition]]="Yes", Table1[[#This Row],[MonthlyIncome]]*12*1.5, 0)</f>
        <v>87012</v>
      </c>
      <c r="AM763" t="str" cm="1">
        <f t="array" ref="AM763">_xlfn.IFS(
Table1[[#This Row],[MonthlyIncome]]&lt;3000,"Under 3K",
Table1[[#This Row],[MonthlyIncome]]&lt;6000,"3K-6K",
Table1[[#This Row],[MonthlyIncome]]&lt;9000,"6K-9K",
Table1[[#This Row],[MonthlyIncome]]&lt;12000,"9K-12K",
TRUE,"12K+")</f>
        <v>3K-6K</v>
      </c>
      <c r="AN763">
        <f>1</f>
        <v>1</v>
      </c>
      <c r="AO763" t="str" cm="1">
        <f t="array" ref="AO763">_xlfn.IFS(
Table1[[#This Row],[YearsAtCompany]]&lt;=2,"0-2 Years",
Table1[[#This Row],[YearsAtCompany]]&lt;=5,"3-5 Years",
Table1[[#This Row],[YearsAtCompany]]&lt;=10,"6-10 Years",
TRUE,"10+ Years")</f>
        <v>0-2 Years</v>
      </c>
    </row>
    <row r="764" spans="1:41"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tr">
        <f t="shared" si="22"/>
        <v>Research</v>
      </c>
      <c r="AK764">
        <f t="shared" si="23"/>
        <v>1</v>
      </c>
      <c r="AL764">
        <f>IF(Table1[[#This Row],[Attrition]]="Yes", Table1[[#This Row],[MonthlyIncome]]*12*1.5, 0)</f>
        <v>36756</v>
      </c>
      <c r="AM764" t="str" cm="1">
        <f t="array" ref="AM764">_xlfn.IFS(
Table1[[#This Row],[MonthlyIncome]]&lt;3000,"Under 3K",
Table1[[#This Row],[MonthlyIncome]]&lt;6000,"3K-6K",
Table1[[#This Row],[MonthlyIncome]]&lt;9000,"6K-9K",
Table1[[#This Row],[MonthlyIncome]]&lt;12000,"9K-12K",
TRUE,"12K+")</f>
        <v>Under 3K</v>
      </c>
      <c r="AN764">
        <f>1</f>
        <v>1</v>
      </c>
      <c r="AO764" t="str" cm="1">
        <f t="array" ref="AO764">_xlfn.IFS(
Table1[[#This Row],[YearsAtCompany]]&lt;=2,"0-2 Years",
Table1[[#This Row],[YearsAtCompany]]&lt;=5,"3-5 Years",
Table1[[#This Row],[YearsAtCompany]]&lt;=10,"6-10 Years",
TRUE,"10+ Years")</f>
        <v>3-5 Years</v>
      </c>
    </row>
    <row r="765" spans="1:41"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tr">
        <f t="shared" si="22"/>
        <v>Sales</v>
      </c>
      <c r="AK765">
        <f t="shared" si="23"/>
        <v>0</v>
      </c>
      <c r="AL765">
        <f>IF(Table1[[#This Row],[Attrition]]="Yes", Table1[[#This Row],[MonthlyIncome]]*12*1.5, 0)</f>
        <v>0</v>
      </c>
      <c r="AM765" t="str" cm="1">
        <f t="array" ref="AM765">_xlfn.IFS(
Table1[[#This Row],[MonthlyIncome]]&lt;3000,"Under 3K",
Table1[[#This Row],[MonthlyIncome]]&lt;6000,"3K-6K",
Table1[[#This Row],[MonthlyIncome]]&lt;9000,"6K-9K",
Table1[[#This Row],[MonthlyIncome]]&lt;12000,"9K-12K",
TRUE,"12K+")</f>
        <v>Under 3K</v>
      </c>
      <c r="AN765">
        <f>1</f>
        <v>1</v>
      </c>
      <c r="AO765" t="str" cm="1">
        <f t="array" ref="AO765">_xlfn.IFS(
Table1[[#This Row],[YearsAtCompany]]&lt;=2,"0-2 Years",
Table1[[#This Row],[YearsAtCompany]]&lt;=5,"3-5 Years",
Table1[[#This Row],[YearsAtCompany]]&lt;=10,"6-10 Years",
TRUE,"10+ Years")</f>
        <v>0-2 Years</v>
      </c>
    </row>
    <row r="766" spans="1:41"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tr">
        <f t="shared" si="22"/>
        <v>Sales</v>
      </c>
      <c r="AK766">
        <f t="shared" si="23"/>
        <v>0</v>
      </c>
      <c r="AL766">
        <f>IF(Table1[[#This Row],[Attrition]]="Yes", Table1[[#This Row],[MonthlyIncome]]*12*1.5, 0)</f>
        <v>0</v>
      </c>
      <c r="AM766" t="str" cm="1">
        <f t="array" ref="AM766">_xlfn.IFS(
Table1[[#This Row],[MonthlyIncome]]&lt;3000,"Under 3K",
Table1[[#This Row],[MonthlyIncome]]&lt;6000,"3K-6K",
Table1[[#This Row],[MonthlyIncome]]&lt;9000,"6K-9K",
Table1[[#This Row],[MonthlyIncome]]&lt;12000,"9K-12K",
TRUE,"12K+")</f>
        <v>Under 3K</v>
      </c>
      <c r="AN766">
        <f>1</f>
        <v>1</v>
      </c>
      <c r="AO766" t="str" cm="1">
        <f t="array" ref="AO766">_xlfn.IFS(
Table1[[#This Row],[YearsAtCompany]]&lt;=2,"0-2 Years",
Table1[[#This Row],[YearsAtCompany]]&lt;=5,"3-5 Years",
Table1[[#This Row],[YearsAtCompany]]&lt;=10,"6-10 Years",
TRUE,"10+ Years")</f>
        <v>0-2 Years</v>
      </c>
    </row>
    <row r="767" spans="1:41"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tr">
        <f t="shared" si="22"/>
        <v>Research</v>
      </c>
      <c r="AK767">
        <f t="shared" si="23"/>
        <v>0</v>
      </c>
      <c r="AL767">
        <f>IF(Table1[[#This Row],[Attrition]]="Yes", Table1[[#This Row],[MonthlyIncome]]*12*1.5, 0)</f>
        <v>0</v>
      </c>
      <c r="AM767" t="str" cm="1">
        <f t="array" ref="AM767">_xlfn.IFS(
Table1[[#This Row],[MonthlyIncome]]&lt;3000,"Under 3K",
Table1[[#This Row],[MonthlyIncome]]&lt;6000,"3K-6K",
Table1[[#This Row],[MonthlyIncome]]&lt;9000,"6K-9K",
Table1[[#This Row],[MonthlyIncome]]&lt;12000,"9K-12K",
TRUE,"12K+")</f>
        <v>Under 3K</v>
      </c>
      <c r="AN767">
        <f>1</f>
        <v>1</v>
      </c>
      <c r="AO767" t="str" cm="1">
        <f t="array" ref="AO767">_xlfn.IFS(
Table1[[#This Row],[YearsAtCompany]]&lt;=2,"0-2 Years",
Table1[[#This Row],[YearsAtCompany]]&lt;=5,"3-5 Years",
Table1[[#This Row],[YearsAtCompany]]&lt;=10,"6-10 Years",
TRUE,"10+ Years")</f>
        <v>0-2 Years</v>
      </c>
    </row>
    <row r="768" spans="1:41"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tr">
        <f t="shared" si="22"/>
        <v>Research</v>
      </c>
      <c r="AK768">
        <f t="shared" si="23"/>
        <v>0</v>
      </c>
      <c r="AL768">
        <f>IF(Table1[[#This Row],[Attrition]]="Yes", Table1[[#This Row],[MonthlyIncome]]*12*1.5, 0)</f>
        <v>0</v>
      </c>
      <c r="AM768" t="str" cm="1">
        <f t="array" ref="AM768">_xlfn.IFS(
Table1[[#This Row],[MonthlyIncome]]&lt;3000,"Under 3K",
Table1[[#This Row],[MonthlyIncome]]&lt;6000,"3K-6K",
Table1[[#This Row],[MonthlyIncome]]&lt;9000,"6K-9K",
Table1[[#This Row],[MonthlyIncome]]&lt;12000,"9K-12K",
TRUE,"12K+")</f>
        <v>12K+</v>
      </c>
      <c r="AN768">
        <f>1</f>
        <v>1</v>
      </c>
      <c r="AO768" t="str" cm="1">
        <f t="array" ref="AO768">_xlfn.IFS(
Table1[[#This Row],[YearsAtCompany]]&lt;=2,"0-2 Years",
Table1[[#This Row],[YearsAtCompany]]&lt;=5,"3-5 Years",
Table1[[#This Row],[YearsAtCompany]]&lt;=10,"6-10 Years",
TRUE,"10+ Years")</f>
        <v>6-10 Years</v>
      </c>
    </row>
    <row r="769" spans="1:41"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tr">
        <f t="shared" si="22"/>
        <v>Healthcare</v>
      </c>
      <c r="AK769">
        <f t="shared" si="23"/>
        <v>0</v>
      </c>
      <c r="AL769">
        <f>IF(Table1[[#This Row],[Attrition]]="Yes", Table1[[#This Row],[MonthlyIncome]]*12*1.5, 0)</f>
        <v>0</v>
      </c>
      <c r="AM769" t="str" cm="1">
        <f t="array" ref="AM769">_xlfn.IFS(
Table1[[#This Row],[MonthlyIncome]]&lt;3000,"Under 3K",
Table1[[#This Row],[MonthlyIncome]]&lt;6000,"3K-6K",
Table1[[#This Row],[MonthlyIncome]]&lt;9000,"6K-9K",
Table1[[#This Row],[MonthlyIncome]]&lt;12000,"9K-12K",
TRUE,"12K+")</f>
        <v>3K-6K</v>
      </c>
      <c r="AN769">
        <f>1</f>
        <v>1</v>
      </c>
      <c r="AO769" t="str" cm="1">
        <f t="array" ref="AO769">_xlfn.IFS(
Table1[[#This Row],[YearsAtCompany]]&lt;=2,"0-2 Years",
Table1[[#This Row],[YearsAtCompany]]&lt;=5,"3-5 Years",
Table1[[#This Row],[YearsAtCompany]]&lt;=10,"6-10 Years",
TRUE,"10+ Years")</f>
        <v>3-5 Years</v>
      </c>
    </row>
    <row r="770" spans="1:41"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tr">
        <f t="shared" si="22"/>
        <v>Sales</v>
      </c>
      <c r="AK770">
        <f t="shared" si="23"/>
        <v>0</v>
      </c>
      <c r="AL770">
        <f>IF(Table1[[#This Row],[Attrition]]="Yes", Table1[[#This Row],[MonthlyIncome]]*12*1.5, 0)</f>
        <v>0</v>
      </c>
      <c r="AM770" t="str" cm="1">
        <f t="array" ref="AM770">_xlfn.IFS(
Table1[[#This Row],[MonthlyIncome]]&lt;3000,"Under 3K",
Table1[[#This Row],[MonthlyIncome]]&lt;6000,"3K-6K",
Table1[[#This Row],[MonthlyIncome]]&lt;9000,"6K-9K",
Table1[[#This Row],[MonthlyIncome]]&lt;12000,"9K-12K",
TRUE,"12K+")</f>
        <v>6K-9K</v>
      </c>
      <c r="AN770">
        <f>1</f>
        <v>1</v>
      </c>
      <c r="AO770" t="str" cm="1">
        <f t="array" ref="AO770">_xlfn.IFS(
Table1[[#This Row],[YearsAtCompany]]&lt;=2,"0-2 Years",
Table1[[#This Row],[YearsAtCompany]]&lt;=5,"3-5 Years",
Table1[[#This Row],[YearsAtCompany]]&lt;=10,"6-10 Years",
TRUE,"10+ Years")</f>
        <v>6-10 Years</v>
      </c>
    </row>
    <row r="771" spans="1:41"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tr">
        <f t="shared" ref="AJ771:AJ834" si="24">_xlfn.XLOOKUP(P771, $AP$2:$AP$10,$AQ$2:$AQ$10)</f>
        <v>Research</v>
      </c>
      <c r="AK771">
        <f t="shared" ref="AK771:AK834" si="25">IF(B771 ="Yes",1,0)</f>
        <v>0</v>
      </c>
      <c r="AL771">
        <f>IF(Table1[[#This Row],[Attrition]]="Yes", Table1[[#This Row],[MonthlyIncome]]*12*1.5, 0)</f>
        <v>0</v>
      </c>
      <c r="AM771" t="str" cm="1">
        <f t="array" ref="AM771">_xlfn.IFS(
Table1[[#This Row],[MonthlyIncome]]&lt;3000,"Under 3K",
Table1[[#This Row],[MonthlyIncome]]&lt;6000,"3K-6K",
Table1[[#This Row],[MonthlyIncome]]&lt;9000,"6K-9K",
Table1[[#This Row],[MonthlyIncome]]&lt;12000,"9K-12K",
TRUE,"12K+")</f>
        <v>Under 3K</v>
      </c>
      <c r="AN771">
        <f>1</f>
        <v>1</v>
      </c>
      <c r="AO771" t="str" cm="1">
        <f t="array" ref="AO771">_xlfn.IFS(
Table1[[#This Row],[YearsAtCompany]]&lt;=2,"0-2 Years",
Table1[[#This Row],[YearsAtCompany]]&lt;=5,"3-5 Years",
Table1[[#This Row],[YearsAtCompany]]&lt;=10,"6-10 Years",
TRUE,"10+ Years")</f>
        <v>3-5 Years</v>
      </c>
    </row>
    <row r="772" spans="1:41"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tr">
        <f t="shared" si="24"/>
        <v>Research</v>
      </c>
      <c r="AK772">
        <f t="shared" si="25"/>
        <v>0</v>
      </c>
      <c r="AL772">
        <f>IF(Table1[[#This Row],[Attrition]]="Yes", Table1[[#This Row],[MonthlyIncome]]*12*1.5, 0)</f>
        <v>0</v>
      </c>
      <c r="AM772" t="str" cm="1">
        <f t="array" ref="AM772">_xlfn.IFS(
Table1[[#This Row],[MonthlyIncome]]&lt;3000,"Under 3K",
Table1[[#This Row],[MonthlyIncome]]&lt;6000,"3K-6K",
Table1[[#This Row],[MonthlyIncome]]&lt;9000,"6K-9K",
Table1[[#This Row],[MonthlyIncome]]&lt;12000,"9K-12K",
TRUE,"12K+")</f>
        <v>12K+</v>
      </c>
      <c r="AN772">
        <f>1</f>
        <v>1</v>
      </c>
      <c r="AO772" t="str" cm="1">
        <f t="array" ref="AO772">_xlfn.IFS(
Table1[[#This Row],[YearsAtCompany]]&lt;=2,"0-2 Years",
Table1[[#This Row],[YearsAtCompany]]&lt;=5,"3-5 Years",
Table1[[#This Row],[YearsAtCompany]]&lt;=10,"6-10 Years",
TRUE,"10+ Years")</f>
        <v>0-2 Years</v>
      </c>
    </row>
    <row r="773" spans="1:41"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tr">
        <f t="shared" si="24"/>
        <v>Sales</v>
      </c>
      <c r="AK773">
        <f t="shared" si="25"/>
        <v>0</v>
      </c>
      <c r="AL773">
        <f>IF(Table1[[#This Row],[Attrition]]="Yes", Table1[[#This Row],[MonthlyIncome]]*12*1.5, 0)</f>
        <v>0</v>
      </c>
      <c r="AM773" t="str" cm="1">
        <f t="array" ref="AM773">_xlfn.IFS(
Table1[[#This Row],[MonthlyIncome]]&lt;3000,"Under 3K",
Table1[[#This Row],[MonthlyIncome]]&lt;6000,"3K-6K",
Table1[[#This Row],[MonthlyIncome]]&lt;9000,"6K-9K",
Table1[[#This Row],[MonthlyIncome]]&lt;12000,"9K-12K",
TRUE,"12K+")</f>
        <v>9K-12K</v>
      </c>
      <c r="AN773">
        <f>1</f>
        <v>1</v>
      </c>
      <c r="AO773" t="str" cm="1">
        <f t="array" ref="AO773">_xlfn.IFS(
Table1[[#This Row],[YearsAtCompany]]&lt;=2,"0-2 Years",
Table1[[#This Row],[YearsAtCompany]]&lt;=5,"3-5 Years",
Table1[[#This Row],[YearsAtCompany]]&lt;=10,"6-10 Years",
TRUE,"10+ Years")</f>
        <v>6-10 Years</v>
      </c>
    </row>
    <row r="774" spans="1:41"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tr">
        <f t="shared" si="24"/>
        <v>Research</v>
      </c>
      <c r="AK774">
        <f t="shared" si="25"/>
        <v>0</v>
      </c>
      <c r="AL774">
        <f>IF(Table1[[#This Row],[Attrition]]="Yes", Table1[[#This Row],[MonthlyIncome]]*12*1.5, 0)</f>
        <v>0</v>
      </c>
      <c r="AM774" t="str" cm="1">
        <f t="array" ref="AM774">_xlfn.IFS(
Table1[[#This Row],[MonthlyIncome]]&lt;3000,"Under 3K",
Table1[[#This Row],[MonthlyIncome]]&lt;6000,"3K-6K",
Table1[[#This Row],[MonthlyIncome]]&lt;9000,"6K-9K",
Table1[[#This Row],[MonthlyIncome]]&lt;12000,"9K-12K",
TRUE,"12K+")</f>
        <v>Under 3K</v>
      </c>
      <c r="AN774">
        <f>1</f>
        <v>1</v>
      </c>
      <c r="AO774" t="str" cm="1">
        <f t="array" ref="AO774">_xlfn.IFS(
Table1[[#This Row],[YearsAtCompany]]&lt;=2,"0-2 Years",
Table1[[#This Row],[YearsAtCompany]]&lt;=5,"3-5 Years",
Table1[[#This Row],[YearsAtCompany]]&lt;=10,"6-10 Years",
TRUE,"10+ Years")</f>
        <v>3-5 Years</v>
      </c>
    </row>
    <row r="775" spans="1:41"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tr">
        <f t="shared" si="24"/>
        <v>Operations</v>
      </c>
      <c r="AK775">
        <f t="shared" si="25"/>
        <v>0</v>
      </c>
      <c r="AL775">
        <f>IF(Table1[[#This Row],[Attrition]]="Yes", Table1[[#This Row],[MonthlyIncome]]*12*1.5, 0)</f>
        <v>0</v>
      </c>
      <c r="AM775" t="str" cm="1">
        <f t="array" ref="AM775">_xlfn.IFS(
Table1[[#This Row],[MonthlyIncome]]&lt;3000,"Under 3K",
Table1[[#This Row],[MonthlyIncome]]&lt;6000,"3K-6K",
Table1[[#This Row],[MonthlyIncome]]&lt;9000,"6K-9K",
Table1[[#This Row],[MonthlyIncome]]&lt;12000,"9K-12K",
TRUE,"12K+")</f>
        <v>6K-9K</v>
      </c>
      <c r="AN775">
        <f>1</f>
        <v>1</v>
      </c>
      <c r="AO775" t="str" cm="1">
        <f t="array" ref="AO775">_xlfn.IFS(
Table1[[#This Row],[YearsAtCompany]]&lt;=2,"0-2 Years",
Table1[[#This Row],[YearsAtCompany]]&lt;=5,"3-5 Years",
Table1[[#This Row],[YearsAtCompany]]&lt;=10,"6-10 Years",
TRUE,"10+ Years")</f>
        <v>10+ Years</v>
      </c>
    </row>
    <row r="776" spans="1:41"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tr">
        <f t="shared" si="24"/>
        <v>Management</v>
      </c>
      <c r="AK776">
        <f t="shared" si="25"/>
        <v>0</v>
      </c>
      <c r="AL776">
        <f>IF(Table1[[#This Row],[Attrition]]="Yes", Table1[[#This Row],[MonthlyIncome]]*12*1.5, 0)</f>
        <v>0</v>
      </c>
      <c r="AM776" t="str" cm="1">
        <f t="array" ref="AM776">_xlfn.IFS(
Table1[[#This Row],[MonthlyIncome]]&lt;3000,"Under 3K",
Table1[[#This Row],[MonthlyIncome]]&lt;6000,"3K-6K",
Table1[[#This Row],[MonthlyIncome]]&lt;9000,"6K-9K",
Table1[[#This Row],[MonthlyIncome]]&lt;12000,"9K-12K",
TRUE,"12K+")</f>
        <v>12K+</v>
      </c>
      <c r="AN776">
        <f>1</f>
        <v>1</v>
      </c>
      <c r="AO776" t="str" cm="1">
        <f t="array" ref="AO776">_xlfn.IFS(
Table1[[#This Row],[YearsAtCompany]]&lt;=2,"0-2 Years",
Table1[[#This Row],[YearsAtCompany]]&lt;=5,"3-5 Years",
Table1[[#This Row],[YearsAtCompany]]&lt;=10,"6-10 Years",
TRUE,"10+ Years")</f>
        <v>6-10 Years</v>
      </c>
    </row>
    <row r="777" spans="1:41"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tr">
        <f t="shared" si="24"/>
        <v>Sales</v>
      </c>
      <c r="AK777">
        <f t="shared" si="25"/>
        <v>0</v>
      </c>
      <c r="AL777">
        <f>IF(Table1[[#This Row],[Attrition]]="Yes", Table1[[#This Row],[MonthlyIncome]]*12*1.5, 0)</f>
        <v>0</v>
      </c>
      <c r="AM777" t="str" cm="1">
        <f t="array" ref="AM777">_xlfn.IFS(
Table1[[#This Row],[MonthlyIncome]]&lt;3000,"Under 3K",
Table1[[#This Row],[MonthlyIncome]]&lt;6000,"3K-6K",
Table1[[#This Row],[MonthlyIncome]]&lt;9000,"6K-9K",
Table1[[#This Row],[MonthlyIncome]]&lt;12000,"9K-12K",
TRUE,"12K+")</f>
        <v>9K-12K</v>
      </c>
      <c r="AN777">
        <f>1</f>
        <v>1</v>
      </c>
      <c r="AO777" t="str" cm="1">
        <f t="array" ref="AO777">_xlfn.IFS(
Table1[[#This Row],[YearsAtCompany]]&lt;=2,"0-2 Years",
Table1[[#This Row],[YearsAtCompany]]&lt;=5,"3-5 Years",
Table1[[#This Row],[YearsAtCompany]]&lt;=10,"6-10 Years",
TRUE,"10+ Years")</f>
        <v>0-2 Years</v>
      </c>
    </row>
    <row r="778" spans="1:41"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tr">
        <f t="shared" si="24"/>
        <v>Sales</v>
      </c>
      <c r="AK778">
        <f t="shared" si="25"/>
        <v>1</v>
      </c>
      <c r="AL778">
        <f>IF(Table1[[#This Row],[Attrition]]="Yes", Table1[[#This Row],[MonthlyIncome]]*12*1.5, 0)</f>
        <v>41814</v>
      </c>
      <c r="AM778" t="str" cm="1">
        <f t="array" ref="AM778">_xlfn.IFS(
Table1[[#This Row],[MonthlyIncome]]&lt;3000,"Under 3K",
Table1[[#This Row],[MonthlyIncome]]&lt;6000,"3K-6K",
Table1[[#This Row],[MonthlyIncome]]&lt;9000,"6K-9K",
Table1[[#This Row],[MonthlyIncome]]&lt;12000,"9K-12K",
TRUE,"12K+")</f>
        <v>Under 3K</v>
      </c>
      <c r="AN778">
        <f>1</f>
        <v>1</v>
      </c>
      <c r="AO778" t="str" cm="1">
        <f t="array" ref="AO778">_xlfn.IFS(
Table1[[#This Row],[YearsAtCompany]]&lt;=2,"0-2 Years",
Table1[[#This Row],[YearsAtCompany]]&lt;=5,"3-5 Years",
Table1[[#This Row],[YearsAtCompany]]&lt;=10,"6-10 Years",
TRUE,"10+ Years")</f>
        <v>0-2 Years</v>
      </c>
    </row>
    <row r="779" spans="1:41"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tr">
        <f t="shared" si="24"/>
        <v>Research</v>
      </c>
      <c r="AK779">
        <f t="shared" si="25"/>
        <v>1</v>
      </c>
      <c r="AL779">
        <f>IF(Table1[[#This Row],[Attrition]]="Yes", Table1[[#This Row],[MonthlyIncome]]*12*1.5, 0)</f>
        <v>25488</v>
      </c>
      <c r="AM779" t="str" cm="1">
        <f t="array" ref="AM779">_xlfn.IFS(
Table1[[#This Row],[MonthlyIncome]]&lt;3000,"Under 3K",
Table1[[#This Row],[MonthlyIncome]]&lt;6000,"3K-6K",
Table1[[#This Row],[MonthlyIncome]]&lt;9000,"6K-9K",
Table1[[#This Row],[MonthlyIncome]]&lt;12000,"9K-12K",
TRUE,"12K+")</f>
        <v>Under 3K</v>
      </c>
      <c r="AN779">
        <f>1</f>
        <v>1</v>
      </c>
      <c r="AO779" t="str" cm="1">
        <f t="array" ref="AO779">_xlfn.IFS(
Table1[[#This Row],[YearsAtCompany]]&lt;=2,"0-2 Years",
Table1[[#This Row],[YearsAtCompany]]&lt;=5,"3-5 Years",
Table1[[#This Row],[YearsAtCompany]]&lt;=10,"6-10 Years",
TRUE,"10+ Years")</f>
        <v>0-2 Years</v>
      </c>
    </row>
    <row r="780" spans="1:41"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tr">
        <f t="shared" si="24"/>
        <v>Research</v>
      </c>
      <c r="AK780">
        <f t="shared" si="25"/>
        <v>0</v>
      </c>
      <c r="AL780">
        <f>IF(Table1[[#This Row],[Attrition]]="Yes", Table1[[#This Row],[MonthlyIncome]]*12*1.5, 0)</f>
        <v>0</v>
      </c>
      <c r="AM780" t="str" cm="1">
        <f t="array" ref="AM780">_xlfn.IFS(
Table1[[#This Row],[MonthlyIncome]]&lt;3000,"Under 3K",
Table1[[#This Row],[MonthlyIncome]]&lt;6000,"3K-6K",
Table1[[#This Row],[MonthlyIncome]]&lt;9000,"6K-9K",
Table1[[#This Row],[MonthlyIncome]]&lt;12000,"9K-12K",
TRUE,"12K+")</f>
        <v>3K-6K</v>
      </c>
      <c r="AN780">
        <f>1</f>
        <v>1</v>
      </c>
      <c r="AO780" t="str" cm="1">
        <f t="array" ref="AO780">_xlfn.IFS(
Table1[[#This Row],[YearsAtCompany]]&lt;=2,"0-2 Years",
Table1[[#This Row],[YearsAtCompany]]&lt;=5,"3-5 Years",
Table1[[#This Row],[YearsAtCompany]]&lt;=10,"6-10 Years",
TRUE,"10+ Years")</f>
        <v>10+ Years</v>
      </c>
    </row>
    <row r="781" spans="1:41"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tr">
        <f t="shared" si="24"/>
        <v>Research</v>
      </c>
      <c r="AK781">
        <f t="shared" si="25"/>
        <v>1</v>
      </c>
      <c r="AL781">
        <f>IF(Table1[[#This Row],[Attrition]]="Yes", Table1[[#This Row],[MonthlyIncome]]*12*1.5, 0)</f>
        <v>44298</v>
      </c>
      <c r="AM781" t="str" cm="1">
        <f t="array" ref="AM781">_xlfn.IFS(
Table1[[#This Row],[MonthlyIncome]]&lt;3000,"Under 3K",
Table1[[#This Row],[MonthlyIncome]]&lt;6000,"3K-6K",
Table1[[#This Row],[MonthlyIncome]]&lt;9000,"6K-9K",
Table1[[#This Row],[MonthlyIncome]]&lt;12000,"9K-12K",
TRUE,"12K+")</f>
        <v>Under 3K</v>
      </c>
      <c r="AN781">
        <f>1</f>
        <v>1</v>
      </c>
      <c r="AO781" t="str" cm="1">
        <f t="array" ref="AO781">_xlfn.IFS(
Table1[[#This Row],[YearsAtCompany]]&lt;=2,"0-2 Years",
Table1[[#This Row],[YearsAtCompany]]&lt;=5,"3-5 Years",
Table1[[#This Row],[YearsAtCompany]]&lt;=10,"6-10 Years",
TRUE,"10+ Years")</f>
        <v>6-10 Years</v>
      </c>
    </row>
    <row r="782" spans="1:41"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tr">
        <f t="shared" si="24"/>
        <v>Healthcare</v>
      </c>
      <c r="AK782">
        <f t="shared" si="25"/>
        <v>1</v>
      </c>
      <c r="AL782">
        <f>IF(Table1[[#This Row],[Attrition]]="Yes", Table1[[#This Row],[MonthlyIncome]]*12*1.5, 0)</f>
        <v>156996</v>
      </c>
      <c r="AM782" t="str" cm="1">
        <f t="array" ref="AM782">_xlfn.IFS(
Table1[[#This Row],[MonthlyIncome]]&lt;3000,"Under 3K",
Table1[[#This Row],[MonthlyIncome]]&lt;6000,"3K-6K",
Table1[[#This Row],[MonthlyIncome]]&lt;9000,"6K-9K",
Table1[[#This Row],[MonthlyIncome]]&lt;12000,"9K-12K",
TRUE,"12K+")</f>
        <v>6K-9K</v>
      </c>
      <c r="AN782">
        <f>1</f>
        <v>1</v>
      </c>
      <c r="AO782" t="str" cm="1">
        <f t="array" ref="AO782">_xlfn.IFS(
Table1[[#This Row],[YearsAtCompany]]&lt;=2,"0-2 Years",
Table1[[#This Row],[YearsAtCompany]]&lt;=5,"3-5 Years",
Table1[[#This Row],[YearsAtCompany]]&lt;=10,"6-10 Years",
TRUE,"10+ Years")</f>
        <v>6-10 Years</v>
      </c>
    </row>
    <row r="783" spans="1:41"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tr">
        <f t="shared" si="24"/>
        <v>Research</v>
      </c>
      <c r="AK783">
        <f t="shared" si="25"/>
        <v>0</v>
      </c>
      <c r="AL783">
        <f>IF(Table1[[#This Row],[Attrition]]="Yes", Table1[[#This Row],[MonthlyIncome]]*12*1.5, 0)</f>
        <v>0</v>
      </c>
      <c r="AM783" t="str" cm="1">
        <f t="array" ref="AM783">_xlfn.IFS(
Table1[[#This Row],[MonthlyIncome]]&lt;3000,"Under 3K",
Table1[[#This Row],[MonthlyIncome]]&lt;6000,"3K-6K",
Table1[[#This Row],[MonthlyIncome]]&lt;9000,"6K-9K",
Table1[[#This Row],[MonthlyIncome]]&lt;12000,"9K-12K",
TRUE,"12K+")</f>
        <v>3K-6K</v>
      </c>
      <c r="AN783">
        <f>1</f>
        <v>1</v>
      </c>
      <c r="AO783" t="str" cm="1">
        <f t="array" ref="AO783">_xlfn.IFS(
Table1[[#This Row],[YearsAtCompany]]&lt;=2,"0-2 Years",
Table1[[#This Row],[YearsAtCompany]]&lt;=5,"3-5 Years",
Table1[[#This Row],[YearsAtCompany]]&lt;=10,"6-10 Years",
TRUE,"10+ Years")</f>
        <v>3-5 Years</v>
      </c>
    </row>
    <row r="784" spans="1:41"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tr">
        <f t="shared" si="24"/>
        <v>Operations</v>
      </c>
      <c r="AK784">
        <f t="shared" si="25"/>
        <v>0</v>
      </c>
      <c r="AL784">
        <f>IF(Table1[[#This Row],[Attrition]]="Yes", Table1[[#This Row],[MonthlyIncome]]*12*1.5, 0)</f>
        <v>0</v>
      </c>
      <c r="AM784" t="str" cm="1">
        <f t="array" ref="AM784">_xlfn.IFS(
Table1[[#This Row],[MonthlyIncome]]&lt;3000,"Under 3K",
Table1[[#This Row],[MonthlyIncome]]&lt;6000,"3K-6K",
Table1[[#This Row],[MonthlyIncome]]&lt;9000,"6K-9K",
Table1[[#This Row],[MonthlyIncome]]&lt;12000,"9K-12K",
TRUE,"12K+")</f>
        <v>9K-12K</v>
      </c>
      <c r="AN784">
        <f>1</f>
        <v>1</v>
      </c>
      <c r="AO784" t="str" cm="1">
        <f t="array" ref="AO784">_xlfn.IFS(
Table1[[#This Row],[YearsAtCompany]]&lt;=2,"0-2 Years",
Table1[[#This Row],[YearsAtCompany]]&lt;=5,"3-5 Years",
Table1[[#This Row],[YearsAtCompany]]&lt;=10,"6-10 Years",
TRUE,"10+ Years")</f>
        <v>6-10 Years</v>
      </c>
    </row>
    <row r="785" spans="1:41"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tr">
        <f t="shared" si="24"/>
        <v>Research</v>
      </c>
      <c r="AK785">
        <f t="shared" si="25"/>
        <v>0</v>
      </c>
      <c r="AL785">
        <f>IF(Table1[[#This Row],[Attrition]]="Yes", Table1[[#This Row],[MonthlyIncome]]*12*1.5, 0)</f>
        <v>0</v>
      </c>
      <c r="AM785" t="str" cm="1">
        <f t="array" ref="AM785">_xlfn.IFS(
Table1[[#This Row],[MonthlyIncome]]&lt;3000,"Under 3K",
Table1[[#This Row],[MonthlyIncome]]&lt;6000,"3K-6K",
Table1[[#This Row],[MonthlyIncome]]&lt;9000,"6K-9K",
Table1[[#This Row],[MonthlyIncome]]&lt;12000,"9K-12K",
TRUE,"12K+")</f>
        <v>3K-6K</v>
      </c>
      <c r="AN785">
        <f>1</f>
        <v>1</v>
      </c>
      <c r="AO785" t="str" cm="1">
        <f t="array" ref="AO785">_xlfn.IFS(
Table1[[#This Row],[YearsAtCompany]]&lt;=2,"0-2 Years",
Table1[[#This Row],[YearsAtCompany]]&lt;=5,"3-5 Years",
Table1[[#This Row],[YearsAtCompany]]&lt;=10,"6-10 Years",
TRUE,"10+ Years")</f>
        <v>6-10 Years</v>
      </c>
    </row>
    <row r="786" spans="1:41"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tr">
        <f t="shared" si="24"/>
        <v>Healthcare</v>
      </c>
      <c r="AK786">
        <f t="shared" si="25"/>
        <v>0</v>
      </c>
      <c r="AL786">
        <f>IF(Table1[[#This Row],[Attrition]]="Yes", Table1[[#This Row],[MonthlyIncome]]*12*1.5, 0)</f>
        <v>0</v>
      </c>
      <c r="AM786" t="str" cm="1">
        <f t="array" ref="AM786">_xlfn.IFS(
Table1[[#This Row],[MonthlyIncome]]&lt;3000,"Under 3K",
Table1[[#This Row],[MonthlyIncome]]&lt;6000,"3K-6K",
Table1[[#This Row],[MonthlyIncome]]&lt;9000,"6K-9K",
Table1[[#This Row],[MonthlyIncome]]&lt;12000,"9K-12K",
TRUE,"12K+")</f>
        <v>6K-9K</v>
      </c>
      <c r="AN786">
        <f>1</f>
        <v>1</v>
      </c>
      <c r="AO786" t="str" cm="1">
        <f t="array" ref="AO786">_xlfn.IFS(
Table1[[#This Row],[YearsAtCompany]]&lt;=2,"0-2 Years",
Table1[[#This Row],[YearsAtCompany]]&lt;=5,"3-5 Years",
Table1[[#This Row],[YearsAtCompany]]&lt;=10,"6-10 Years",
TRUE,"10+ Years")</f>
        <v>10+ Years</v>
      </c>
    </row>
    <row r="787" spans="1:41"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tr">
        <f t="shared" si="24"/>
        <v>Healthcare</v>
      </c>
      <c r="AK787">
        <f t="shared" si="25"/>
        <v>0</v>
      </c>
      <c r="AL787">
        <f>IF(Table1[[#This Row],[Attrition]]="Yes", Table1[[#This Row],[MonthlyIncome]]*12*1.5, 0)</f>
        <v>0</v>
      </c>
      <c r="AM787" t="str" cm="1">
        <f t="array" ref="AM787">_xlfn.IFS(
Table1[[#This Row],[MonthlyIncome]]&lt;3000,"Under 3K",
Table1[[#This Row],[MonthlyIncome]]&lt;6000,"3K-6K",
Table1[[#This Row],[MonthlyIncome]]&lt;9000,"6K-9K",
Table1[[#This Row],[MonthlyIncome]]&lt;12000,"9K-12K",
TRUE,"12K+")</f>
        <v>9K-12K</v>
      </c>
      <c r="AN787">
        <f>1</f>
        <v>1</v>
      </c>
      <c r="AO787" t="str" cm="1">
        <f t="array" ref="AO787">_xlfn.IFS(
Table1[[#This Row],[YearsAtCompany]]&lt;=2,"0-2 Years",
Table1[[#This Row],[YearsAtCompany]]&lt;=5,"3-5 Years",
Table1[[#This Row],[YearsAtCompany]]&lt;=10,"6-10 Years",
TRUE,"10+ Years")</f>
        <v>10+ Years</v>
      </c>
    </row>
    <row r="788" spans="1:41"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tr">
        <f t="shared" si="24"/>
        <v>Research</v>
      </c>
      <c r="AK788">
        <f t="shared" si="25"/>
        <v>0</v>
      </c>
      <c r="AL788">
        <f>IF(Table1[[#This Row],[Attrition]]="Yes", Table1[[#This Row],[MonthlyIncome]]*12*1.5, 0)</f>
        <v>0</v>
      </c>
      <c r="AM788" t="str" cm="1">
        <f t="array" ref="AM788">_xlfn.IFS(
Table1[[#This Row],[MonthlyIncome]]&lt;3000,"Under 3K",
Table1[[#This Row],[MonthlyIncome]]&lt;6000,"3K-6K",
Table1[[#This Row],[MonthlyIncome]]&lt;9000,"6K-9K",
Table1[[#This Row],[MonthlyIncome]]&lt;12000,"9K-12K",
TRUE,"12K+")</f>
        <v>3K-6K</v>
      </c>
      <c r="AN788">
        <f>1</f>
        <v>1</v>
      </c>
      <c r="AO788" t="str" cm="1">
        <f t="array" ref="AO788">_xlfn.IFS(
Table1[[#This Row],[YearsAtCompany]]&lt;=2,"0-2 Years",
Table1[[#This Row],[YearsAtCompany]]&lt;=5,"3-5 Years",
Table1[[#This Row],[YearsAtCompany]]&lt;=10,"6-10 Years",
TRUE,"10+ Years")</f>
        <v>3-5 Years</v>
      </c>
    </row>
    <row r="789" spans="1:41"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tr">
        <f t="shared" si="24"/>
        <v>Operations</v>
      </c>
      <c r="AK789">
        <f t="shared" si="25"/>
        <v>0</v>
      </c>
      <c r="AL789">
        <f>IF(Table1[[#This Row],[Attrition]]="Yes", Table1[[#This Row],[MonthlyIncome]]*12*1.5, 0)</f>
        <v>0</v>
      </c>
      <c r="AM789" t="str" cm="1">
        <f t="array" ref="AM789">_xlfn.IFS(
Table1[[#This Row],[MonthlyIncome]]&lt;3000,"Under 3K",
Table1[[#This Row],[MonthlyIncome]]&lt;6000,"3K-6K",
Table1[[#This Row],[MonthlyIncome]]&lt;9000,"6K-9K",
Table1[[#This Row],[MonthlyIncome]]&lt;12000,"9K-12K",
TRUE,"12K+")</f>
        <v>9K-12K</v>
      </c>
      <c r="AN789">
        <f>1</f>
        <v>1</v>
      </c>
      <c r="AO789" t="str" cm="1">
        <f t="array" ref="AO789">_xlfn.IFS(
Table1[[#This Row],[YearsAtCompany]]&lt;=2,"0-2 Years",
Table1[[#This Row],[YearsAtCompany]]&lt;=5,"3-5 Years",
Table1[[#This Row],[YearsAtCompany]]&lt;=10,"6-10 Years",
TRUE,"10+ Years")</f>
        <v>3-5 Years</v>
      </c>
    </row>
    <row r="790" spans="1:41"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tr">
        <f t="shared" si="24"/>
        <v>Research</v>
      </c>
      <c r="AK790">
        <f t="shared" si="25"/>
        <v>0</v>
      </c>
      <c r="AL790">
        <f>IF(Table1[[#This Row],[Attrition]]="Yes", Table1[[#This Row],[MonthlyIncome]]*12*1.5, 0)</f>
        <v>0</v>
      </c>
      <c r="AM790" t="str" cm="1">
        <f t="array" ref="AM790">_xlfn.IFS(
Table1[[#This Row],[MonthlyIncome]]&lt;3000,"Under 3K",
Table1[[#This Row],[MonthlyIncome]]&lt;6000,"3K-6K",
Table1[[#This Row],[MonthlyIncome]]&lt;9000,"6K-9K",
Table1[[#This Row],[MonthlyIncome]]&lt;12000,"9K-12K",
TRUE,"12K+")</f>
        <v>3K-6K</v>
      </c>
      <c r="AN790">
        <f>1</f>
        <v>1</v>
      </c>
      <c r="AO790" t="str" cm="1">
        <f t="array" ref="AO790">_xlfn.IFS(
Table1[[#This Row],[YearsAtCompany]]&lt;=2,"0-2 Years",
Table1[[#This Row],[YearsAtCompany]]&lt;=5,"3-5 Years",
Table1[[#This Row],[YearsAtCompany]]&lt;=10,"6-10 Years",
TRUE,"10+ Years")</f>
        <v>6-10 Years</v>
      </c>
    </row>
    <row r="791" spans="1:41"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tr">
        <f t="shared" si="24"/>
        <v>Human Resources</v>
      </c>
      <c r="AK791">
        <f t="shared" si="25"/>
        <v>1</v>
      </c>
      <c r="AL791">
        <f>IF(Table1[[#This Row],[Attrition]]="Yes", Table1[[#This Row],[MonthlyIncome]]*12*1.5, 0)</f>
        <v>188676</v>
      </c>
      <c r="AM791" t="str" cm="1">
        <f t="array" ref="AM791">_xlfn.IFS(
Table1[[#This Row],[MonthlyIncome]]&lt;3000,"Under 3K",
Table1[[#This Row],[MonthlyIncome]]&lt;6000,"3K-6K",
Table1[[#This Row],[MonthlyIncome]]&lt;9000,"6K-9K",
Table1[[#This Row],[MonthlyIncome]]&lt;12000,"9K-12K",
TRUE,"12K+")</f>
        <v>9K-12K</v>
      </c>
      <c r="AN791">
        <f>1</f>
        <v>1</v>
      </c>
      <c r="AO791" t="str" cm="1">
        <f t="array" ref="AO791">_xlfn.IFS(
Table1[[#This Row],[YearsAtCompany]]&lt;=2,"0-2 Years",
Table1[[#This Row],[YearsAtCompany]]&lt;=5,"3-5 Years",
Table1[[#This Row],[YearsAtCompany]]&lt;=10,"6-10 Years",
TRUE,"10+ Years")</f>
        <v>10+ Years</v>
      </c>
    </row>
    <row r="792" spans="1:41"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tr">
        <f t="shared" si="24"/>
        <v>Healthcare</v>
      </c>
      <c r="AK792">
        <f t="shared" si="25"/>
        <v>0</v>
      </c>
      <c r="AL792">
        <f>IF(Table1[[#This Row],[Attrition]]="Yes", Table1[[#This Row],[MonthlyIncome]]*12*1.5, 0)</f>
        <v>0</v>
      </c>
      <c r="AM792" t="str" cm="1">
        <f t="array" ref="AM792">_xlfn.IFS(
Table1[[#This Row],[MonthlyIncome]]&lt;3000,"Under 3K",
Table1[[#This Row],[MonthlyIncome]]&lt;6000,"3K-6K",
Table1[[#This Row],[MonthlyIncome]]&lt;9000,"6K-9K",
Table1[[#This Row],[MonthlyIncome]]&lt;12000,"9K-12K",
TRUE,"12K+")</f>
        <v>6K-9K</v>
      </c>
      <c r="AN792">
        <f>1</f>
        <v>1</v>
      </c>
      <c r="AO792" t="str" cm="1">
        <f t="array" ref="AO792">_xlfn.IFS(
Table1[[#This Row],[YearsAtCompany]]&lt;=2,"0-2 Years",
Table1[[#This Row],[YearsAtCompany]]&lt;=5,"3-5 Years",
Table1[[#This Row],[YearsAtCompany]]&lt;=10,"6-10 Years",
TRUE,"10+ Years")</f>
        <v>3-5 Years</v>
      </c>
    </row>
    <row r="793" spans="1:41"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tr">
        <f t="shared" si="24"/>
        <v>Sales</v>
      </c>
      <c r="AK793">
        <f t="shared" si="25"/>
        <v>1</v>
      </c>
      <c r="AL793">
        <f>IF(Table1[[#This Row],[Attrition]]="Yes", Table1[[#This Row],[MonthlyIncome]]*12*1.5, 0)</f>
        <v>172476</v>
      </c>
      <c r="AM793" t="str" cm="1">
        <f t="array" ref="AM793">_xlfn.IFS(
Table1[[#This Row],[MonthlyIncome]]&lt;3000,"Under 3K",
Table1[[#This Row],[MonthlyIncome]]&lt;6000,"3K-6K",
Table1[[#This Row],[MonthlyIncome]]&lt;9000,"6K-9K",
Table1[[#This Row],[MonthlyIncome]]&lt;12000,"9K-12K",
TRUE,"12K+")</f>
        <v>9K-12K</v>
      </c>
      <c r="AN793">
        <f>1</f>
        <v>1</v>
      </c>
      <c r="AO793" t="str" cm="1">
        <f t="array" ref="AO793">_xlfn.IFS(
Table1[[#This Row],[YearsAtCompany]]&lt;=2,"0-2 Years",
Table1[[#This Row],[YearsAtCompany]]&lt;=5,"3-5 Years",
Table1[[#This Row],[YearsAtCompany]]&lt;=10,"6-10 Years",
TRUE,"10+ Years")</f>
        <v>6-10 Years</v>
      </c>
    </row>
    <row r="794" spans="1:41"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tr">
        <f t="shared" si="24"/>
        <v>Research</v>
      </c>
      <c r="AK794">
        <f t="shared" si="25"/>
        <v>1</v>
      </c>
      <c r="AL794">
        <f>IF(Table1[[#This Row],[Attrition]]="Yes", Table1[[#This Row],[MonthlyIncome]]*12*1.5, 0)</f>
        <v>81144</v>
      </c>
      <c r="AM794" t="str" cm="1">
        <f t="array" ref="AM794">_xlfn.IFS(
Table1[[#This Row],[MonthlyIncome]]&lt;3000,"Under 3K",
Table1[[#This Row],[MonthlyIncome]]&lt;6000,"3K-6K",
Table1[[#This Row],[MonthlyIncome]]&lt;9000,"6K-9K",
Table1[[#This Row],[MonthlyIncome]]&lt;12000,"9K-12K",
TRUE,"12K+")</f>
        <v>3K-6K</v>
      </c>
      <c r="AN794">
        <f>1</f>
        <v>1</v>
      </c>
      <c r="AO794" t="str" cm="1">
        <f t="array" ref="AO794">_xlfn.IFS(
Table1[[#This Row],[YearsAtCompany]]&lt;=2,"0-2 Years",
Table1[[#This Row],[YearsAtCompany]]&lt;=5,"3-5 Years",
Table1[[#This Row],[YearsAtCompany]]&lt;=10,"6-10 Years",
TRUE,"10+ Years")</f>
        <v>10+ Years</v>
      </c>
    </row>
    <row r="795" spans="1:41"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tr">
        <f t="shared" si="24"/>
        <v>Research</v>
      </c>
      <c r="AK795">
        <f t="shared" si="25"/>
        <v>0</v>
      </c>
      <c r="AL795">
        <f>IF(Table1[[#This Row],[Attrition]]="Yes", Table1[[#This Row],[MonthlyIncome]]*12*1.5, 0)</f>
        <v>0</v>
      </c>
      <c r="AM795" t="str" cm="1">
        <f t="array" ref="AM795">_xlfn.IFS(
Table1[[#This Row],[MonthlyIncome]]&lt;3000,"Under 3K",
Table1[[#This Row],[MonthlyIncome]]&lt;6000,"3K-6K",
Table1[[#This Row],[MonthlyIncome]]&lt;9000,"6K-9K",
Table1[[#This Row],[MonthlyIncome]]&lt;12000,"9K-12K",
TRUE,"12K+")</f>
        <v>Under 3K</v>
      </c>
      <c r="AN795">
        <f>1</f>
        <v>1</v>
      </c>
      <c r="AO795" t="str" cm="1">
        <f t="array" ref="AO795">_xlfn.IFS(
Table1[[#This Row],[YearsAtCompany]]&lt;=2,"0-2 Years",
Table1[[#This Row],[YearsAtCompany]]&lt;=5,"3-5 Years",
Table1[[#This Row],[YearsAtCompany]]&lt;=10,"6-10 Years",
TRUE,"10+ Years")</f>
        <v>3-5 Years</v>
      </c>
    </row>
    <row r="796" spans="1:41"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tr">
        <f t="shared" si="24"/>
        <v>Healthcare</v>
      </c>
      <c r="AK796">
        <f t="shared" si="25"/>
        <v>0</v>
      </c>
      <c r="AL796">
        <f>IF(Table1[[#This Row],[Attrition]]="Yes", Table1[[#This Row],[MonthlyIncome]]*12*1.5, 0)</f>
        <v>0</v>
      </c>
      <c r="AM796" t="str" cm="1">
        <f t="array" ref="AM796">_xlfn.IFS(
Table1[[#This Row],[MonthlyIncome]]&lt;3000,"Under 3K",
Table1[[#This Row],[MonthlyIncome]]&lt;6000,"3K-6K",
Table1[[#This Row],[MonthlyIncome]]&lt;9000,"6K-9K",
Table1[[#This Row],[MonthlyIncome]]&lt;12000,"9K-12K",
TRUE,"12K+")</f>
        <v>6K-9K</v>
      </c>
      <c r="AN796">
        <f>1</f>
        <v>1</v>
      </c>
      <c r="AO796" t="str" cm="1">
        <f t="array" ref="AO796">_xlfn.IFS(
Table1[[#This Row],[YearsAtCompany]]&lt;=2,"0-2 Years",
Table1[[#This Row],[YearsAtCompany]]&lt;=5,"3-5 Years",
Table1[[#This Row],[YearsAtCompany]]&lt;=10,"6-10 Years",
TRUE,"10+ Years")</f>
        <v>6-10 Years</v>
      </c>
    </row>
    <row r="797" spans="1:41"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tr">
        <f t="shared" si="24"/>
        <v>Sales</v>
      </c>
      <c r="AK797">
        <f t="shared" si="25"/>
        <v>0</v>
      </c>
      <c r="AL797">
        <f>IF(Table1[[#This Row],[Attrition]]="Yes", Table1[[#This Row],[MonthlyIncome]]*12*1.5, 0)</f>
        <v>0</v>
      </c>
      <c r="AM797" t="str" cm="1">
        <f t="array" ref="AM797">_xlfn.IFS(
Table1[[#This Row],[MonthlyIncome]]&lt;3000,"Under 3K",
Table1[[#This Row],[MonthlyIncome]]&lt;6000,"3K-6K",
Table1[[#This Row],[MonthlyIncome]]&lt;9000,"6K-9K",
Table1[[#This Row],[MonthlyIncome]]&lt;12000,"9K-12K",
TRUE,"12K+")</f>
        <v>6K-9K</v>
      </c>
      <c r="AN797">
        <f>1</f>
        <v>1</v>
      </c>
      <c r="AO797" t="str" cm="1">
        <f t="array" ref="AO797">_xlfn.IFS(
Table1[[#This Row],[YearsAtCompany]]&lt;=2,"0-2 Years",
Table1[[#This Row],[YearsAtCompany]]&lt;=5,"3-5 Years",
Table1[[#This Row],[YearsAtCompany]]&lt;=10,"6-10 Years",
TRUE,"10+ Years")</f>
        <v>0-2 Years</v>
      </c>
    </row>
    <row r="798" spans="1:41"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tr">
        <f t="shared" si="24"/>
        <v>Research</v>
      </c>
      <c r="AK798">
        <f t="shared" si="25"/>
        <v>1</v>
      </c>
      <c r="AL798">
        <f>IF(Table1[[#This Row],[Attrition]]="Yes", Table1[[#This Row],[MonthlyIncome]]*12*1.5, 0)</f>
        <v>66438</v>
      </c>
      <c r="AM798" t="str" cm="1">
        <f t="array" ref="AM798">_xlfn.IFS(
Table1[[#This Row],[MonthlyIncome]]&lt;3000,"Under 3K",
Table1[[#This Row],[MonthlyIncome]]&lt;6000,"3K-6K",
Table1[[#This Row],[MonthlyIncome]]&lt;9000,"6K-9K",
Table1[[#This Row],[MonthlyIncome]]&lt;12000,"9K-12K",
TRUE,"12K+")</f>
        <v>3K-6K</v>
      </c>
      <c r="AN798">
        <f>1</f>
        <v>1</v>
      </c>
      <c r="AO798" t="str" cm="1">
        <f t="array" ref="AO798">_xlfn.IFS(
Table1[[#This Row],[YearsAtCompany]]&lt;=2,"0-2 Years",
Table1[[#This Row],[YearsAtCompany]]&lt;=5,"3-5 Years",
Table1[[#This Row],[YearsAtCompany]]&lt;=10,"6-10 Years",
TRUE,"10+ Years")</f>
        <v>6-10 Years</v>
      </c>
    </row>
    <row r="799" spans="1:41"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tr">
        <f t="shared" si="24"/>
        <v>Research</v>
      </c>
      <c r="AK799">
        <f t="shared" si="25"/>
        <v>1</v>
      </c>
      <c r="AL799">
        <f>IF(Table1[[#This Row],[Attrition]]="Yes", Table1[[#This Row],[MonthlyIncome]]*12*1.5, 0)</f>
        <v>42786</v>
      </c>
      <c r="AM799" t="str" cm="1">
        <f t="array" ref="AM799">_xlfn.IFS(
Table1[[#This Row],[MonthlyIncome]]&lt;3000,"Under 3K",
Table1[[#This Row],[MonthlyIncome]]&lt;6000,"3K-6K",
Table1[[#This Row],[MonthlyIncome]]&lt;9000,"6K-9K",
Table1[[#This Row],[MonthlyIncome]]&lt;12000,"9K-12K",
TRUE,"12K+")</f>
        <v>Under 3K</v>
      </c>
      <c r="AN799">
        <f>1</f>
        <v>1</v>
      </c>
      <c r="AO799" t="str" cm="1">
        <f t="array" ref="AO799">_xlfn.IFS(
Table1[[#This Row],[YearsAtCompany]]&lt;=2,"0-2 Years",
Table1[[#This Row],[YearsAtCompany]]&lt;=5,"3-5 Years",
Table1[[#This Row],[YearsAtCompany]]&lt;=10,"6-10 Years",
TRUE,"10+ Years")</f>
        <v>0-2 Years</v>
      </c>
    </row>
    <row r="800" spans="1:41"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tr">
        <f t="shared" si="24"/>
        <v>Research</v>
      </c>
      <c r="AK800">
        <f t="shared" si="25"/>
        <v>1</v>
      </c>
      <c r="AL800">
        <f>IF(Table1[[#This Row],[Attrition]]="Yes", Table1[[#This Row],[MonthlyIncome]]*12*1.5, 0)</f>
        <v>41634</v>
      </c>
      <c r="AM800" t="str" cm="1">
        <f t="array" ref="AM800">_xlfn.IFS(
Table1[[#This Row],[MonthlyIncome]]&lt;3000,"Under 3K",
Table1[[#This Row],[MonthlyIncome]]&lt;6000,"3K-6K",
Table1[[#This Row],[MonthlyIncome]]&lt;9000,"6K-9K",
Table1[[#This Row],[MonthlyIncome]]&lt;12000,"9K-12K",
TRUE,"12K+")</f>
        <v>Under 3K</v>
      </c>
      <c r="AN800">
        <f>1</f>
        <v>1</v>
      </c>
      <c r="AO800" t="str" cm="1">
        <f t="array" ref="AO800">_xlfn.IFS(
Table1[[#This Row],[YearsAtCompany]]&lt;=2,"0-2 Years",
Table1[[#This Row],[YearsAtCompany]]&lt;=5,"3-5 Years",
Table1[[#This Row],[YearsAtCompany]]&lt;=10,"6-10 Years",
TRUE,"10+ Years")</f>
        <v>0-2 Years</v>
      </c>
    </row>
    <row r="801" spans="1:41"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tr">
        <f t="shared" si="24"/>
        <v>Management</v>
      </c>
      <c r="AK801">
        <f t="shared" si="25"/>
        <v>0</v>
      </c>
      <c r="AL801">
        <f>IF(Table1[[#This Row],[Attrition]]="Yes", Table1[[#This Row],[MonthlyIncome]]*12*1.5, 0)</f>
        <v>0</v>
      </c>
      <c r="AM801" t="str" cm="1">
        <f t="array" ref="AM801">_xlfn.IFS(
Table1[[#This Row],[MonthlyIncome]]&lt;3000,"Under 3K",
Table1[[#This Row],[MonthlyIncome]]&lt;6000,"3K-6K",
Table1[[#This Row],[MonthlyIncome]]&lt;9000,"6K-9K",
Table1[[#This Row],[MonthlyIncome]]&lt;12000,"9K-12K",
TRUE,"12K+")</f>
        <v>12K+</v>
      </c>
      <c r="AN801">
        <f>1</f>
        <v>1</v>
      </c>
      <c r="AO801" t="str" cm="1">
        <f t="array" ref="AO801">_xlfn.IFS(
Table1[[#This Row],[YearsAtCompany]]&lt;=2,"0-2 Years",
Table1[[#This Row],[YearsAtCompany]]&lt;=5,"3-5 Years",
Table1[[#This Row],[YearsAtCompany]]&lt;=10,"6-10 Years",
TRUE,"10+ Years")</f>
        <v>10+ Years</v>
      </c>
    </row>
    <row r="802" spans="1:41"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tr">
        <f t="shared" si="24"/>
        <v>Research</v>
      </c>
      <c r="AK802">
        <f t="shared" si="25"/>
        <v>1</v>
      </c>
      <c r="AL802">
        <f>IF(Table1[[#This Row],[Attrition]]="Yes", Table1[[#This Row],[MonthlyIncome]]*12*1.5, 0)</f>
        <v>46728</v>
      </c>
      <c r="AM802" t="str" cm="1">
        <f t="array" ref="AM802">_xlfn.IFS(
Table1[[#This Row],[MonthlyIncome]]&lt;3000,"Under 3K",
Table1[[#This Row],[MonthlyIncome]]&lt;6000,"3K-6K",
Table1[[#This Row],[MonthlyIncome]]&lt;9000,"6K-9K",
Table1[[#This Row],[MonthlyIncome]]&lt;12000,"9K-12K",
TRUE,"12K+")</f>
        <v>Under 3K</v>
      </c>
      <c r="AN802">
        <f>1</f>
        <v>1</v>
      </c>
      <c r="AO802" t="str" cm="1">
        <f t="array" ref="AO802">_xlfn.IFS(
Table1[[#This Row],[YearsAtCompany]]&lt;=2,"0-2 Years",
Table1[[#This Row],[YearsAtCompany]]&lt;=5,"3-5 Years",
Table1[[#This Row],[YearsAtCompany]]&lt;=10,"6-10 Years",
TRUE,"10+ Years")</f>
        <v>0-2 Years</v>
      </c>
    </row>
    <row r="803" spans="1:41"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tr">
        <f t="shared" si="24"/>
        <v>Sales</v>
      </c>
      <c r="AK803">
        <f t="shared" si="25"/>
        <v>1</v>
      </c>
      <c r="AL803">
        <f>IF(Table1[[#This Row],[Attrition]]="Yes", Table1[[#This Row],[MonthlyIncome]]*12*1.5, 0)</f>
        <v>85104</v>
      </c>
      <c r="AM803" t="str" cm="1">
        <f t="array" ref="AM803">_xlfn.IFS(
Table1[[#This Row],[MonthlyIncome]]&lt;3000,"Under 3K",
Table1[[#This Row],[MonthlyIncome]]&lt;6000,"3K-6K",
Table1[[#This Row],[MonthlyIncome]]&lt;9000,"6K-9K",
Table1[[#This Row],[MonthlyIncome]]&lt;12000,"9K-12K",
TRUE,"12K+")</f>
        <v>3K-6K</v>
      </c>
      <c r="AN803">
        <f>1</f>
        <v>1</v>
      </c>
      <c r="AO803" t="str" cm="1">
        <f t="array" ref="AO803">_xlfn.IFS(
Table1[[#This Row],[YearsAtCompany]]&lt;=2,"0-2 Years",
Table1[[#This Row],[YearsAtCompany]]&lt;=5,"3-5 Years",
Table1[[#This Row],[YearsAtCompany]]&lt;=10,"6-10 Years",
TRUE,"10+ Years")</f>
        <v>0-2 Years</v>
      </c>
    </row>
    <row r="804" spans="1:41"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tr">
        <f t="shared" si="24"/>
        <v>Sales</v>
      </c>
      <c r="AK804">
        <f t="shared" si="25"/>
        <v>0</v>
      </c>
      <c r="AL804">
        <f>IF(Table1[[#This Row],[Attrition]]="Yes", Table1[[#This Row],[MonthlyIncome]]*12*1.5, 0)</f>
        <v>0</v>
      </c>
      <c r="AM804" t="str" cm="1">
        <f t="array" ref="AM804">_xlfn.IFS(
Table1[[#This Row],[MonthlyIncome]]&lt;3000,"Under 3K",
Table1[[#This Row],[MonthlyIncome]]&lt;6000,"3K-6K",
Table1[[#This Row],[MonthlyIncome]]&lt;9000,"6K-9K",
Table1[[#This Row],[MonthlyIncome]]&lt;12000,"9K-12K",
TRUE,"12K+")</f>
        <v>3K-6K</v>
      </c>
      <c r="AN804">
        <f>1</f>
        <v>1</v>
      </c>
      <c r="AO804" t="str" cm="1">
        <f t="array" ref="AO804">_xlfn.IFS(
Table1[[#This Row],[YearsAtCompany]]&lt;=2,"0-2 Years",
Table1[[#This Row],[YearsAtCompany]]&lt;=5,"3-5 Years",
Table1[[#This Row],[YearsAtCompany]]&lt;=10,"6-10 Years",
TRUE,"10+ Years")</f>
        <v>3-5 Years</v>
      </c>
    </row>
    <row r="805" spans="1:41"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tr">
        <f t="shared" si="24"/>
        <v>Research</v>
      </c>
      <c r="AK805">
        <f t="shared" si="25"/>
        <v>0</v>
      </c>
      <c r="AL805">
        <f>IF(Table1[[#This Row],[Attrition]]="Yes", Table1[[#This Row],[MonthlyIncome]]*12*1.5, 0)</f>
        <v>0</v>
      </c>
      <c r="AM805" t="str" cm="1">
        <f t="array" ref="AM805">_xlfn.IFS(
Table1[[#This Row],[MonthlyIncome]]&lt;3000,"Under 3K",
Table1[[#This Row],[MonthlyIncome]]&lt;6000,"3K-6K",
Table1[[#This Row],[MonthlyIncome]]&lt;9000,"6K-9K",
Table1[[#This Row],[MonthlyIncome]]&lt;12000,"9K-12K",
TRUE,"12K+")</f>
        <v>Under 3K</v>
      </c>
      <c r="AN805">
        <f>1</f>
        <v>1</v>
      </c>
      <c r="AO805" t="str" cm="1">
        <f t="array" ref="AO805">_xlfn.IFS(
Table1[[#This Row],[YearsAtCompany]]&lt;=2,"0-2 Years",
Table1[[#This Row],[YearsAtCompany]]&lt;=5,"3-5 Years",
Table1[[#This Row],[YearsAtCompany]]&lt;=10,"6-10 Years",
TRUE,"10+ Years")</f>
        <v>0-2 Years</v>
      </c>
    </row>
    <row r="806" spans="1:41"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tr">
        <f t="shared" si="24"/>
        <v>Management</v>
      </c>
      <c r="AK806">
        <f t="shared" si="25"/>
        <v>0</v>
      </c>
      <c r="AL806">
        <f>IF(Table1[[#This Row],[Attrition]]="Yes", Table1[[#This Row],[MonthlyIncome]]*12*1.5, 0)</f>
        <v>0</v>
      </c>
      <c r="AM806" t="str" cm="1">
        <f t="array" ref="AM806">_xlfn.IFS(
Table1[[#This Row],[MonthlyIncome]]&lt;3000,"Under 3K",
Table1[[#This Row],[MonthlyIncome]]&lt;6000,"3K-6K",
Table1[[#This Row],[MonthlyIncome]]&lt;9000,"6K-9K",
Table1[[#This Row],[MonthlyIncome]]&lt;12000,"9K-12K",
TRUE,"12K+")</f>
        <v>12K+</v>
      </c>
      <c r="AN806">
        <f>1</f>
        <v>1</v>
      </c>
      <c r="AO806" t="str" cm="1">
        <f t="array" ref="AO806">_xlfn.IFS(
Table1[[#This Row],[YearsAtCompany]]&lt;=2,"0-2 Years",
Table1[[#This Row],[YearsAtCompany]]&lt;=5,"3-5 Years",
Table1[[#This Row],[YearsAtCompany]]&lt;=10,"6-10 Years",
TRUE,"10+ Years")</f>
        <v>3-5 Years</v>
      </c>
    </row>
    <row r="807" spans="1:41"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tr">
        <f t="shared" si="24"/>
        <v>Sales</v>
      </c>
      <c r="AK807">
        <f t="shared" si="25"/>
        <v>0</v>
      </c>
      <c r="AL807">
        <f>IF(Table1[[#This Row],[Attrition]]="Yes", Table1[[#This Row],[MonthlyIncome]]*12*1.5, 0)</f>
        <v>0</v>
      </c>
      <c r="AM807" t="str" cm="1">
        <f t="array" ref="AM807">_xlfn.IFS(
Table1[[#This Row],[MonthlyIncome]]&lt;3000,"Under 3K",
Table1[[#This Row],[MonthlyIncome]]&lt;6000,"3K-6K",
Table1[[#This Row],[MonthlyIncome]]&lt;9000,"6K-9K",
Table1[[#This Row],[MonthlyIncome]]&lt;12000,"9K-12K",
TRUE,"12K+")</f>
        <v>3K-6K</v>
      </c>
      <c r="AN807">
        <f>1</f>
        <v>1</v>
      </c>
      <c r="AO807" t="str" cm="1">
        <f t="array" ref="AO807">_xlfn.IFS(
Table1[[#This Row],[YearsAtCompany]]&lt;=2,"0-2 Years",
Table1[[#This Row],[YearsAtCompany]]&lt;=5,"3-5 Years",
Table1[[#This Row],[YearsAtCompany]]&lt;=10,"6-10 Years",
TRUE,"10+ Years")</f>
        <v>10+ Years</v>
      </c>
    </row>
    <row r="808" spans="1:41"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tr">
        <f t="shared" si="24"/>
        <v>Healthcare</v>
      </c>
      <c r="AK808">
        <f t="shared" si="25"/>
        <v>0</v>
      </c>
      <c r="AL808">
        <f>IF(Table1[[#This Row],[Attrition]]="Yes", Table1[[#This Row],[MonthlyIncome]]*12*1.5, 0)</f>
        <v>0</v>
      </c>
      <c r="AM808" t="str" cm="1">
        <f t="array" ref="AM808">_xlfn.IFS(
Table1[[#This Row],[MonthlyIncome]]&lt;3000,"Under 3K",
Table1[[#This Row],[MonthlyIncome]]&lt;6000,"3K-6K",
Table1[[#This Row],[MonthlyIncome]]&lt;9000,"6K-9K",
Table1[[#This Row],[MonthlyIncome]]&lt;12000,"9K-12K",
TRUE,"12K+")</f>
        <v>9K-12K</v>
      </c>
      <c r="AN808">
        <f>1</f>
        <v>1</v>
      </c>
      <c r="AO808" t="str" cm="1">
        <f t="array" ref="AO808">_xlfn.IFS(
Table1[[#This Row],[YearsAtCompany]]&lt;=2,"0-2 Years",
Table1[[#This Row],[YearsAtCompany]]&lt;=5,"3-5 Years",
Table1[[#This Row],[YearsAtCompany]]&lt;=10,"6-10 Years",
TRUE,"10+ Years")</f>
        <v>6-10 Years</v>
      </c>
    </row>
    <row r="809" spans="1:41"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tr">
        <f t="shared" si="24"/>
        <v>Sales</v>
      </c>
      <c r="AK809">
        <f t="shared" si="25"/>
        <v>0</v>
      </c>
      <c r="AL809">
        <f>IF(Table1[[#This Row],[Attrition]]="Yes", Table1[[#This Row],[MonthlyIncome]]*12*1.5, 0)</f>
        <v>0</v>
      </c>
      <c r="AM809" t="str" cm="1">
        <f t="array" ref="AM809">_xlfn.IFS(
Table1[[#This Row],[MonthlyIncome]]&lt;3000,"Under 3K",
Table1[[#This Row],[MonthlyIncome]]&lt;6000,"3K-6K",
Table1[[#This Row],[MonthlyIncome]]&lt;9000,"6K-9K",
Table1[[#This Row],[MonthlyIncome]]&lt;12000,"9K-12K",
TRUE,"12K+")</f>
        <v>6K-9K</v>
      </c>
      <c r="AN809">
        <f>1</f>
        <v>1</v>
      </c>
      <c r="AO809" t="str" cm="1">
        <f t="array" ref="AO809">_xlfn.IFS(
Table1[[#This Row],[YearsAtCompany]]&lt;=2,"0-2 Years",
Table1[[#This Row],[YearsAtCompany]]&lt;=5,"3-5 Years",
Table1[[#This Row],[YearsAtCompany]]&lt;=10,"6-10 Years",
TRUE,"10+ Years")</f>
        <v>6-10 Years</v>
      </c>
    </row>
    <row r="810" spans="1:41"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tr">
        <f t="shared" si="24"/>
        <v>Research</v>
      </c>
      <c r="AK810">
        <f t="shared" si="25"/>
        <v>0</v>
      </c>
      <c r="AL810">
        <f>IF(Table1[[#This Row],[Attrition]]="Yes", Table1[[#This Row],[MonthlyIncome]]*12*1.5, 0)</f>
        <v>0</v>
      </c>
      <c r="AM810" t="str" cm="1">
        <f t="array" ref="AM810">_xlfn.IFS(
Table1[[#This Row],[MonthlyIncome]]&lt;3000,"Under 3K",
Table1[[#This Row],[MonthlyIncome]]&lt;6000,"3K-6K",
Table1[[#This Row],[MonthlyIncome]]&lt;9000,"6K-9K",
Table1[[#This Row],[MonthlyIncome]]&lt;12000,"9K-12K",
TRUE,"12K+")</f>
        <v>Under 3K</v>
      </c>
      <c r="AN810">
        <f>1</f>
        <v>1</v>
      </c>
      <c r="AO810" t="str" cm="1">
        <f t="array" ref="AO810">_xlfn.IFS(
Table1[[#This Row],[YearsAtCompany]]&lt;=2,"0-2 Years",
Table1[[#This Row],[YearsAtCompany]]&lt;=5,"3-5 Years",
Table1[[#This Row],[YearsAtCompany]]&lt;=10,"6-10 Years",
TRUE,"10+ Years")</f>
        <v>6-10 Years</v>
      </c>
    </row>
    <row r="811" spans="1:41"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tr">
        <f t="shared" si="24"/>
        <v>Operations</v>
      </c>
      <c r="AK811">
        <f t="shared" si="25"/>
        <v>0</v>
      </c>
      <c r="AL811">
        <f>IF(Table1[[#This Row],[Attrition]]="Yes", Table1[[#This Row],[MonthlyIncome]]*12*1.5, 0)</f>
        <v>0</v>
      </c>
      <c r="AM811" t="str" cm="1">
        <f t="array" ref="AM811">_xlfn.IFS(
Table1[[#This Row],[MonthlyIncome]]&lt;3000,"Under 3K",
Table1[[#This Row],[MonthlyIncome]]&lt;6000,"3K-6K",
Table1[[#This Row],[MonthlyIncome]]&lt;9000,"6K-9K",
Table1[[#This Row],[MonthlyIncome]]&lt;12000,"9K-12K",
TRUE,"12K+")</f>
        <v>6K-9K</v>
      </c>
      <c r="AN811">
        <f>1</f>
        <v>1</v>
      </c>
      <c r="AO811" t="str" cm="1">
        <f t="array" ref="AO811">_xlfn.IFS(
Table1[[#This Row],[YearsAtCompany]]&lt;=2,"0-2 Years",
Table1[[#This Row],[YearsAtCompany]]&lt;=5,"3-5 Years",
Table1[[#This Row],[YearsAtCompany]]&lt;=10,"6-10 Years",
TRUE,"10+ Years")</f>
        <v>6-10 Years</v>
      </c>
    </row>
    <row r="812" spans="1:41"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tr">
        <f t="shared" si="24"/>
        <v>Management</v>
      </c>
      <c r="AK812">
        <f t="shared" si="25"/>
        <v>0</v>
      </c>
      <c r="AL812">
        <f>IF(Table1[[#This Row],[Attrition]]="Yes", Table1[[#This Row],[MonthlyIncome]]*12*1.5, 0)</f>
        <v>0</v>
      </c>
      <c r="AM812" t="str" cm="1">
        <f t="array" ref="AM812">_xlfn.IFS(
Table1[[#This Row],[MonthlyIncome]]&lt;3000,"Under 3K",
Table1[[#This Row],[MonthlyIncome]]&lt;6000,"3K-6K",
Table1[[#This Row],[MonthlyIncome]]&lt;9000,"6K-9K",
Table1[[#This Row],[MonthlyIncome]]&lt;12000,"9K-12K",
TRUE,"12K+")</f>
        <v>12K+</v>
      </c>
      <c r="AN812">
        <f>1</f>
        <v>1</v>
      </c>
      <c r="AO812" t="str" cm="1">
        <f t="array" ref="AO812">_xlfn.IFS(
Table1[[#This Row],[YearsAtCompany]]&lt;=2,"0-2 Years",
Table1[[#This Row],[YearsAtCompany]]&lt;=5,"3-5 Years",
Table1[[#This Row],[YearsAtCompany]]&lt;=10,"6-10 Years",
TRUE,"10+ Years")</f>
        <v>10+ Years</v>
      </c>
    </row>
    <row r="813" spans="1:41"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tr">
        <f t="shared" si="24"/>
        <v>Sales</v>
      </c>
      <c r="AK813">
        <f t="shared" si="25"/>
        <v>0</v>
      </c>
      <c r="AL813">
        <f>IF(Table1[[#This Row],[Attrition]]="Yes", Table1[[#This Row],[MonthlyIncome]]*12*1.5, 0)</f>
        <v>0</v>
      </c>
      <c r="AM813" t="str" cm="1">
        <f t="array" ref="AM813">_xlfn.IFS(
Table1[[#This Row],[MonthlyIncome]]&lt;3000,"Under 3K",
Table1[[#This Row],[MonthlyIncome]]&lt;6000,"3K-6K",
Table1[[#This Row],[MonthlyIncome]]&lt;9000,"6K-9K",
Table1[[#This Row],[MonthlyIncome]]&lt;12000,"9K-12K",
TRUE,"12K+")</f>
        <v>6K-9K</v>
      </c>
      <c r="AN813">
        <f>1</f>
        <v>1</v>
      </c>
      <c r="AO813" t="str" cm="1">
        <f t="array" ref="AO813">_xlfn.IFS(
Table1[[#This Row],[YearsAtCompany]]&lt;=2,"0-2 Years",
Table1[[#This Row],[YearsAtCompany]]&lt;=5,"3-5 Years",
Table1[[#This Row],[YearsAtCompany]]&lt;=10,"6-10 Years",
TRUE,"10+ Years")</f>
        <v>0-2 Years</v>
      </c>
    </row>
    <row r="814" spans="1:41"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tr">
        <f t="shared" si="24"/>
        <v>Operations</v>
      </c>
      <c r="AK814">
        <f t="shared" si="25"/>
        <v>0</v>
      </c>
      <c r="AL814">
        <f>IF(Table1[[#This Row],[Attrition]]="Yes", Table1[[#This Row],[MonthlyIncome]]*12*1.5, 0)</f>
        <v>0</v>
      </c>
      <c r="AM814" t="str" cm="1">
        <f t="array" ref="AM814">_xlfn.IFS(
Table1[[#This Row],[MonthlyIncome]]&lt;3000,"Under 3K",
Table1[[#This Row],[MonthlyIncome]]&lt;6000,"3K-6K",
Table1[[#This Row],[MonthlyIncome]]&lt;9000,"6K-9K",
Table1[[#This Row],[MonthlyIncome]]&lt;12000,"9K-12K",
TRUE,"12K+")</f>
        <v>9K-12K</v>
      </c>
      <c r="AN814">
        <f>1</f>
        <v>1</v>
      </c>
      <c r="AO814" t="str" cm="1">
        <f t="array" ref="AO814">_xlfn.IFS(
Table1[[#This Row],[YearsAtCompany]]&lt;=2,"0-2 Years",
Table1[[#This Row],[YearsAtCompany]]&lt;=5,"3-5 Years",
Table1[[#This Row],[YearsAtCompany]]&lt;=10,"6-10 Years",
TRUE,"10+ Years")</f>
        <v>6-10 Years</v>
      </c>
    </row>
    <row r="815" spans="1:41"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tr">
        <f t="shared" si="24"/>
        <v>Healthcare</v>
      </c>
      <c r="AK815">
        <f t="shared" si="25"/>
        <v>1</v>
      </c>
      <c r="AL815">
        <f>IF(Table1[[#This Row],[Attrition]]="Yes", Table1[[#This Row],[MonthlyIncome]]*12*1.5, 0)</f>
        <v>219042</v>
      </c>
      <c r="AM815" t="str" cm="1">
        <f t="array" ref="AM815">_xlfn.IFS(
Table1[[#This Row],[MonthlyIncome]]&lt;3000,"Under 3K",
Table1[[#This Row],[MonthlyIncome]]&lt;6000,"3K-6K",
Table1[[#This Row],[MonthlyIncome]]&lt;9000,"6K-9K",
Table1[[#This Row],[MonthlyIncome]]&lt;12000,"9K-12K",
TRUE,"12K+")</f>
        <v>12K+</v>
      </c>
      <c r="AN815">
        <f>1</f>
        <v>1</v>
      </c>
      <c r="AO815" t="str" cm="1">
        <f t="array" ref="AO815">_xlfn.IFS(
Table1[[#This Row],[YearsAtCompany]]&lt;=2,"0-2 Years",
Table1[[#This Row],[YearsAtCompany]]&lt;=5,"3-5 Years",
Table1[[#This Row],[YearsAtCompany]]&lt;=10,"6-10 Years",
TRUE,"10+ Years")</f>
        <v>10+ Years</v>
      </c>
    </row>
    <row r="816" spans="1:41"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tr">
        <f t="shared" si="24"/>
        <v>Research</v>
      </c>
      <c r="AK816">
        <f t="shared" si="25"/>
        <v>0</v>
      </c>
      <c r="AL816">
        <f>IF(Table1[[#This Row],[Attrition]]="Yes", Table1[[#This Row],[MonthlyIncome]]*12*1.5, 0)</f>
        <v>0</v>
      </c>
      <c r="AM816" t="str" cm="1">
        <f t="array" ref="AM816">_xlfn.IFS(
Table1[[#This Row],[MonthlyIncome]]&lt;3000,"Under 3K",
Table1[[#This Row],[MonthlyIncome]]&lt;6000,"3K-6K",
Table1[[#This Row],[MonthlyIncome]]&lt;9000,"6K-9K",
Table1[[#This Row],[MonthlyIncome]]&lt;12000,"9K-12K",
TRUE,"12K+")</f>
        <v>12K+</v>
      </c>
      <c r="AN816">
        <f>1</f>
        <v>1</v>
      </c>
      <c r="AO816" t="str" cm="1">
        <f t="array" ref="AO816">_xlfn.IFS(
Table1[[#This Row],[YearsAtCompany]]&lt;=2,"0-2 Years",
Table1[[#This Row],[YearsAtCompany]]&lt;=5,"3-5 Years",
Table1[[#This Row],[YearsAtCompany]]&lt;=10,"6-10 Years",
TRUE,"10+ Years")</f>
        <v>10+ Years</v>
      </c>
    </row>
    <row r="817" spans="1:41"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tr">
        <f t="shared" si="24"/>
        <v>Research</v>
      </c>
      <c r="AK817">
        <f t="shared" si="25"/>
        <v>0</v>
      </c>
      <c r="AL817">
        <f>IF(Table1[[#This Row],[Attrition]]="Yes", Table1[[#This Row],[MonthlyIncome]]*12*1.5, 0)</f>
        <v>0</v>
      </c>
      <c r="AM817" t="str" cm="1">
        <f t="array" ref="AM817">_xlfn.IFS(
Table1[[#This Row],[MonthlyIncome]]&lt;3000,"Under 3K",
Table1[[#This Row],[MonthlyIncome]]&lt;6000,"3K-6K",
Table1[[#This Row],[MonthlyIncome]]&lt;9000,"6K-9K",
Table1[[#This Row],[MonthlyIncome]]&lt;12000,"9K-12K",
TRUE,"12K+")</f>
        <v>Under 3K</v>
      </c>
      <c r="AN817">
        <f>1</f>
        <v>1</v>
      </c>
      <c r="AO817" t="str" cm="1">
        <f t="array" ref="AO817">_xlfn.IFS(
Table1[[#This Row],[YearsAtCompany]]&lt;=2,"0-2 Years",
Table1[[#This Row],[YearsAtCompany]]&lt;=5,"3-5 Years",
Table1[[#This Row],[YearsAtCompany]]&lt;=10,"6-10 Years",
TRUE,"10+ Years")</f>
        <v>0-2 Years</v>
      </c>
    </row>
    <row r="818" spans="1:41"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tr">
        <f t="shared" si="24"/>
        <v>Research</v>
      </c>
      <c r="AK818">
        <f t="shared" si="25"/>
        <v>0</v>
      </c>
      <c r="AL818">
        <f>IF(Table1[[#This Row],[Attrition]]="Yes", Table1[[#This Row],[MonthlyIncome]]*12*1.5, 0)</f>
        <v>0</v>
      </c>
      <c r="AM818" t="str" cm="1">
        <f t="array" ref="AM818">_xlfn.IFS(
Table1[[#This Row],[MonthlyIncome]]&lt;3000,"Under 3K",
Table1[[#This Row],[MonthlyIncome]]&lt;6000,"3K-6K",
Table1[[#This Row],[MonthlyIncome]]&lt;9000,"6K-9K",
Table1[[#This Row],[MonthlyIncome]]&lt;12000,"9K-12K",
TRUE,"12K+")</f>
        <v>6K-9K</v>
      </c>
      <c r="AN818">
        <f>1</f>
        <v>1</v>
      </c>
      <c r="AO818" t="str" cm="1">
        <f t="array" ref="AO818">_xlfn.IFS(
Table1[[#This Row],[YearsAtCompany]]&lt;=2,"0-2 Years",
Table1[[#This Row],[YearsAtCompany]]&lt;=5,"3-5 Years",
Table1[[#This Row],[YearsAtCompany]]&lt;=10,"6-10 Years",
TRUE,"10+ Years")</f>
        <v>3-5 Years</v>
      </c>
    </row>
    <row r="819" spans="1:41"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tr">
        <f t="shared" si="24"/>
        <v>Operations</v>
      </c>
      <c r="AK819">
        <f t="shared" si="25"/>
        <v>0</v>
      </c>
      <c r="AL819">
        <f>IF(Table1[[#This Row],[Attrition]]="Yes", Table1[[#This Row],[MonthlyIncome]]*12*1.5, 0)</f>
        <v>0</v>
      </c>
      <c r="AM819" t="str" cm="1">
        <f t="array" ref="AM819">_xlfn.IFS(
Table1[[#This Row],[MonthlyIncome]]&lt;3000,"Under 3K",
Table1[[#This Row],[MonthlyIncome]]&lt;6000,"3K-6K",
Table1[[#This Row],[MonthlyIncome]]&lt;9000,"6K-9K",
Table1[[#This Row],[MonthlyIncome]]&lt;12000,"9K-12K",
TRUE,"12K+")</f>
        <v>6K-9K</v>
      </c>
      <c r="AN819">
        <f>1</f>
        <v>1</v>
      </c>
      <c r="AO819" t="str" cm="1">
        <f t="array" ref="AO819">_xlfn.IFS(
Table1[[#This Row],[YearsAtCompany]]&lt;=2,"0-2 Years",
Table1[[#This Row],[YearsAtCompany]]&lt;=5,"3-5 Years",
Table1[[#This Row],[YearsAtCompany]]&lt;=10,"6-10 Years",
TRUE,"10+ Years")</f>
        <v>10+ Years</v>
      </c>
    </row>
    <row r="820" spans="1:41"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tr">
        <f t="shared" si="24"/>
        <v>Sales</v>
      </c>
      <c r="AK820">
        <f t="shared" si="25"/>
        <v>0</v>
      </c>
      <c r="AL820">
        <f>IF(Table1[[#This Row],[Attrition]]="Yes", Table1[[#This Row],[MonthlyIncome]]*12*1.5, 0)</f>
        <v>0</v>
      </c>
      <c r="AM820" t="str" cm="1">
        <f t="array" ref="AM820">_xlfn.IFS(
Table1[[#This Row],[MonthlyIncome]]&lt;3000,"Under 3K",
Table1[[#This Row],[MonthlyIncome]]&lt;6000,"3K-6K",
Table1[[#This Row],[MonthlyIncome]]&lt;9000,"6K-9K",
Table1[[#This Row],[MonthlyIncome]]&lt;12000,"9K-12K",
TRUE,"12K+")</f>
        <v>Under 3K</v>
      </c>
      <c r="AN820">
        <f>1</f>
        <v>1</v>
      </c>
      <c r="AO820" t="str" cm="1">
        <f t="array" ref="AO820">_xlfn.IFS(
Table1[[#This Row],[YearsAtCompany]]&lt;=2,"0-2 Years",
Table1[[#This Row],[YearsAtCompany]]&lt;=5,"3-5 Years",
Table1[[#This Row],[YearsAtCompany]]&lt;=10,"6-10 Years",
TRUE,"10+ Years")</f>
        <v>0-2 Years</v>
      </c>
    </row>
    <row r="821" spans="1:41"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tr">
        <f t="shared" si="24"/>
        <v>Research</v>
      </c>
      <c r="AK821">
        <f t="shared" si="25"/>
        <v>0</v>
      </c>
      <c r="AL821">
        <f>IF(Table1[[#This Row],[Attrition]]="Yes", Table1[[#This Row],[MonthlyIncome]]*12*1.5, 0)</f>
        <v>0</v>
      </c>
      <c r="AM821" t="str" cm="1">
        <f t="array" ref="AM821">_xlfn.IFS(
Table1[[#This Row],[MonthlyIncome]]&lt;3000,"Under 3K",
Table1[[#This Row],[MonthlyIncome]]&lt;6000,"3K-6K",
Table1[[#This Row],[MonthlyIncome]]&lt;9000,"6K-9K",
Table1[[#This Row],[MonthlyIncome]]&lt;12000,"9K-12K",
TRUE,"12K+")</f>
        <v>3K-6K</v>
      </c>
      <c r="AN821">
        <f>1</f>
        <v>1</v>
      </c>
      <c r="AO821" t="str" cm="1">
        <f t="array" ref="AO821">_xlfn.IFS(
Table1[[#This Row],[YearsAtCompany]]&lt;=2,"0-2 Years",
Table1[[#This Row],[YearsAtCompany]]&lt;=5,"3-5 Years",
Table1[[#This Row],[YearsAtCompany]]&lt;=10,"6-10 Years",
TRUE,"10+ Years")</f>
        <v>3-5 Years</v>
      </c>
    </row>
    <row r="822" spans="1:41"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tr">
        <f t="shared" si="24"/>
        <v>Sales</v>
      </c>
      <c r="AK822">
        <f t="shared" si="25"/>
        <v>0</v>
      </c>
      <c r="AL822">
        <f>IF(Table1[[#This Row],[Attrition]]="Yes", Table1[[#This Row],[MonthlyIncome]]*12*1.5, 0)</f>
        <v>0</v>
      </c>
      <c r="AM822" t="str" cm="1">
        <f t="array" ref="AM822">_xlfn.IFS(
Table1[[#This Row],[MonthlyIncome]]&lt;3000,"Under 3K",
Table1[[#This Row],[MonthlyIncome]]&lt;6000,"3K-6K",
Table1[[#This Row],[MonthlyIncome]]&lt;9000,"6K-9K",
Table1[[#This Row],[MonthlyIncome]]&lt;12000,"9K-12K",
TRUE,"12K+")</f>
        <v>3K-6K</v>
      </c>
      <c r="AN822">
        <f>1</f>
        <v>1</v>
      </c>
      <c r="AO822" t="str" cm="1">
        <f t="array" ref="AO822">_xlfn.IFS(
Table1[[#This Row],[YearsAtCompany]]&lt;=2,"0-2 Years",
Table1[[#This Row],[YearsAtCompany]]&lt;=5,"3-5 Years",
Table1[[#This Row],[YearsAtCompany]]&lt;=10,"6-10 Years",
TRUE,"10+ Years")</f>
        <v>3-5 Years</v>
      </c>
    </row>
    <row r="823" spans="1:41"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tr">
        <f t="shared" si="24"/>
        <v>Sales</v>
      </c>
      <c r="AK823">
        <f t="shared" si="25"/>
        <v>0</v>
      </c>
      <c r="AL823">
        <f>IF(Table1[[#This Row],[Attrition]]="Yes", Table1[[#This Row],[MonthlyIncome]]*12*1.5, 0)</f>
        <v>0</v>
      </c>
      <c r="AM823" t="str" cm="1">
        <f t="array" ref="AM823">_xlfn.IFS(
Table1[[#This Row],[MonthlyIncome]]&lt;3000,"Under 3K",
Table1[[#This Row],[MonthlyIncome]]&lt;6000,"3K-6K",
Table1[[#This Row],[MonthlyIncome]]&lt;9000,"6K-9K",
Table1[[#This Row],[MonthlyIncome]]&lt;12000,"9K-12K",
TRUE,"12K+")</f>
        <v>12K+</v>
      </c>
      <c r="AN823">
        <f>1</f>
        <v>1</v>
      </c>
      <c r="AO823" t="str" cm="1">
        <f t="array" ref="AO823">_xlfn.IFS(
Table1[[#This Row],[YearsAtCompany]]&lt;=2,"0-2 Years",
Table1[[#This Row],[YearsAtCompany]]&lt;=5,"3-5 Years",
Table1[[#This Row],[YearsAtCompany]]&lt;=10,"6-10 Years",
TRUE,"10+ Years")</f>
        <v>6-10 Years</v>
      </c>
    </row>
    <row r="824" spans="1:41"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tr">
        <f t="shared" si="24"/>
        <v>Operations</v>
      </c>
      <c r="AK824">
        <f t="shared" si="25"/>
        <v>0</v>
      </c>
      <c r="AL824">
        <f>IF(Table1[[#This Row],[Attrition]]="Yes", Table1[[#This Row],[MonthlyIncome]]*12*1.5, 0)</f>
        <v>0</v>
      </c>
      <c r="AM824" t="str" cm="1">
        <f t="array" ref="AM824">_xlfn.IFS(
Table1[[#This Row],[MonthlyIncome]]&lt;3000,"Under 3K",
Table1[[#This Row],[MonthlyIncome]]&lt;6000,"3K-6K",
Table1[[#This Row],[MonthlyIncome]]&lt;9000,"6K-9K",
Table1[[#This Row],[MonthlyIncome]]&lt;12000,"9K-12K",
TRUE,"12K+")</f>
        <v>3K-6K</v>
      </c>
      <c r="AN824">
        <f>1</f>
        <v>1</v>
      </c>
      <c r="AO824" t="str" cm="1">
        <f t="array" ref="AO824">_xlfn.IFS(
Table1[[#This Row],[YearsAtCompany]]&lt;=2,"0-2 Years",
Table1[[#This Row],[YearsAtCompany]]&lt;=5,"3-5 Years",
Table1[[#This Row],[YearsAtCompany]]&lt;=10,"6-10 Years",
TRUE,"10+ Years")</f>
        <v>3-5 Years</v>
      </c>
    </row>
    <row r="825" spans="1:41"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tr">
        <f t="shared" si="24"/>
        <v>Research</v>
      </c>
      <c r="AK825">
        <f t="shared" si="25"/>
        <v>0</v>
      </c>
      <c r="AL825">
        <f>IF(Table1[[#This Row],[Attrition]]="Yes", Table1[[#This Row],[MonthlyIncome]]*12*1.5, 0)</f>
        <v>0</v>
      </c>
      <c r="AM825" t="str" cm="1">
        <f t="array" ref="AM825">_xlfn.IFS(
Table1[[#This Row],[MonthlyIncome]]&lt;3000,"Under 3K",
Table1[[#This Row],[MonthlyIncome]]&lt;6000,"3K-6K",
Table1[[#This Row],[MonthlyIncome]]&lt;9000,"6K-9K",
Table1[[#This Row],[MonthlyIncome]]&lt;12000,"9K-12K",
TRUE,"12K+")</f>
        <v>3K-6K</v>
      </c>
      <c r="AN825">
        <f>1</f>
        <v>1</v>
      </c>
      <c r="AO825" t="str" cm="1">
        <f t="array" ref="AO825">_xlfn.IFS(
Table1[[#This Row],[YearsAtCompany]]&lt;=2,"0-2 Years",
Table1[[#This Row],[YearsAtCompany]]&lt;=5,"3-5 Years",
Table1[[#This Row],[YearsAtCompany]]&lt;=10,"6-10 Years",
TRUE,"10+ Years")</f>
        <v>6-10 Years</v>
      </c>
    </row>
    <row r="826" spans="1:41"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tr">
        <f t="shared" si="24"/>
        <v>Research</v>
      </c>
      <c r="AK826">
        <f t="shared" si="25"/>
        <v>0</v>
      </c>
      <c r="AL826">
        <f>IF(Table1[[#This Row],[Attrition]]="Yes", Table1[[#This Row],[MonthlyIncome]]*12*1.5, 0)</f>
        <v>0</v>
      </c>
      <c r="AM826" t="str" cm="1">
        <f t="array" ref="AM826">_xlfn.IFS(
Table1[[#This Row],[MonthlyIncome]]&lt;3000,"Under 3K",
Table1[[#This Row],[MonthlyIncome]]&lt;6000,"3K-6K",
Table1[[#This Row],[MonthlyIncome]]&lt;9000,"6K-9K",
Table1[[#This Row],[MonthlyIncome]]&lt;12000,"9K-12K",
TRUE,"12K+")</f>
        <v>3K-6K</v>
      </c>
      <c r="AN826">
        <f>1</f>
        <v>1</v>
      </c>
      <c r="AO826" t="str" cm="1">
        <f t="array" ref="AO826">_xlfn.IFS(
Table1[[#This Row],[YearsAtCompany]]&lt;=2,"0-2 Years",
Table1[[#This Row],[YearsAtCompany]]&lt;=5,"3-5 Years",
Table1[[#This Row],[YearsAtCompany]]&lt;=10,"6-10 Years",
TRUE,"10+ Years")</f>
        <v>0-2 Years</v>
      </c>
    </row>
    <row r="827" spans="1:41"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tr">
        <f t="shared" si="24"/>
        <v>Operations</v>
      </c>
      <c r="AK827">
        <f t="shared" si="25"/>
        <v>0</v>
      </c>
      <c r="AL827">
        <f>IF(Table1[[#This Row],[Attrition]]="Yes", Table1[[#This Row],[MonthlyIncome]]*12*1.5, 0)</f>
        <v>0</v>
      </c>
      <c r="AM827" t="str" cm="1">
        <f t="array" ref="AM827">_xlfn.IFS(
Table1[[#This Row],[MonthlyIncome]]&lt;3000,"Under 3K",
Table1[[#This Row],[MonthlyIncome]]&lt;6000,"3K-6K",
Table1[[#This Row],[MonthlyIncome]]&lt;9000,"6K-9K",
Table1[[#This Row],[MonthlyIncome]]&lt;12000,"9K-12K",
TRUE,"12K+")</f>
        <v>3K-6K</v>
      </c>
      <c r="AN827">
        <f>1</f>
        <v>1</v>
      </c>
      <c r="AO827" t="str" cm="1">
        <f t="array" ref="AO827">_xlfn.IFS(
Table1[[#This Row],[YearsAtCompany]]&lt;=2,"0-2 Years",
Table1[[#This Row],[YearsAtCompany]]&lt;=5,"3-5 Years",
Table1[[#This Row],[YearsAtCompany]]&lt;=10,"6-10 Years",
TRUE,"10+ Years")</f>
        <v>6-10 Years</v>
      </c>
    </row>
    <row r="828" spans="1:41"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tr">
        <f t="shared" si="24"/>
        <v>Human Resources</v>
      </c>
      <c r="AK828">
        <f t="shared" si="25"/>
        <v>0</v>
      </c>
      <c r="AL828">
        <f>IF(Table1[[#This Row],[Attrition]]="Yes", Table1[[#This Row],[MonthlyIncome]]*12*1.5, 0)</f>
        <v>0</v>
      </c>
      <c r="AM828" t="str" cm="1">
        <f t="array" ref="AM828">_xlfn.IFS(
Table1[[#This Row],[MonthlyIncome]]&lt;3000,"Under 3K",
Table1[[#This Row],[MonthlyIncome]]&lt;6000,"3K-6K",
Table1[[#This Row],[MonthlyIncome]]&lt;9000,"6K-9K",
Table1[[#This Row],[MonthlyIncome]]&lt;12000,"9K-12K",
TRUE,"12K+")</f>
        <v>Under 3K</v>
      </c>
      <c r="AN828">
        <f>1</f>
        <v>1</v>
      </c>
      <c r="AO828" t="str" cm="1">
        <f t="array" ref="AO828">_xlfn.IFS(
Table1[[#This Row],[YearsAtCompany]]&lt;=2,"0-2 Years",
Table1[[#This Row],[YearsAtCompany]]&lt;=5,"3-5 Years",
Table1[[#This Row],[YearsAtCompany]]&lt;=10,"6-10 Years",
TRUE,"10+ Years")</f>
        <v>6-10 Years</v>
      </c>
    </row>
    <row r="829" spans="1:41"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tr">
        <f t="shared" si="24"/>
        <v>Research</v>
      </c>
      <c r="AK829">
        <f t="shared" si="25"/>
        <v>0</v>
      </c>
      <c r="AL829">
        <f>IF(Table1[[#This Row],[Attrition]]="Yes", Table1[[#This Row],[MonthlyIncome]]*12*1.5, 0)</f>
        <v>0</v>
      </c>
      <c r="AM829" t="str" cm="1">
        <f t="array" ref="AM829">_xlfn.IFS(
Table1[[#This Row],[MonthlyIncome]]&lt;3000,"Under 3K",
Table1[[#This Row],[MonthlyIncome]]&lt;6000,"3K-6K",
Table1[[#This Row],[MonthlyIncome]]&lt;9000,"6K-9K",
Table1[[#This Row],[MonthlyIncome]]&lt;12000,"9K-12K",
TRUE,"12K+")</f>
        <v>Under 3K</v>
      </c>
      <c r="AN829">
        <f>1</f>
        <v>1</v>
      </c>
      <c r="AO829" t="str" cm="1">
        <f t="array" ref="AO829">_xlfn.IFS(
Table1[[#This Row],[YearsAtCompany]]&lt;=2,"0-2 Years",
Table1[[#This Row],[YearsAtCompany]]&lt;=5,"3-5 Years",
Table1[[#This Row],[YearsAtCompany]]&lt;=10,"6-10 Years",
TRUE,"10+ Years")</f>
        <v>3-5 Years</v>
      </c>
    </row>
    <row r="830" spans="1:41"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tr">
        <f t="shared" si="24"/>
        <v>Research</v>
      </c>
      <c r="AK830">
        <f t="shared" si="25"/>
        <v>1</v>
      </c>
      <c r="AL830">
        <f>IF(Table1[[#This Row],[Attrition]]="Yes", Table1[[#This Row],[MonthlyIncome]]*12*1.5, 0)</f>
        <v>34272</v>
      </c>
      <c r="AM830" t="str" cm="1">
        <f t="array" ref="AM830">_xlfn.IFS(
Table1[[#This Row],[MonthlyIncome]]&lt;3000,"Under 3K",
Table1[[#This Row],[MonthlyIncome]]&lt;6000,"3K-6K",
Table1[[#This Row],[MonthlyIncome]]&lt;9000,"6K-9K",
Table1[[#This Row],[MonthlyIncome]]&lt;12000,"9K-12K",
TRUE,"12K+")</f>
        <v>Under 3K</v>
      </c>
      <c r="AN830">
        <f>1</f>
        <v>1</v>
      </c>
      <c r="AO830" t="str" cm="1">
        <f t="array" ref="AO830">_xlfn.IFS(
Table1[[#This Row],[YearsAtCompany]]&lt;=2,"0-2 Years",
Table1[[#This Row],[YearsAtCompany]]&lt;=5,"3-5 Years",
Table1[[#This Row],[YearsAtCompany]]&lt;=10,"6-10 Years",
TRUE,"10+ Years")</f>
        <v>0-2 Years</v>
      </c>
    </row>
    <row r="831" spans="1:41"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tr">
        <f t="shared" si="24"/>
        <v>Sales</v>
      </c>
      <c r="AK831">
        <f t="shared" si="25"/>
        <v>1</v>
      </c>
      <c r="AL831">
        <f>IF(Table1[[#This Row],[Attrition]]="Yes", Table1[[#This Row],[MonthlyIncome]]*12*1.5, 0)</f>
        <v>148032</v>
      </c>
      <c r="AM831" t="str" cm="1">
        <f t="array" ref="AM831">_xlfn.IFS(
Table1[[#This Row],[MonthlyIncome]]&lt;3000,"Under 3K",
Table1[[#This Row],[MonthlyIncome]]&lt;6000,"3K-6K",
Table1[[#This Row],[MonthlyIncome]]&lt;9000,"6K-9K",
Table1[[#This Row],[MonthlyIncome]]&lt;12000,"9K-12K",
TRUE,"12K+")</f>
        <v>6K-9K</v>
      </c>
      <c r="AN831">
        <f>1</f>
        <v>1</v>
      </c>
      <c r="AO831" t="str" cm="1">
        <f t="array" ref="AO831">_xlfn.IFS(
Table1[[#This Row],[YearsAtCompany]]&lt;=2,"0-2 Years",
Table1[[#This Row],[YearsAtCompany]]&lt;=5,"3-5 Years",
Table1[[#This Row],[YearsAtCompany]]&lt;=10,"6-10 Years",
TRUE,"10+ Years")</f>
        <v>3-5 Years</v>
      </c>
    </row>
    <row r="832" spans="1:41"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tr">
        <f t="shared" si="24"/>
        <v>Research</v>
      </c>
      <c r="AK832">
        <f t="shared" si="25"/>
        <v>0</v>
      </c>
      <c r="AL832">
        <f>IF(Table1[[#This Row],[Attrition]]="Yes", Table1[[#This Row],[MonthlyIncome]]*12*1.5, 0)</f>
        <v>0</v>
      </c>
      <c r="AM832" t="str" cm="1">
        <f t="array" ref="AM832">_xlfn.IFS(
Table1[[#This Row],[MonthlyIncome]]&lt;3000,"Under 3K",
Table1[[#This Row],[MonthlyIncome]]&lt;6000,"3K-6K",
Table1[[#This Row],[MonthlyIncome]]&lt;9000,"6K-9K",
Table1[[#This Row],[MonthlyIncome]]&lt;12000,"9K-12K",
TRUE,"12K+")</f>
        <v>3K-6K</v>
      </c>
      <c r="AN832">
        <f>1</f>
        <v>1</v>
      </c>
      <c r="AO832" t="str" cm="1">
        <f t="array" ref="AO832">_xlfn.IFS(
Table1[[#This Row],[YearsAtCompany]]&lt;=2,"0-2 Years",
Table1[[#This Row],[YearsAtCompany]]&lt;=5,"3-5 Years",
Table1[[#This Row],[YearsAtCompany]]&lt;=10,"6-10 Years",
TRUE,"10+ Years")</f>
        <v>0-2 Years</v>
      </c>
    </row>
    <row r="833" spans="1:41"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tr">
        <f t="shared" si="24"/>
        <v>Research</v>
      </c>
      <c r="AK833">
        <f t="shared" si="25"/>
        <v>1</v>
      </c>
      <c r="AL833">
        <f>IF(Table1[[#This Row],[Attrition]]="Yes", Table1[[#This Row],[MonthlyIncome]]*12*1.5, 0)</f>
        <v>46980</v>
      </c>
      <c r="AM833" t="str" cm="1">
        <f t="array" ref="AM833">_xlfn.IFS(
Table1[[#This Row],[MonthlyIncome]]&lt;3000,"Under 3K",
Table1[[#This Row],[MonthlyIncome]]&lt;6000,"3K-6K",
Table1[[#This Row],[MonthlyIncome]]&lt;9000,"6K-9K",
Table1[[#This Row],[MonthlyIncome]]&lt;12000,"9K-12K",
TRUE,"12K+")</f>
        <v>Under 3K</v>
      </c>
      <c r="AN833">
        <f>1</f>
        <v>1</v>
      </c>
      <c r="AO833" t="str" cm="1">
        <f t="array" ref="AO833">_xlfn.IFS(
Table1[[#This Row],[YearsAtCompany]]&lt;=2,"0-2 Years",
Table1[[#This Row],[YearsAtCompany]]&lt;=5,"3-5 Years",
Table1[[#This Row],[YearsAtCompany]]&lt;=10,"6-10 Years",
TRUE,"10+ Years")</f>
        <v>0-2 Years</v>
      </c>
    </row>
    <row r="834" spans="1:41"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tr">
        <f t="shared" si="24"/>
        <v>Healthcare</v>
      </c>
      <c r="AK834">
        <f t="shared" si="25"/>
        <v>0</v>
      </c>
      <c r="AL834">
        <f>IF(Table1[[#This Row],[Attrition]]="Yes", Table1[[#This Row],[MonthlyIncome]]*12*1.5, 0)</f>
        <v>0</v>
      </c>
      <c r="AM834" t="str" cm="1">
        <f t="array" ref="AM834">_xlfn.IFS(
Table1[[#This Row],[MonthlyIncome]]&lt;3000,"Under 3K",
Table1[[#This Row],[MonthlyIncome]]&lt;6000,"3K-6K",
Table1[[#This Row],[MonthlyIncome]]&lt;9000,"6K-9K",
Table1[[#This Row],[MonthlyIncome]]&lt;12000,"9K-12K",
TRUE,"12K+")</f>
        <v>3K-6K</v>
      </c>
      <c r="AN834">
        <f>1</f>
        <v>1</v>
      </c>
      <c r="AO834" t="str" cm="1">
        <f t="array" ref="AO834">_xlfn.IFS(
Table1[[#This Row],[YearsAtCompany]]&lt;=2,"0-2 Years",
Table1[[#This Row],[YearsAtCompany]]&lt;=5,"3-5 Years",
Table1[[#This Row],[YearsAtCompany]]&lt;=10,"6-10 Years",
TRUE,"10+ Years")</f>
        <v>6-10 Years</v>
      </c>
    </row>
    <row r="835" spans="1:41"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tr">
        <f t="shared" ref="AJ835:AJ898" si="26">_xlfn.XLOOKUP(P835, $AP$2:$AP$10,$AQ$2:$AQ$10)</f>
        <v>Research</v>
      </c>
      <c r="AK835">
        <f t="shared" ref="AK835:AK898" si="27">IF(B835 ="Yes",1,0)</f>
        <v>0</v>
      </c>
      <c r="AL835">
        <f>IF(Table1[[#This Row],[Attrition]]="Yes", Table1[[#This Row],[MonthlyIncome]]*12*1.5, 0)</f>
        <v>0</v>
      </c>
      <c r="AM835" t="str" cm="1">
        <f t="array" ref="AM835">_xlfn.IFS(
Table1[[#This Row],[MonthlyIncome]]&lt;3000,"Under 3K",
Table1[[#This Row],[MonthlyIncome]]&lt;6000,"3K-6K",
Table1[[#This Row],[MonthlyIncome]]&lt;9000,"6K-9K",
Table1[[#This Row],[MonthlyIncome]]&lt;12000,"9K-12K",
TRUE,"12K+")</f>
        <v>Under 3K</v>
      </c>
      <c r="AN835">
        <f>1</f>
        <v>1</v>
      </c>
      <c r="AO835" t="str" cm="1">
        <f t="array" ref="AO835">_xlfn.IFS(
Table1[[#This Row],[YearsAtCompany]]&lt;=2,"0-2 Years",
Table1[[#This Row],[YearsAtCompany]]&lt;=5,"3-5 Years",
Table1[[#This Row],[YearsAtCompany]]&lt;=10,"6-10 Years",
TRUE,"10+ Years")</f>
        <v>3-5 Years</v>
      </c>
    </row>
    <row r="836" spans="1:41"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tr">
        <f t="shared" si="26"/>
        <v>Sales</v>
      </c>
      <c r="AK836">
        <f t="shared" si="27"/>
        <v>0</v>
      </c>
      <c r="AL836">
        <f>IF(Table1[[#This Row],[Attrition]]="Yes", Table1[[#This Row],[MonthlyIncome]]*12*1.5, 0)</f>
        <v>0</v>
      </c>
      <c r="AM836" t="str" cm="1">
        <f t="array" ref="AM836">_xlfn.IFS(
Table1[[#This Row],[MonthlyIncome]]&lt;3000,"Under 3K",
Table1[[#This Row],[MonthlyIncome]]&lt;6000,"3K-6K",
Table1[[#This Row],[MonthlyIncome]]&lt;9000,"6K-9K",
Table1[[#This Row],[MonthlyIncome]]&lt;12000,"9K-12K",
TRUE,"12K+")</f>
        <v>3K-6K</v>
      </c>
      <c r="AN836">
        <f>1</f>
        <v>1</v>
      </c>
      <c r="AO836" t="str" cm="1">
        <f t="array" ref="AO836">_xlfn.IFS(
Table1[[#This Row],[YearsAtCompany]]&lt;=2,"0-2 Years",
Table1[[#This Row],[YearsAtCompany]]&lt;=5,"3-5 Years",
Table1[[#This Row],[YearsAtCompany]]&lt;=10,"6-10 Years",
TRUE,"10+ Years")</f>
        <v>6-10 Years</v>
      </c>
    </row>
    <row r="837" spans="1:41"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tr">
        <f t="shared" si="26"/>
        <v>Human Resources</v>
      </c>
      <c r="AK837">
        <f t="shared" si="27"/>
        <v>0</v>
      </c>
      <c r="AL837">
        <f>IF(Table1[[#This Row],[Attrition]]="Yes", Table1[[#This Row],[MonthlyIncome]]*12*1.5, 0)</f>
        <v>0</v>
      </c>
      <c r="AM837" t="str" cm="1">
        <f t="array" ref="AM837">_xlfn.IFS(
Table1[[#This Row],[MonthlyIncome]]&lt;3000,"Under 3K",
Table1[[#This Row],[MonthlyIncome]]&lt;6000,"3K-6K",
Table1[[#This Row],[MonthlyIncome]]&lt;9000,"6K-9K",
Table1[[#This Row],[MonthlyIncome]]&lt;12000,"9K-12K",
TRUE,"12K+")</f>
        <v>3K-6K</v>
      </c>
      <c r="AN837">
        <f>1</f>
        <v>1</v>
      </c>
      <c r="AO837" t="str" cm="1">
        <f t="array" ref="AO837">_xlfn.IFS(
Table1[[#This Row],[YearsAtCompany]]&lt;=2,"0-2 Years",
Table1[[#This Row],[YearsAtCompany]]&lt;=5,"3-5 Years",
Table1[[#This Row],[YearsAtCompany]]&lt;=10,"6-10 Years",
TRUE,"10+ Years")</f>
        <v>3-5 Years</v>
      </c>
    </row>
    <row r="838" spans="1:41"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tr">
        <f t="shared" si="26"/>
        <v>Sales</v>
      </c>
      <c r="AK838">
        <f t="shared" si="27"/>
        <v>1</v>
      </c>
      <c r="AL838">
        <f>IF(Table1[[#This Row],[Attrition]]="Yes", Table1[[#This Row],[MonthlyIncome]]*12*1.5, 0)</f>
        <v>132048</v>
      </c>
      <c r="AM838" t="str" cm="1">
        <f t="array" ref="AM838">_xlfn.IFS(
Table1[[#This Row],[MonthlyIncome]]&lt;3000,"Under 3K",
Table1[[#This Row],[MonthlyIncome]]&lt;6000,"3K-6K",
Table1[[#This Row],[MonthlyIncome]]&lt;9000,"6K-9K",
Table1[[#This Row],[MonthlyIncome]]&lt;12000,"9K-12K",
TRUE,"12K+")</f>
        <v>6K-9K</v>
      </c>
      <c r="AN838">
        <f>1</f>
        <v>1</v>
      </c>
      <c r="AO838" t="str" cm="1">
        <f t="array" ref="AO838">_xlfn.IFS(
Table1[[#This Row],[YearsAtCompany]]&lt;=2,"0-2 Years",
Table1[[#This Row],[YearsAtCompany]]&lt;=5,"3-5 Years",
Table1[[#This Row],[YearsAtCompany]]&lt;=10,"6-10 Years",
TRUE,"10+ Years")</f>
        <v>10+ Years</v>
      </c>
    </row>
    <row r="839" spans="1:41"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tr">
        <f t="shared" si="26"/>
        <v>Research</v>
      </c>
      <c r="AK839">
        <f t="shared" si="27"/>
        <v>0</v>
      </c>
      <c r="AL839">
        <f>IF(Table1[[#This Row],[Attrition]]="Yes", Table1[[#This Row],[MonthlyIncome]]*12*1.5, 0)</f>
        <v>0</v>
      </c>
      <c r="AM839" t="str" cm="1">
        <f t="array" ref="AM839">_xlfn.IFS(
Table1[[#This Row],[MonthlyIncome]]&lt;3000,"Under 3K",
Table1[[#This Row],[MonthlyIncome]]&lt;6000,"3K-6K",
Table1[[#This Row],[MonthlyIncome]]&lt;9000,"6K-9K",
Table1[[#This Row],[MonthlyIncome]]&lt;12000,"9K-12K",
TRUE,"12K+")</f>
        <v>12K+</v>
      </c>
      <c r="AN839">
        <f>1</f>
        <v>1</v>
      </c>
      <c r="AO839" t="str" cm="1">
        <f t="array" ref="AO839">_xlfn.IFS(
Table1[[#This Row],[YearsAtCompany]]&lt;=2,"0-2 Years",
Table1[[#This Row],[YearsAtCompany]]&lt;=5,"3-5 Years",
Table1[[#This Row],[YearsAtCompany]]&lt;=10,"6-10 Years",
TRUE,"10+ Years")</f>
        <v>10+ Years</v>
      </c>
    </row>
    <row r="840" spans="1:41"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tr">
        <f t="shared" si="26"/>
        <v>Sales</v>
      </c>
      <c r="AK840">
        <f t="shared" si="27"/>
        <v>1</v>
      </c>
      <c r="AL840">
        <f>IF(Table1[[#This Row],[Attrition]]="Yes", Table1[[#This Row],[MonthlyIncome]]*12*1.5, 0)</f>
        <v>247644</v>
      </c>
      <c r="AM840" t="str" cm="1">
        <f t="array" ref="AM840">_xlfn.IFS(
Table1[[#This Row],[MonthlyIncome]]&lt;3000,"Under 3K",
Table1[[#This Row],[MonthlyIncome]]&lt;6000,"3K-6K",
Table1[[#This Row],[MonthlyIncome]]&lt;9000,"6K-9K",
Table1[[#This Row],[MonthlyIncome]]&lt;12000,"9K-12K",
TRUE,"12K+")</f>
        <v>12K+</v>
      </c>
      <c r="AN840">
        <f>1</f>
        <v>1</v>
      </c>
      <c r="AO840" t="str" cm="1">
        <f t="array" ref="AO840">_xlfn.IFS(
Table1[[#This Row],[YearsAtCompany]]&lt;=2,"0-2 Years",
Table1[[#This Row],[YearsAtCompany]]&lt;=5,"3-5 Years",
Table1[[#This Row],[YearsAtCompany]]&lt;=10,"6-10 Years",
TRUE,"10+ Years")</f>
        <v>10+ Years</v>
      </c>
    </row>
    <row r="841" spans="1:41"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tr">
        <f t="shared" si="26"/>
        <v>Sales</v>
      </c>
      <c r="AK841">
        <f t="shared" si="27"/>
        <v>0</v>
      </c>
      <c r="AL841">
        <f>IF(Table1[[#This Row],[Attrition]]="Yes", Table1[[#This Row],[MonthlyIncome]]*12*1.5, 0)</f>
        <v>0</v>
      </c>
      <c r="AM841" t="str" cm="1">
        <f t="array" ref="AM841">_xlfn.IFS(
Table1[[#This Row],[MonthlyIncome]]&lt;3000,"Under 3K",
Table1[[#This Row],[MonthlyIncome]]&lt;6000,"3K-6K",
Table1[[#This Row],[MonthlyIncome]]&lt;9000,"6K-9K",
Table1[[#This Row],[MonthlyIncome]]&lt;12000,"9K-12K",
TRUE,"12K+")</f>
        <v>3K-6K</v>
      </c>
      <c r="AN841">
        <f>1</f>
        <v>1</v>
      </c>
      <c r="AO841" t="str" cm="1">
        <f t="array" ref="AO841">_xlfn.IFS(
Table1[[#This Row],[YearsAtCompany]]&lt;=2,"0-2 Years",
Table1[[#This Row],[YearsAtCompany]]&lt;=5,"3-5 Years",
Table1[[#This Row],[YearsAtCompany]]&lt;=10,"6-10 Years",
TRUE,"10+ Years")</f>
        <v>6-10 Years</v>
      </c>
    </row>
    <row r="842" spans="1:41"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tr">
        <f t="shared" si="26"/>
        <v>Research</v>
      </c>
      <c r="AK842">
        <f t="shared" si="27"/>
        <v>0</v>
      </c>
      <c r="AL842">
        <f>IF(Table1[[#This Row],[Attrition]]="Yes", Table1[[#This Row],[MonthlyIncome]]*12*1.5, 0)</f>
        <v>0</v>
      </c>
      <c r="AM842" t="str" cm="1">
        <f t="array" ref="AM842">_xlfn.IFS(
Table1[[#This Row],[MonthlyIncome]]&lt;3000,"Under 3K",
Table1[[#This Row],[MonthlyIncome]]&lt;6000,"3K-6K",
Table1[[#This Row],[MonthlyIncome]]&lt;9000,"6K-9K",
Table1[[#This Row],[MonthlyIncome]]&lt;12000,"9K-12K",
TRUE,"12K+")</f>
        <v>Under 3K</v>
      </c>
      <c r="AN842">
        <f>1</f>
        <v>1</v>
      </c>
      <c r="AO842" t="str" cm="1">
        <f t="array" ref="AO842">_xlfn.IFS(
Table1[[#This Row],[YearsAtCompany]]&lt;=2,"0-2 Years",
Table1[[#This Row],[YearsAtCompany]]&lt;=5,"3-5 Years",
Table1[[#This Row],[YearsAtCompany]]&lt;=10,"6-10 Years",
TRUE,"10+ Years")</f>
        <v>6-10 Years</v>
      </c>
    </row>
    <row r="843" spans="1:41"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tr">
        <f t="shared" si="26"/>
        <v>Research</v>
      </c>
      <c r="AK843">
        <f t="shared" si="27"/>
        <v>0</v>
      </c>
      <c r="AL843">
        <f>IF(Table1[[#This Row],[Attrition]]="Yes", Table1[[#This Row],[MonthlyIncome]]*12*1.5, 0)</f>
        <v>0</v>
      </c>
      <c r="AM843" t="str" cm="1">
        <f t="array" ref="AM843">_xlfn.IFS(
Table1[[#This Row],[MonthlyIncome]]&lt;3000,"Under 3K",
Table1[[#This Row],[MonthlyIncome]]&lt;6000,"3K-6K",
Table1[[#This Row],[MonthlyIncome]]&lt;9000,"6K-9K",
Table1[[#This Row],[MonthlyIncome]]&lt;12000,"9K-12K",
TRUE,"12K+")</f>
        <v>3K-6K</v>
      </c>
      <c r="AN843">
        <f>1</f>
        <v>1</v>
      </c>
      <c r="AO843" t="str" cm="1">
        <f t="array" ref="AO843">_xlfn.IFS(
Table1[[#This Row],[YearsAtCompany]]&lt;=2,"0-2 Years",
Table1[[#This Row],[YearsAtCompany]]&lt;=5,"3-5 Years",
Table1[[#This Row],[YearsAtCompany]]&lt;=10,"6-10 Years",
TRUE,"10+ Years")</f>
        <v>3-5 Years</v>
      </c>
    </row>
    <row r="844" spans="1:41"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tr">
        <f t="shared" si="26"/>
        <v>Research</v>
      </c>
      <c r="AK844">
        <f t="shared" si="27"/>
        <v>1</v>
      </c>
      <c r="AL844">
        <f>IF(Table1[[#This Row],[Attrition]]="Yes", Table1[[#This Row],[MonthlyIncome]]*12*1.5, 0)</f>
        <v>45270</v>
      </c>
      <c r="AM844" t="str" cm="1">
        <f t="array" ref="AM844">_xlfn.IFS(
Table1[[#This Row],[MonthlyIncome]]&lt;3000,"Under 3K",
Table1[[#This Row],[MonthlyIncome]]&lt;6000,"3K-6K",
Table1[[#This Row],[MonthlyIncome]]&lt;9000,"6K-9K",
Table1[[#This Row],[MonthlyIncome]]&lt;12000,"9K-12K",
TRUE,"12K+")</f>
        <v>Under 3K</v>
      </c>
      <c r="AN844">
        <f>1</f>
        <v>1</v>
      </c>
      <c r="AO844" t="str" cm="1">
        <f t="array" ref="AO844">_xlfn.IFS(
Table1[[#This Row],[YearsAtCompany]]&lt;=2,"0-2 Years",
Table1[[#This Row],[YearsAtCompany]]&lt;=5,"3-5 Years",
Table1[[#This Row],[YearsAtCompany]]&lt;=10,"6-10 Years",
TRUE,"10+ Years")</f>
        <v>0-2 Years</v>
      </c>
    </row>
    <row r="845" spans="1:41"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tr">
        <f t="shared" si="26"/>
        <v>Research</v>
      </c>
      <c r="AK845">
        <f t="shared" si="27"/>
        <v>0</v>
      </c>
      <c r="AL845">
        <f>IF(Table1[[#This Row],[Attrition]]="Yes", Table1[[#This Row],[MonthlyIncome]]*12*1.5, 0)</f>
        <v>0</v>
      </c>
      <c r="AM845" t="str" cm="1">
        <f t="array" ref="AM845">_xlfn.IFS(
Table1[[#This Row],[MonthlyIncome]]&lt;3000,"Under 3K",
Table1[[#This Row],[MonthlyIncome]]&lt;6000,"3K-6K",
Table1[[#This Row],[MonthlyIncome]]&lt;9000,"6K-9K",
Table1[[#This Row],[MonthlyIncome]]&lt;12000,"9K-12K",
TRUE,"12K+")</f>
        <v>3K-6K</v>
      </c>
      <c r="AN845">
        <f>1</f>
        <v>1</v>
      </c>
      <c r="AO845" t="str" cm="1">
        <f t="array" ref="AO845">_xlfn.IFS(
Table1[[#This Row],[YearsAtCompany]]&lt;=2,"0-2 Years",
Table1[[#This Row],[YearsAtCompany]]&lt;=5,"3-5 Years",
Table1[[#This Row],[YearsAtCompany]]&lt;=10,"6-10 Years",
TRUE,"10+ Years")</f>
        <v>6-10 Years</v>
      </c>
    </row>
    <row r="846" spans="1:41"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tr">
        <f t="shared" si="26"/>
        <v>Sales</v>
      </c>
      <c r="AK846">
        <f t="shared" si="27"/>
        <v>0</v>
      </c>
      <c r="AL846">
        <f>IF(Table1[[#This Row],[Attrition]]="Yes", Table1[[#This Row],[MonthlyIncome]]*12*1.5, 0)</f>
        <v>0</v>
      </c>
      <c r="AM846" t="str" cm="1">
        <f t="array" ref="AM846">_xlfn.IFS(
Table1[[#This Row],[MonthlyIncome]]&lt;3000,"Under 3K",
Table1[[#This Row],[MonthlyIncome]]&lt;6000,"3K-6K",
Table1[[#This Row],[MonthlyIncome]]&lt;9000,"6K-9K",
Table1[[#This Row],[MonthlyIncome]]&lt;12000,"9K-12K",
TRUE,"12K+")</f>
        <v>6K-9K</v>
      </c>
      <c r="AN846">
        <f>1</f>
        <v>1</v>
      </c>
      <c r="AO846" t="str" cm="1">
        <f t="array" ref="AO846">_xlfn.IFS(
Table1[[#This Row],[YearsAtCompany]]&lt;=2,"0-2 Years",
Table1[[#This Row],[YearsAtCompany]]&lt;=5,"3-5 Years",
Table1[[#This Row],[YearsAtCompany]]&lt;=10,"6-10 Years",
TRUE,"10+ Years")</f>
        <v>6-10 Years</v>
      </c>
    </row>
    <row r="847" spans="1:41"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tr">
        <f t="shared" si="26"/>
        <v>Research</v>
      </c>
      <c r="AK847">
        <f t="shared" si="27"/>
        <v>0</v>
      </c>
      <c r="AL847">
        <f>IF(Table1[[#This Row],[Attrition]]="Yes", Table1[[#This Row],[MonthlyIncome]]*12*1.5, 0)</f>
        <v>0</v>
      </c>
      <c r="AM847" t="str" cm="1">
        <f t="array" ref="AM847">_xlfn.IFS(
Table1[[#This Row],[MonthlyIncome]]&lt;3000,"Under 3K",
Table1[[#This Row],[MonthlyIncome]]&lt;6000,"3K-6K",
Table1[[#This Row],[MonthlyIncome]]&lt;9000,"6K-9K",
Table1[[#This Row],[MonthlyIncome]]&lt;12000,"9K-12K",
TRUE,"12K+")</f>
        <v>3K-6K</v>
      </c>
      <c r="AN847">
        <f>1</f>
        <v>1</v>
      </c>
      <c r="AO847" t="str" cm="1">
        <f t="array" ref="AO847">_xlfn.IFS(
Table1[[#This Row],[YearsAtCompany]]&lt;=2,"0-2 Years",
Table1[[#This Row],[YearsAtCompany]]&lt;=5,"3-5 Years",
Table1[[#This Row],[YearsAtCompany]]&lt;=10,"6-10 Years",
TRUE,"10+ Years")</f>
        <v>0-2 Years</v>
      </c>
    </row>
    <row r="848" spans="1:41"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tr">
        <f t="shared" si="26"/>
        <v>Operations</v>
      </c>
      <c r="AK848">
        <f t="shared" si="27"/>
        <v>0</v>
      </c>
      <c r="AL848">
        <f>IF(Table1[[#This Row],[Attrition]]="Yes", Table1[[#This Row],[MonthlyIncome]]*12*1.5, 0)</f>
        <v>0</v>
      </c>
      <c r="AM848" t="str" cm="1">
        <f t="array" ref="AM848">_xlfn.IFS(
Table1[[#This Row],[MonthlyIncome]]&lt;3000,"Under 3K",
Table1[[#This Row],[MonthlyIncome]]&lt;6000,"3K-6K",
Table1[[#This Row],[MonthlyIncome]]&lt;9000,"6K-9K",
Table1[[#This Row],[MonthlyIncome]]&lt;12000,"9K-12K",
TRUE,"12K+")</f>
        <v>9K-12K</v>
      </c>
      <c r="AN848">
        <f>1</f>
        <v>1</v>
      </c>
      <c r="AO848" t="str" cm="1">
        <f t="array" ref="AO848">_xlfn.IFS(
Table1[[#This Row],[YearsAtCompany]]&lt;=2,"0-2 Years",
Table1[[#This Row],[YearsAtCompany]]&lt;=5,"3-5 Years",
Table1[[#This Row],[YearsAtCompany]]&lt;=10,"6-10 Years",
TRUE,"10+ Years")</f>
        <v>6-10 Years</v>
      </c>
    </row>
    <row r="849" spans="1:41"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tr">
        <f t="shared" si="26"/>
        <v>Healthcare</v>
      </c>
      <c r="AK849">
        <f t="shared" si="27"/>
        <v>0</v>
      </c>
      <c r="AL849">
        <f>IF(Table1[[#This Row],[Attrition]]="Yes", Table1[[#This Row],[MonthlyIncome]]*12*1.5, 0)</f>
        <v>0</v>
      </c>
      <c r="AM849" t="str" cm="1">
        <f t="array" ref="AM849">_xlfn.IFS(
Table1[[#This Row],[MonthlyIncome]]&lt;3000,"Under 3K",
Table1[[#This Row],[MonthlyIncome]]&lt;6000,"3K-6K",
Table1[[#This Row],[MonthlyIncome]]&lt;9000,"6K-9K",
Table1[[#This Row],[MonthlyIncome]]&lt;12000,"9K-12K",
TRUE,"12K+")</f>
        <v>3K-6K</v>
      </c>
      <c r="AN849">
        <f>1</f>
        <v>1</v>
      </c>
      <c r="AO849" t="str" cm="1">
        <f t="array" ref="AO849">_xlfn.IFS(
Table1[[#This Row],[YearsAtCompany]]&lt;=2,"0-2 Years",
Table1[[#This Row],[YearsAtCompany]]&lt;=5,"3-5 Years",
Table1[[#This Row],[YearsAtCompany]]&lt;=10,"6-10 Years",
TRUE,"10+ Years")</f>
        <v>10+ Years</v>
      </c>
    </row>
    <row r="850" spans="1:41"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tr">
        <f t="shared" si="26"/>
        <v>Research</v>
      </c>
      <c r="AK850">
        <f t="shared" si="27"/>
        <v>0</v>
      </c>
      <c r="AL850">
        <f>IF(Table1[[#This Row],[Attrition]]="Yes", Table1[[#This Row],[MonthlyIncome]]*12*1.5, 0)</f>
        <v>0</v>
      </c>
      <c r="AM850" t="str" cm="1">
        <f t="array" ref="AM850">_xlfn.IFS(
Table1[[#This Row],[MonthlyIncome]]&lt;3000,"Under 3K",
Table1[[#This Row],[MonthlyIncome]]&lt;6000,"3K-6K",
Table1[[#This Row],[MonthlyIncome]]&lt;9000,"6K-9K",
Table1[[#This Row],[MonthlyIncome]]&lt;12000,"9K-12K",
TRUE,"12K+")</f>
        <v>Under 3K</v>
      </c>
      <c r="AN850">
        <f>1</f>
        <v>1</v>
      </c>
      <c r="AO850" t="str" cm="1">
        <f t="array" ref="AO850">_xlfn.IFS(
Table1[[#This Row],[YearsAtCompany]]&lt;=2,"0-2 Years",
Table1[[#This Row],[YearsAtCompany]]&lt;=5,"3-5 Years",
Table1[[#This Row],[YearsAtCompany]]&lt;=10,"6-10 Years",
TRUE,"10+ Years")</f>
        <v>0-2 Years</v>
      </c>
    </row>
    <row r="851" spans="1:41"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tr">
        <f t="shared" si="26"/>
        <v>Sales</v>
      </c>
      <c r="AK851">
        <f t="shared" si="27"/>
        <v>1</v>
      </c>
      <c r="AL851">
        <f>IF(Table1[[#This Row],[Attrition]]="Yes", Table1[[#This Row],[MonthlyIncome]]*12*1.5, 0)</f>
        <v>96228</v>
      </c>
      <c r="AM851" t="str" cm="1">
        <f t="array" ref="AM851">_xlfn.IFS(
Table1[[#This Row],[MonthlyIncome]]&lt;3000,"Under 3K",
Table1[[#This Row],[MonthlyIncome]]&lt;6000,"3K-6K",
Table1[[#This Row],[MonthlyIncome]]&lt;9000,"6K-9K",
Table1[[#This Row],[MonthlyIncome]]&lt;12000,"9K-12K",
TRUE,"12K+")</f>
        <v>3K-6K</v>
      </c>
      <c r="AN851">
        <f>1</f>
        <v>1</v>
      </c>
      <c r="AO851" t="str" cm="1">
        <f t="array" ref="AO851">_xlfn.IFS(
Table1[[#This Row],[YearsAtCompany]]&lt;=2,"0-2 Years",
Table1[[#This Row],[YearsAtCompany]]&lt;=5,"3-5 Years",
Table1[[#This Row],[YearsAtCompany]]&lt;=10,"6-10 Years",
TRUE,"10+ Years")</f>
        <v>3-5 Years</v>
      </c>
    </row>
    <row r="852" spans="1:41"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tr">
        <f t="shared" si="26"/>
        <v>Sales</v>
      </c>
      <c r="AK852">
        <f t="shared" si="27"/>
        <v>0</v>
      </c>
      <c r="AL852">
        <f>IF(Table1[[#This Row],[Attrition]]="Yes", Table1[[#This Row],[MonthlyIncome]]*12*1.5, 0)</f>
        <v>0</v>
      </c>
      <c r="AM852" t="str" cm="1">
        <f t="array" ref="AM852">_xlfn.IFS(
Table1[[#This Row],[MonthlyIncome]]&lt;3000,"Under 3K",
Table1[[#This Row],[MonthlyIncome]]&lt;6000,"3K-6K",
Table1[[#This Row],[MonthlyIncome]]&lt;9000,"6K-9K",
Table1[[#This Row],[MonthlyIncome]]&lt;12000,"9K-12K",
TRUE,"12K+")</f>
        <v>Under 3K</v>
      </c>
      <c r="AN852">
        <f>1</f>
        <v>1</v>
      </c>
      <c r="AO852" t="str" cm="1">
        <f t="array" ref="AO852">_xlfn.IFS(
Table1[[#This Row],[YearsAtCompany]]&lt;=2,"0-2 Years",
Table1[[#This Row],[YearsAtCompany]]&lt;=5,"3-5 Years",
Table1[[#This Row],[YearsAtCompany]]&lt;=10,"6-10 Years",
TRUE,"10+ Years")</f>
        <v>0-2 Years</v>
      </c>
    </row>
    <row r="853" spans="1:41"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tr">
        <f t="shared" si="26"/>
        <v>Management</v>
      </c>
      <c r="AK853">
        <f t="shared" si="27"/>
        <v>0</v>
      </c>
      <c r="AL853">
        <f>IF(Table1[[#This Row],[Attrition]]="Yes", Table1[[#This Row],[MonthlyIncome]]*12*1.5, 0)</f>
        <v>0</v>
      </c>
      <c r="AM853" t="str" cm="1">
        <f t="array" ref="AM853">_xlfn.IFS(
Table1[[#This Row],[MonthlyIncome]]&lt;3000,"Under 3K",
Table1[[#This Row],[MonthlyIncome]]&lt;6000,"3K-6K",
Table1[[#This Row],[MonthlyIncome]]&lt;9000,"6K-9K",
Table1[[#This Row],[MonthlyIncome]]&lt;12000,"9K-12K",
TRUE,"12K+")</f>
        <v>12K+</v>
      </c>
      <c r="AN853">
        <f>1</f>
        <v>1</v>
      </c>
      <c r="AO853" t="str" cm="1">
        <f t="array" ref="AO853">_xlfn.IFS(
Table1[[#This Row],[YearsAtCompany]]&lt;=2,"0-2 Years",
Table1[[#This Row],[YearsAtCompany]]&lt;=5,"3-5 Years",
Table1[[#This Row],[YearsAtCompany]]&lt;=10,"6-10 Years",
TRUE,"10+ Years")</f>
        <v>3-5 Years</v>
      </c>
    </row>
    <row r="854" spans="1:41"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tr">
        <f t="shared" si="26"/>
        <v>Research</v>
      </c>
      <c r="AK854">
        <f t="shared" si="27"/>
        <v>0</v>
      </c>
      <c r="AL854">
        <f>IF(Table1[[#This Row],[Attrition]]="Yes", Table1[[#This Row],[MonthlyIncome]]*12*1.5, 0)</f>
        <v>0</v>
      </c>
      <c r="AM854" t="str" cm="1">
        <f t="array" ref="AM854">_xlfn.IFS(
Table1[[#This Row],[MonthlyIncome]]&lt;3000,"Under 3K",
Table1[[#This Row],[MonthlyIncome]]&lt;6000,"3K-6K",
Table1[[#This Row],[MonthlyIncome]]&lt;9000,"6K-9K",
Table1[[#This Row],[MonthlyIncome]]&lt;12000,"9K-12K",
TRUE,"12K+")</f>
        <v>3K-6K</v>
      </c>
      <c r="AN854">
        <f>1</f>
        <v>1</v>
      </c>
      <c r="AO854" t="str" cm="1">
        <f t="array" ref="AO854">_xlfn.IFS(
Table1[[#This Row],[YearsAtCompany]]&lt;=2,"0-2 Years",
Table1[[#This Row],[YearsAtCompany]]&lt;=5,"3-5 Years",
Table1[[#This Row],[YearsAtCompany]]&lt;=10,"6-10 Years",
TRUE,"10+ Years")</f>
        <v>6-10 Years</v>
      </c>
    </row>
    <row r="855" spans="1:41"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tr">
        <f t="shared" si="26"/>
        <v>Research</v>
      </c>
      <c r="AK855">
        <f t="shared" si="27"/>
        <v>0</v>
      </c>
      <c r="AL855">
        <f>IF(Table1[[#This Row],[Attrition]]="Yes", Table1[[#This Row],[MonthlyIncome]]*12*1.5, 0)</f>
        <v>0</v>
      </c>
      <c r="AM855" t="str" cm="1">
        <f t="array" ref="AM855">_xlfn.IFS(
Table1[[#This Row],[MonthlyIncome]]&lt;3000,"Under 3K",
Table1[[#This Row],[MonthlyIncome]]&lt;6000,"3K-6K",
Table1[[#This Row],[MonthlyIncome]]&lt;9000,"6K-9K",
Table1[[#This Row],[MonthlyIncome]]&lt;12000,"9K-12K",
TRUE,"12K+")</f>
        <v>Under 3K</v>
      </c>
      <c r="AN855">
        <f>1</f>
        <v>1</v>
      </c>
      <c r="AO855" t="str" cm="1">
        <f t="array" ref="AO855">_xlfn.IFS(
Table1[[#This Row],[YearsAtCompany]]&lt;=2,"0-2 Years",
Table1[[#This Row],[YearsAtCompany]]&lt;=5,"3-5 Years",
Table1[[#This Row],[YearsAtCompany]]&lt;=10,"6-10 Years",
TRUE,"10+ Years")</f>
        <v>0-2 Years</v>
      </c>
    </row>
    <row r="856" spans="1:41"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tr">
        <f t="shared" si="26"/>
        <v>Research</v>
      </c>
      <c r="AK856">
        <f t="shared" si="27"/>
        <v>0</v>
      </c>
      <c r="AL856">
        <f>IF(Table1[[#This Row],[Attrition]]="Yes", Table1[[#This Row],[MonthlyIncome]]*12*1.5, 0)</f>
        <v>0</v>
      </c>
      <c r="AM856" t="str" cm="1">
        <f t="array" ref="AM856">_xlfn.IFS(
Table1[[#This Row],[MonthlyIncome]]&lt;3000,"Under 3K",
Table1[[#This Row],[MonthlyIncome]]&lt;6000,"3K-6K",
Table1[[#This Row],[MonthlyIncome]]&lt;9000,"6K-9K",
Table1[[#This Row],[MonthlyIncome]]&lt;12000,"9K-12K",
TRUE,"12K+")</f>
        <v>3K-6K</v>
      </c>
      <c r="AN856">
        <f>1</f>
        <v>1</v>
      </c>
      <c r="AO856" t="str" cm="1">
        <f t="array" ref="AO856">_xlfn.IFS(
Table1[[#This Row],[YearsAtCompany]]&lt;=2,"0-2 Years",
Table1[[#This Row],[YearsAtCompany]]&lt;=5,"3-5 Years",
Table1[[#This Row],[YearsAtCompany]]&lt;=10,"6-10 Years",
TRUE,"10+ Years")</f>
        <v>3-5 Years</v>
      </c>
    </row>
    <row r="857" spans="1:41"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tr">
        <f t="shared" si="26"/>
        <v>Operations</v>
      </c>
      <c r="AK857">
        <f t="shared" si="27"/>
        <v>0</v>
      </c>
      <c r="AL857">
        <f>IF(Table1[[#This Row],[Attrition]]="Yes", Table1[[#This Row],[MonthlyIncome]]*12*1.5, 0)</f>
        <v>0</v>
      </c>
      <c r="AM857" t="str" cm="1">
        <f t="array" ref="AM857">_xlfn.IFS(
Table1[[#This Row],[MonthlyIncome]]&lt;3000,"Under 3K",
Table1[[#This Row],[MonthlyIncome]]&lt;6000,"3K-6K",
Table1[[#This Row],[MonthlyIncome]]&lt;9000,"6K-9K",
Table1[[#This Row],[MonthlyIncome]]&lt;12000,"9K-12K",
TRUE,"12K+")</f>
        <v>6K-9K</v>
      </c>
      <c r="AN857">
        <f>1</f>
        <v>1</v>
      </c>
      <c r="AO857" t="str" cm="1">
        <f t="array" ref="AO857">_xlfn.IFS(
Table1[[#This Row],[YearsAtCompany]]&lt;=2,"0-2 Years",
Table1[[#This Row],[YearsAtCompany]]&lt;=5,"3-5 Years",
Table1[[#This Row],[YearsAtCompany]]&lt;=10,"6-10 Years",
TRUE,"10+ Years")</f>
        <v>10+ Years</v>
      </c>
    </row>
    <row r="858" spans="1:41"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tr">
        <f t="shared" si="26"/>
        <v>Research</v>
      </c>
      <c r="AK858">
        <f t="shared" si="27"/>
        <v>0</v>
      </c>
      <c r="AL858">
        <f>IF(Table1[[#This Row],[Attrition]]="Yes", Table1[[#This Row],[MonthlyIncome]]*12*1.5, 0)</f>
        <v>0</v>
      </c>
      <c r="AM858" t="str" cm="1">
        <f t="array" ref="AM858">_xlfn.IFS(
Table1[[#This Row],[MonthlyIncome]]&lt;3000,"Under 3K",
Table1[[#This Row],[MonthlyIncome]]&lt;6000,"3K-6K",
Table1[[#This Row],[MonthlyIncome]]&lt;9000,"6K-9K",
Table1[[#This Row],[MonthlyIncome]]&lt;12000,"9K-12K",
TRUE,"12K+")</f>
        <v>3K-6K</v>
      </c>
      <c r="AN858">
        <f>1</f>
        <v>1</v>
      </c>
      <c r="AO858" t="str" cm="1">
        <f t="array" ref="AO858">_xlfn.IFS(
Table1[[#This Row],[YearsAtCompany]]&lt;=2,"0-2 Years",
Table1[[#This Row],[YearsAtCompany]]&lt;=5,"3-5 Years",
Table1[[#This Row],[YearsAtCompany]]&lt;=10,"6-10 Years",
TRUE,"10+ Years")</f>
        <v>0-2 Years</v>
      </c>
    </row>
    <row r="859" spans="1:41"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tr">
        <f t="shared" si="26"/>
        <v>Research</v>
      </c>
      <c r="AK859">
        <f t="shared" si="27"/>
        <v>1</v>
      </c>
      <c r="AL859">
        <f>IF(Table1[[#This Row],[Attrition]]="Yes", Table1[[#This Row],[MonthlyIncome]]*12*1.5, 0)</f>
        <v>52848</v>
      </c>
      <c r="AM859" t="str" cm="1">
        <f t="array" ref="AM859">_xlfn.IFS(
Table1[[#This Row],[MonthlyIncome]]&lt;3000,"Under 3K",
Table1[[#This Row],[MonthlyIncome]]&lt;6000,"3K-6K",
Table1[[#This Row],[MonthlyIncome]]&lt;9000,"6K-9K",
Table1[[#This Row],[MonthlyIncome]]&lt;12000,"9K-12K",
TRUE,"12K+")</f>
        <v>Under 3K</v>
      </c>
      <c r="AN859">
        <f>1</f>
        <v>1</v>
      </c>
      <c r="AO859" t="str" cm="1">
        <f t="array" ref="AO859">_xlfn.IFS(
Table1[[#This Row],[YearsAtCompany]]&lt;=2,"0-2 Years",
Table1[[#This Row],[YearsAtCompany]]&lt;=5,"3-5 Years",
Table1[[#This Row],[YearsAtCompany]]&lt;=10,"6-10 Years",
TRUE,"10+ Years")</f>
        <v>6-10 Years</v>
      </c>
    </row>
    <row r="860" spans="1:41"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tr">
        <f t="shared" si="26"/>
        <v>Management</v>
      </c>
      <c r="AK860">
        <f t="shared" si="27"/>
        <v>0</v>
      </c>
      <c r="AL860">
        <f>IF(Table1[[#This Row],[Attrition]]="Yes", Table1[[#This Row],[MonthlyIncome]]*12*1.5, 0)</f>
        <v>0</v>
      </c>
      <c r="AM860" t="str" cm="1">
        <f t="array" ref="AM860">_xlfn.IFS(
Table1[[#This Row],[MonthlyIncome]]&lt;3000,"Under 3K",
Table1[[#This Row],[MonthlyIncome]]&lt;6000,"3K-6K",
Table1[[#This Row],[MonthlyIncome]]&lt;9000,"6K-9K",
Table1[[#This Row],[MonthlyIncome]]&lt;12000,"9K-12K",
TRUE,"12K+")</f>
        <v>12K+</v>
      </c>
      <c r="AN860">
        <f>1</f>
        <v>1</v>
      </c>
      <c r="AO860" t="str" cm="1">
        <f t="array" ref="AO860">_xlfn.IFS(
Table1[[#This Row],[YearsAtCompany]]&lt;=2,"0-2 Years",
Table1[[#This Row],[YearsAtCompany]]&lt;=5,"3-5 Years",
Table1[[#This Row],[YearsAtCompany]]&lt;=10,"6-10 Years",
TRUE,"10+ Years")</f>
        <v>6-10 Years</v>
      </c>
    </row>
    <row r="861" spans="1:41"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tr">
        <f t="shared" si="26"/>
        <v>Research</v>
      </c>
      <c r="AK861">
        <f t="shared" si="27"/>
        <v>0</v>
      </c>
      <c r="AL861">
        <f>IF(Table1[[#This Row],[Attrition]]="Yes", Table1[[#This Row],[MonthlyIncome]]*12*1.5, 0)</f>
        <v>0</v>
      </c>
      <c r="AM861" t="str" cm="1">
        <f t="array" ref="AM861">_xlfn.IFS(
Table1[[#This Row],[MonthlyIncome]]&lt;3000,"Under 3K",
Table1[[#This Row],[MonthlyIncome]]&lt;6000,"3K-6K",
Table1[[#This Row],[MonthlyIncome]]&lt;9000,"6K-9K",
Table1[[#This Row],[MonthlyIncome]]&lt;12000,"9K-12K",
TRUE,"12K+")</f>
        <v>Under 3K</v>
      </c>
      <c r="AN861">
        <f>1</f>
        <v>1</v>
      </c>
      <c r="AO861" t="str" cm="1">
        <f t="array" ref="AO861">_xlfn.IFS(
Table1[[#This Row],[YearsAtCompany]]&lt;=2,"0-2 Years",
Table1[[#This Row],[YearsAtCompany]]&lt;=5,"3-5 Years",
Table1[[#This Row],[YearsAtCompany]]&lt;=10,"6-10 Years",
TRUE,"10+ Years")</f>
        <v>3-5 Years</v>
      </c>
    </row>
    <row r="862" spans="1:41"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tr">
        <f t="shared" si="26"/>
        <v>Research</v>
      </c>
      <c r="AK862">
        <f t="shared" si="27"/>
        <v>1</v>
      </c>
      <c r="AL862">
        <f>IF(Table1[[#This Row],[Attrition]]="Yes", Table1[[#This Row],[MonthlyIncome]]*12*1.5, 0)</f>
        <v>51354</v>
      </c>
      <c r="AM862" t="str" cm="1">
        <f t="array" ref="AM862">_xlfn.IFS(
Table1[[#This Row],[MonthlyIncome]]&lt;3000,"Under 3K",
Table1[[#This Row],[MonthlyIncome]]&lt;6000,"3K-6K",
Table1[[#This Row],[MonthlyIncome]]&lt;9000,"6K-9K",
Table1[[#This Row],[MonthlyIncome]]&lt;12000,"9K-12K",
TRUE,"12K+")</f>
        <v>Under 3K</v>
      </c>
      <c r="AN862">
        <f>1</f>
        <v>1</v>
      </c>
      <c r="AO862" t="str" cm="1">
        <f t="array" ref="AO862">_xlfn.IFS(
Table1[[#This Row],[YearsAtCompany]]&lt;=2,"0-2 Years",
Table1[[#This Row],[YearsAtCompany]]&lt;=5,"3-5 Years",
Table1[[#This Row],[YearsAtCompany]]&lt;=10,"6-10 Years",
TRUE,"10+ Years")</f>
        <v>0-2 Years</v>
      </c>
    </row>
    <row r="863" spans="1:41"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tr">
        <f t="shared" si="26"/>
        <v>Management</v>
      </c>
      <c r="AK863">
        <f t="shared" si="27"/>
        <v>0</v>
      </c>
      <c r="AL863">
        <f>IF(Table1[[#This Row],[Attrition]]="Yes", Table1[[#This Row],[MonthlyIncome]]*12*1.5, 0)</f>
        <v>0</v>
      </c>
      <c r="AM863" t="str" cm="1">
        <f t="array" ref="AM863">_xlfn.IFS(
Table1[[#This Row],[MonthlyIncome]]&lt;3000,"Under 3K",
Table1[[#This Row],[MonthlyIncome]]&lt;6000,"3K-6K",
Table1[[#This Row],[MonthlyIncome]]&lt;9000,"6K-9K",
Table1[[#This Row],[MonthlyIncome]]&lt;12000,"9K-12K",
TRUE,"12K+")</f>
        <v>12K+</v>
      </c>
      <c r="AN863">
        <f>1</f>
        <v>1</v>
      </c>
      <c r="AO863" t="str" cm="1">
        <f t="array" ref="AO863">_xlfn.IFS(
Table1[[#This Row],[YearsAtCompany]]&lt;=2,"0-2 Years",
Table1[[#This Row],[YearsAtCompany]]&lt;=5,"3-5 Years",
Table1[[#This Row],[YearsAtCompany]]&lt;=10,"6-10 Years",
TRUE,"10+ Years")</f>
        <v>10+ Years</v>
      </c>
    </row>
    <row r="864" spans="1:41"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tr">
        <f t="shared" si="26"/>
        <v>Research</v>
      </c>
      <c r="AK864">
        <f t="shared" si="27"/>
        <v>0</v>
      </c>
      <c r="AL864">
        <f>IF(Table1[[#This Row],[Attrition]]="Yes", Table1[[#This Row],[MonthlyIncome]]*12*1.5, 0)</f>
        <v>0</v>
      </c>
      <c r="AM864" t="str" cm="1">
        <f t="array" ref="AM864">_xlfn.IFS(
Table1[[#This Row],[MonthlyIncome]]&lt;3000,"Under 3K",
Table1[[#This Row],[MonthlyIncome]]&lt;6000,"3K-6K",
Table1[[#This Row],[MonthlyIncome]]&lt;9000,"6K-9K",
Table1[[#This Row],[MonthlyIncome]]&lt;12000,"9K-12K",
TRUE,"12K+")</f>
        <v>Under 3K</v>
      </c>
      <c r="AN864">
        <f>1</f>
        <v>1</v>
      </c>
      <c r="AO864" t="str" cm="1">
        <f t="array" ref="AO864">_xlfn.IFS(
Table1[[#This Row],[YearsAtCompany]]&lt;=2,"0-2 Years",
Table1[[#This Row],[YearsAtCompany]]&lt;=5,"3-5 Years",
Table1[[#This Row],[YearsAtCompany]]&lt;=10,"6-10 Years",
TRUE,"10+ Years")</f>
        <v>0-2 Years</v>
      </c>
    </row>
    <row r="865" spans="1:41"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tr">
        <f t="shared" si="26"/>
        <v>Human Resources</v>
      </c>
      <c r="AK865">
        <f t="shared" si="27"/>
        <v>0</v>
      </c>
      <c r="AL865">
        <f>IF(Table1[[#This Row],[Attrition]]="Yes", Table1[[#This Row],[MonthlyIncome]]*12*1.5, 0)</f>
        <v>0</v>
      </c>
      <c r="AM865" t="str" cm="1">
        <f t="array" ref="AM865">_xlfn.IFS(
Table1[[#This Row],[MonthlyIncome]]&lt;3000,"Under 3K",
Table1[[#This Row],[MonthlyIncome]]&lt;6000,"3K-6K",
Table1[[#This Row],[MonthlyIncome]]&lt;9000,"6K-9K",
Table1[[#This Row],[MonthlyIncome]]&lt;12000,"9K-12K",
TRUE,"12K+")</f>
        <v>3K-6K</v>
      </c>
      <c r="AN865">
        <f>1</f>
        <v>1</v>
      </c>
      <c r="AO865" t="str" cm="1">
        <f t="array" ref="AO865">_xlfn.IFS(
Table1[[#This Row],[YearsAtCompany]]&lt;=2,"0-2 Years",
Table1[[#This Row],[YearsAtCompany]]&lt;=5,"3-5 Years",
Table1[[#This Row],[YearsAtCompany]]&lt;=10,"6-10 Years",
TRUE,"10+ Years")</f>
        <v>3-5 Years</v>
      </c>
    </row>
    <row r="866" spans="1:41"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tr">
        <f t="shared" si="26"/>
        <v>Research</v>
      </c>
      <c r="AK866">
        <f t="shared" si="27"/>
        <v>1</v>
      </c>
      <c r="AL866">
        <f>IF(Table1[[#This Row],[Attrition]]="Yes", Table1[[#This Row],[MonthlyIncome]]*12*1.5, 0)</f>
        <v>37926</v>
      </c>
      <c r="AM866" t="str" cm="1">
        <f t="array" ref="AM866">_xlfn.IFS(
Table1[[#This Row],[MonthlyIncome]]&lt;3000,"Under 3K",
Table1[[#This Row],[MonthlyIncome]]&lt;6000,"3K-6K",
Table1[[#This Row],[MonthlyIncome]]&lt;9000,"6K-9K",
Table1[[#This Row],[MonthlyIncome]]&lt;12000,"9K-12K",
TRUE,"12K+")</f>
        <v>Under 3K</v>
      </c>
      <c r="AN866">
        <f>1</f>
        <v>1</v>
      </c>
      <c r="AO866" t="str" cm="1">
        <f t="array" ref="AO866">_xlfn.IFS(
Table1[[#This Row],[YearsAtCompany]]&lt;=2,"0-2 Years",
Table1[[#This Row],[YearsAtCompany]]&lt;=5,"3-5 Years",
Table1[[#This Row],[YearsAtCompany]]&lt;=10,"6-10 Years",
TRUE,"10+ Years")</f>
        <v>0-2 Years</v>
      </c>
    </row>
    <row r="867" spans="1:41"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tr">
        <f t="shared" si="26"/>
        <v>Sales</v>
      </c>
      <c r="AK867">
        <f t="shared" si="27"/>
        <v>0</v>
      </c>
      <c r="AL867">
        <f>IF(Table1[[#This Row],[Attrition]]="Yes", Table1[[#This Row],[MonthlyIncome]]*12*1.5, 0)</f>
        <v>0</v>
      </c>
      <c r="AM867" t="str" cm="1">
        <f t="array" ref="AM867">_xlfn.IFS(
Table1[[#This Row],[MonthlyIncome]]&lt;3000,"Under 3K",
Table1[[#This Row],[MonthlyIncome]]&lt;6000,"3K-6K",
Table1[[#This Row],[MonthlyIncome]]&lt;9000,"6K-9K",
Table1[[#This Row],[MonthlyIncome]]&lt;12000,"9K-12K",
TRUE,"12K+")</f>
        <v>3K-6K</v>
      </c>
      <c r="AN867">
        <f>1</f>
        <v>1</v>
      </c>
      <c r="AO867" t="str" cm="1">
        <f t="array" ref="AO867">_xlfn.IFS(
Table1[[#This Row],[YearsAtCompany]]&lt;=2,"0-2 Years",
Table1[[#This Row],[YearsAtCompany]]&lt;=5,"3-5 Years",
Table1[[#This Row],[YearsAtCompany]]&lt;=10,"6-10 Years",
TRUE,"10+ Years")</f>
        <v>3-5 Years</v>
      </c>
    </row>
    <row r="868" spans="1:41"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tr">
        <f t="shared" si="26"/>
        <v>Sales</v>
      </c>
      <c r="AK868">
        <f t="shared" si="27"/>
        <v>0</v>
      </c>
      <c r="AL868">
        <f>IF(Table1[[#This Row],[Attrition]]="Yes", Table1[[#This Row],[MonthlyIncome]]*12*1.5, 0)</f>
        <v>0</v>
      </c>
      <c r="AM868" t="str" cm="1">
        <f t="array" ref="AM868">_xlfn.IFS(
Table1[[#This Row],[MonthlyIncome]]&lt;3000,"Under 3K",
Table1[[#This Row],[MonthlyIncome]]&lt;6000,"3K-6K",
Table1[[#This Row],[MonthlyIncome]]&lt;9000,"6K-9K",
Table1[[#This Row],[MonthlyIncome]]&lt;12000,"9K-12K",
TRUE,"12K+")</f>
        <v>3K-6K</v>
      </c>
      <c r="AN868">
        <f>1</f>
        <v>1</v>
      </c>
      <c r="AO868" t="str" cm="1">
        <f t="array" ref="AO868">_xlfn.IFS(
Table1[[#This Row],[YearsAtCompany]]&lt;=2,"0-2 Years",
Table1[[#This Row],[YearsAtCompany]]&lt;=5,"3-5 Years",
Table1[[#This Row],[YearsAtCompany]]&lt;=10,"6-10 Years",
TRUE,"10+ Years")</f>
        <v>0-2 Years</v>
      </c>
    </row>
    <row r="869" spans="1:41"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tr">
        <f t="shared" si="26"/>
        <v>Management</v>
      </c>
      <c r="AK869">
        <f t="shared" si="27"/>
        <v>0</v>
      </c>
      <c r="AL869">
        <f>IF(Table1[[#This Row],[Attrition]]="Yes", Table1[[#This Row],[MonthlyIncome]]*12*1.5, 0)</f>
        <v>0</v>
      </c>
      <c r="AM869" t="str" cm="1">
        <f t="array" ref="AM869">_xlfn.IFS(
Table1[[#This Row],[MonthlyIncome]]&lt;3000,"Under 3K",
Table1[[#This Row],[MonthlyIncome]]&lt;6000,"3K-6K",
Table1[[#This Row],[MonthlyIncome]]&lt;9000,"6K-9K",
Table1[[#This Row],[MonthlyIncome]]&lt;12000,"9K-12K",
TRUE,"12K+")</f>
        <v>12K+</v>
      </c>
      <c r="AN869">
        <f>1</f>
        <v>1</v>
      </c>
      <c r="AO869" t="str" cm="1">
        <f t="array" ref="AO869">_xlfn.IFS(
Table1[[#This Row],[YearsAtCompany]]&lt;=2,"0-2 Years",
Table1[[#This Row],[YearsAtCompany]]&lt;=5,"3-5 Years",
Table1[[#This Row],[YearsAtCompany]]&lt;=10,"6-10 Years",
TRUE,"10+ Years")</f>
        <v>0-2 Years</v>
      </c>
    </row>
    <row r="870" spans="1:41"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tr">
        <f t="shared" si="26"/>
        <v>Research</v>
      </c>
      <c r="AK870">
        <f t="shared" si="27"/>
        <v>0</v>
      </c>
      <c r="AL870">
        <f>IF(Table1[[#This Row],[Attrition]]="Yes", Table1[[#This Row],[MonthlyIncome]]*12*1.5, 0)</f>
        <v>0</v>
      </c>
      <c r="AM870" t="str" cm="1">
        <f t="array" ref="AM870">_xlfn.IFS(
Table1[[#This Row],[MonthlyIncome]]&lt;3000,"Under 3K",
Table1[[#This Row],[MonthlyIncome]]&lt;6000,"3K-6K",
Table1[[#This Row],[MonthlyIncome]]&lt;9000,"6K-9K",
Table1[[#This Row],[MonthlyIncome]]&lt;12000,"9K-12K",
TRUE,"12K+")</f>
        <v>3K-6K</v>
      </c>
      <c r="AN870">
        <f>1</f>
        <v>1</v>
      </c>
      <c r="AO870" t="str" cm="1">
        <f t="array" ref="AO870">_xlfn.IFS(
Table1[[#This Row],[YearsAtCompany]]&lt;=2,"0-2 Years",
Table1[[#This Row],[YearsAtCompany]]&lt;=5,"3-5 Years",
Table1[[#This Row],[YearsAtCompany]]&lt;=10,"6-10 Years",
TRUE,"10+ Years")</f>
        <v>6-10 Years</v>
      </c>
    </row>
    <row r="871" spans="1:41"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tr">
        <f t="shared" si="26"/>
        <v>Research</v>
      </c>
      <c r="AK871">
        <f t="shared" si="27"/>
        <v>0</v>
      </c>
      <c r="AL871">
        <f>IF(Table1[[#This Row],[Attrition]]="Yes", Table1[[#This Row],[MonthlyIncome]]*12*1.5, 0)</f>
        <v>0</v>
      </c>
      <c r="AM871" t="str" cm="1">
        <f t="array" ref="AM871">_xlfn.IFS(
Table1[[#This Row],[MonthlyIncome]]&lt;3000,"Under 3K",
Table1[[#This Row],[MonthlyIncome]]&lt;6000,"3K-6K",
Table1[[#This Row],[MonthlyIncome]]&lt;9000,"6K-9K",
Table1[[#This Row],[MonthlyIncome]]&lt;12000,"9K-12K",
TRUE,"12K+")</f>
        <v>12K+</v>
      </c>
      <c r="AN871">
        <f>1</f>
        <v>1</v>
      </c>
      <c r="AO871" t="str" cm="1">
        <f t="array" ref="AO871">_xlfn.IFS(
Table1[[#This Row],[YearsAtCompany]]&lt;=2,"0-2 Years",
Table1[[#This Row],[YearsAtCompany]]&lt;=5,"3-5 Years",
Table1[[#This Row],[YearsAtCompany]]&lt;=10,"6-10 Years",
TRUE,"10+ Years")</f>
        <v>3-5 Years</v>
      </c>
    </row>
    <row r="872" spans="1:41"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tr">
        <f t="shared" si="26"/>
        <v>Sales</v>
      </c>
      <c r="AK872">
        <f t="shared" si="27"/>
        <v>0</v>
      </c>
      <c r="AL872">
        <f>IF(Table1[[#This Row],[Attrition]]="Yes", Table1[[#This Row],[MonthlyIncome]]*12*1.5, 0)</f>
        <v>0</v>
      </c>
      <c r="AM872" t="str" cm="1">
        <f t="array" ref="AM872">_xlfn.IFS(
Table1[[#This Row],[MonthlyIncome]]&lt;3000,"Under 3K",
Table1[[#This Row],[MonthlyIncome]]&lt;6000,"3K-6K",
Table1[[#This Row],[MonthlyIncome]]&lt;9000,"6K-9K",
Table1[[#This Row],[MonthlyIncome]]&lt;12000,"9K-12K",
TRUE,"12K+")</f>
        <v>6K-9K</v>
      </c>
      <c r="AN872">
        <f>1</f>
        <v>1</v>
      </c>
      <c r="AO872" t="str" cm="1">
        <f t="array" ref="AO872">_xlfn.IFS(
Table1[[#This Row],[YearsAtCompany]]&lt;=2,"0-2 Years",
Table1[[#This Row],[YearsAtCompany]]&lt;=5,"3-5 Years",
Table1[[#This Row],[YearsAtCompany]]&lt;=10,"6-10 Years",
TRUE,"10+ Years")</f>
        <v>6-10 Years</v>
      </c>
    </row>
    <row r="873" spans="1:41"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tr">
        <f t="shared" si="26"/>
        <v>Research</v>
      </c>
      <c r="AK873">
        <f t="shared" si="27"/>
        <v>1</v>
      </c>
      <c r="AL873">
        <f>IF(Table1[[#This Row],[Attrition]]="Yes", Table1[[#This Row],[MonthlyIncome]]*12*1.5, 0)</f>
        <v>39780</v>
      </c>
      <c r="AM873" t="str" cm="1">
        <f t="array" ref="AM873">_xlfn.IFS(
Table1[[#This Row],[MonthlyIncome]]&lt;3000,"Under 3K",
Table1[[#This Row],[MonthlyIncome]]&lt;6000,"3K-6K",
Table1[[#This Row],[MonthlyIncome]]&lt;9000,"6K-9K",
Table1[[#This Row],[MonthlyIncome]]&lt;12000,"9K-12K",
TRUE,"12K+")</f>
        <v>Under 3K</v>
      </c>
      <c r="AN873">
        <f>1</f>
        <v>1</v>
      </c>
      <c r="AO873" t="str" cm="1">
        <f t="array" ref="AO873">_xlfn.IFS(
Table1[[#This Row],[YearsAtCompany]]&lt;=2,"0-2 Years",
Table1[[#This Row],[YearsAtCompany]]&lt;=5,"3-5 Years",
Table1[[#This Row],[YearsAtCompany]]&lt;=10,"6-10 Years",
TRUE,"10+ Years")</f>
        <v>0-2 Years</v>
      </c>
    </row>
    <row r="874" spans="1:41"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tr">
        <f t="shared" si="26"/>
        <v>Sales</v>
      </c>
      <c r="AK874">
        <f t="shared" si="27"/>
        <v>0</v>
      </c>
      <c r="AL874">
        <f>IF(Table1[[#This Row],[Attrition]]="Yes", Table1[[#This Row],[MonthlyIncome]]*12*1.5, 0)</f>
        <v>0</v>
      </c>
      <c r="AM874" t="str" cm="1">
        <f t="array" ref="AM874">_xlfn.IFS(
Table1[[#This Row],[MonthlyIncome]]&lt;3000,"Under 3K",
Table1[[#This Row],[MonthlyIncome]]&lt;6000,"3K-6K",
Table1[[#This Row],[MonthlyIncome]]&lt;9000,"6K-9K",
Table1[[#This Row],[MonthlyIncome]]&lt;12000,"9K-12K",
TRUE,"12K+")</f>
        <v>3K-6K</v>
      </c>
      <c r="AN874">
        <f>1</f>
        <v>1</v>
      </c>
      <c r="AO874" t="str" cm="1">
        <f t="array" ref="AO874">_xlfn.IFS(
Table1[[#This Row],[YearsAtCompany]]&lt;=2,"0-2 Years",
Table1[[#This Row],[YearsAtCompany]]&lt;=5,"3-5 Years",
Table1[[#This Row],[YearsAtCompany]]&lt;=10,"6-10 Years",
TRUE,"10+ Years")</f>
        <v>6-10 Years</v>
      </c>
    </row>
    <row r="875" spans="1:41"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tr">
        <f t="shared" si="26"/>
        <v>Research</v>
      </c>
      <c r="AK875">
        <f t="shared" si="27"/>
        <v>0</v>
      </c>
      <c r="AL875">
        <f>IF(Table1[[#This Row],[Attrition]]="Yes", Table1[[#This Row],[MonthlyIncome]]*12*1.5, 0)</f>
        <v>0</v>
      </c>
      <c r="AM875" t="str" cm="1">
        <f t="array" ref="AM875">_xlfn.IFS(
Table1[[#This Row],[MonthlyIncome]]&lt;3000,"Under 3K",
Table1[[#This Row],[MonthlyIncome]]&lt;6000,"3K-6K",
Table1[[#This Row],[MonthlyIncome]]&lt;9000,"6K-9K",
Table1[[#This Row],[MonthlyIncome]]&lt;12000,"9K-12K",
TRUE,"12K+")</f>
        <v>Under 3K</v>
      </c>
      <c r="AN875">
        <f>1</f>
        <v>1</v>
      </c>
      <c r="AO875" t="str" cm="1">
        <f t="array" ref="AO875">_xlfn.IFS(
Table1[[#This Row],[YearsAtCompany]]&lt;=2,"0-2 Years",
Table1[[#This Row],[YearsAtCompany]]&lt;=5,"3-5 Years",
Table1[[#This Row],[YearsAtCompany]]&lt;=10,"6-10 Years",
TRUE,"10+ Years")</f>
        <v>6-10 Years</v>
      </c>
    </row>
    <row r="876" spans="1:41"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tr">
        <f t="shared" si="26"/>
        <v>Research</v>
      </c>
      <c r="AK876">
        <f t="shared" si="27"/>
        <v>0</v>
      </c>
      <c r="AL876">
        <f>IF(Table1[[#This Row],[Attrition]]="Yes", Table1[[#This Row],[MonthlyIncome]]*12*1.5, 0)</f>
        <v>0</v>
      </c>
      <c r="AM876" t="str" cm="1">
        <f t="array" ref="AM876">_xlfn.IFS(
Table1[[#This Row],[MonthlyIncome]]&lt;3000,"Under 3K",
Table1[[#This Row],[MonthlyIncome]]&lt;6000,"3K-6K",
Table1[[#This Row],[MonthlyIncome]]&lt;9000,"6K-9K",
Table1[[#This Row],[MonthlyIncome]]&lt;12000,"9K-12K",
TRUE,"12K+")</f>
        <v>3K-6K</v>
      </c>
      <c r="AN876">
        <f>1</f>
        <v>1</v>
      </c>
      <c r="AO876" t="str" cm="1">
        <f t="array" ref="AO876">_xlfn.IFS(
Table1[[#This Row],[YearsAtCompany]]&lt;=2,"0-2 Years",
Table1[[#This Row],[YearsAtCompany]]&lt;=5,"3-5 Years",
Table1[[#This Row],[YearsAtCompany]]&lt;=10,"6-10 Years",
TRUE,"10+ Years")</f>
        <v>6-10 Years</v>
      </c>
    </row>
    <row r="877" spans="1:41"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tr">
        <f t="shared" si="26"/>
        <v>Research</v>
      </c>
      <c r="AK877">
        <f t="shared" si="27"/>
        <v>0</v>
      </c>
      <c r="AL877">
        <f>IF(Table1[[#This Row],[Attrition]]="Yes", Table1[[#This Row],[MonthlyIncome]]*12*1.5, 0)</f>
        <v>0</v>
      </c>
      <c r="AM877" t="str" cm="1">
        <f t="array" ref="AM877">_xlfn.IFS(
Table1[[#This Row],[MonthlyIncome]]&lt;3000,"Under 3K",
Table1[[#This Row],[MonthlyIncome]]&lt;6000,"3K-6K",
Table1[[#This Row],[MonthlyIncome]]&lt;9000,"6K-9K",
Table1[[#This Row],[MonthlyIncome]]&lt;12000,"9K-12K",
TRUE,"12K+")</f>
        <v>3K-6K</v>
      </c>
      <c r="AN877">
        <f>1</f>
        <v>1</v>
      </c>
      <c r="AO877" t="str" cm="1">
        <f t="array" ref="AO877">_xlfn.IFS(
Table1[[#This Row],[YearsAtCompany]]&lt;=2,"0-2 Years",
Table1[[#This Row],[YearsAtCompany]]&lt;=5,"3-5 Years",
Table1[[#This Row],[YearsAtCompany]]&lt;=10,"6-10 Years",
TRUE,"10+ Years")</f>
        <v>10+ Years</v>
      </c>
    </row>
    <row r="878" spans="1:41"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tr">
        <f t="shared" si="26"/>
        <v>Sales</v>
      </c>
      <c r="AK878">
        <f t="shared" si="27"/>
        <v>0</v>
      </c>
      <c r="AL878">
        <f>IF(Table1[[#This Row],[Attrition]]="Yes", Table1[[#This Row],[MonthlyIncome]]*12*1.5, 0)</f>
        <v>0</v>
      </c>
      <c r="AM878" t="str" cm="1">
        <f t="array" ref="AM878">_xlfn.IFS(
Table1[[#This Row],[MonthlyIncome]]&lt;3000,"Under 3K",
Table1[[#This Row],[MonthlyIncome]]&lt;6000,"3K-6K",
Table1[[#This Row],[MonthlyIncome]]&lt;9000,"6K-9K",
Table1[[#This Row],[MonthlyIncome]]&lt;12000,"9K-12K",
TRUE,"12K+")</f>
        <v>Under 3K</v>
      </c>
      <c r="AN878">
        <f>1</f>
        <v>1</v>
      </c>
      <c r="AO878" t="str" cm="1">
        <f t="array" ref="AO878">_xlfn.IFS(
Table1[[#This Row],[YearsAtCompany]]&lt;=2,"0-2 Years",
Table1[[#This Row],[YearsAtCompany]]&lt;=5,"3-5 Years",
Table1[[#This Row],[YearsAtCompany]]&lt;=10,"6-10 Years",
TRUE,"10+ Years")</f>
        <v>0-2 Years</v>
      </c>
    </row>
    <row r="879" spans="1:41"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tr">
        <f t="shared" si="26"/>
        <v>Operations</v>
      </c>
      <c r="AK879">
        <f t="shared" si="27"/>
        <v>0</v>
      </c>
      <c r="AL879">
        <f>IF(Table1[[#This Row],[Attrition]]="Yes", Table1[[#This Row],[MonthlyIncome]]*12*1.5, 0)</f>
        <v>0</v>
      </c>
      <c r="AM879" t="str" cm="1">
        <f t="array" ref="AM879">_xlfn.IFS(
Table1[[#This Row],[MonthlyIncome]]&lt;3000,"Under 3K",
Table1[[#This Row],[MonthlyIncome]]&lt;6000,"3K-6K",
Table1[[#This Row],[MonthlyIncome]]&lt;9000,"6K-9K",
Table1[[#This Row],[MonthlyIncome]]&lt;12000,"9K-12K",
TRUE,"12K+")</f>
        <v>6K-9K</v>
      </c>
      <c r="AN879">
        <f>1</f>
        <v>1</v>
      </c>
      <c r="AO879" t="str" cm="1">
        <f t="array" ref="AO879">_xlfn.IFS(
Table1[[#This Row],[YearsAtCompany]]&lt;=2,"0-2 Years",
Table1[[#This Row],[YearsAtCompany]]&lt;=5,"3-5 Years",
Table1[[#This Row],[YearsAtCompany]]&lt;=10,"6-10 Years",
TRUE,"10+ Years")</f>
        <v>6-10 Years</v>
      </c>
    </row>
    <row r="880" spans="1:41"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tr">
        <f t="shared" si="26"/>
        <v>Human Resources</v>
      </c>
      <c r="AK880">
        <f t="shared" si="27"/>
        <v>0</v>
      </c>
      <c r="AL880">
        <f>IF(Table1[[#This Row],[Attrition]]="Yes", Table1[[#This Row],[MonthlyIncome]]*12*1.5, 0)</f>
        <v>0</v>
      </c>
      <c r="AM880" t="str" cm="1">
        <f t="array" ref="AM880">_xlfn.IFS(
Table1[[#This Row],[MonthlyIncome]]&lt;3000,"Under 3K",
Table1[[#This Row],[MonthlyIncome]]&lt;6000,"3K-6K",
Table1[[#This Row],[MonthlyIncome]]&lt;9000,"6K-9K",
Table1[[#This Row],[MonthlyIncome]]&lt;12000,"9K-12K",
TRUE,"12K+")</f>
        <v>6K-9K</v>
      </c>
      <c r="AN880">
        <f>1</f>
        <v>1</v>
      </c>
      <c r="AO880" t="str" cm="1">
        <f t="array" ref="AO880">_xlfn.IFS(
Table1[[#This Row],[YearsAtCompany]]&lt;=2,"0-2 Years",
Table1[[#This Row],[YearsAtCompany]]&lt;=5,"3-5 Years",
Table1[[#This Row],[YearsAtCompany]]&lt;=10,"6-10 Years",
TRUE,"10+ Years")</f>
        <v>3-5 Years</v>
      </c>
    </row>
    <row r="881" spans="1:41"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tr">
        <f t="shared" si="26"/>
        <v>Sales</v>
      </c>
      <c r="AK881">
        <f t="shared" si="27"/>
        <v>0</v>
      </c>
      <c r="AL881">
        <f>IF(Table1[[#This Row],[Attrition]]="Yes", Table1[[#This Row],[MonthlyIncome]]*12*1.5, 0)</f>
        <v>0</v>
      </c>
      <c r="AM881" t="str" cm="1">
        <f t="array" ref="AM881">_xlfn.IFS(
Table1[[#This Row],[MonthlyIncome]]&lt;3000,"Under 3K",
Table1[[#This Row],[MonthlyIncome]]&lt;6000,"3K-6K",
Table1[[#This Row],[MonthlyIncome]]&lt;9000,"6K-9K",
Table1[[#This Row],[MonthlyIncome]]&lt;12000,"9K-12K",
TRUE,"12K+")</f>
        <v>3K-6K</v>
      </c>
      <c r="AN881">
        <f>1</f>
        <v>1</v>
      </c>
      <c r="AO881" t="str" cm="1">
        <f t="array" ref="AO881">_xlfn.IFS(
Table1[[#This Row],[YearsAtCompany]]&lt;=2,"0-2 Years",
Table1[[#This Row],[YearsAtCompany]]&lt;=5,"3-5 Years",
Table1[[#This Row],[YearsAtCompany]]&lt;=10,"6-10 Years",
TRUE,"10+ Years")</f>
        <v>10+ Years</v>
      </c>
    </row>
    <row r="882" spans="1:41"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tr">
        <f t="shared" si="26"/>
        <v>Research</v>
      </c>
      <c r="AK882">
        <f t="shared" si="27"/>
        <v>0</v>
      </c>
      <c r="AL882">
        <f>IF(Table1[[#This Row],[Attrition]]="Yes", Table1[[#This Row],[MonthlyIncome]]*12*1.5, 0)</f>
        <v>0</v>
      </c>
      <c r="AM882" t="str" cm="1">
        <f t="array" ref="AM882">_xlfn.IFS(
Table1[[#This Row],[MonthlyIncome]]&lt;3000,"Under 3K",
Table1[[#This Row],[MonthlyIncome]]&lt;6000,"3K-6K",
Table1[[#This Row],[MonthlyIncome]]&lt;9000,"6K-9K",
Table1[[#This Row],[MonthlyIncome]]&lt;12000,"9K-12K",
TRUE,"12K+")</f>
        <v>Under 3K</v>
      </c>
      <c r="AN882">
        <f>1</f>
        <v>1</v>
      </c>
      <c r="AO882" t="str" cm="1">
        <f t="array" ref="AO882">_xlfn.IFS(
Table1[[#This Row],[YearsAtCompany]]&lt;=2,"0-2 Years",
Table1[[#This Row],[YearsAtCompany]]&lt;=5,"3-5 Years",
Table1[[#This Row],[YearsAtCompany]]&lt;=10,"6-10 Years",
TRUE,"10+ Years")</f>
        <v>0-2 Years</v>
      </c>
    </row>
    <row r="883" spans="1:41"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tr">
        <f t="shared" si="26"/>
        <v>Research</v>
      </c>
      <c r="AK883">
        <f t="shared" si="27"/>
        <v>0</v>
      </c>
      <c r="AL883">
        <f>IF(Table1[[#This Row],[Attrition]]="Yes", Table1[[#This Row],[MonthlyIncome]]*12*1.5, 0)</f>
        <v>0</v>
      </c>
      <c r="AM883" t="str" cm="1">
        <f t="array" ref="AM883">_xlfn.IFS(
Table1[[#This Row],[MonthlyIncome]]&lt;3000,"Under 3K",
Table1[[#This Row],[MonthlyIncome]]&lt;6000,"3K-6K",
Table1[[#This Row],[MonthlyIncome]]&lt;9000,"6K-9K",
Table1[[#This Row],[MonthlyIncome]]&lt;12000,"9K-12K",
TRUE,"12K+")</f>
        <v>3K-6K</v>
      </c>
      <c r="AN883">
        <f>1</f>
        <v>1</v>
      </c>
      <c r="AO883" t="str" cm="1">
        <f t="array" ref="AO883">_xlfn.IFS(
Table1[[#This Row],[YearsAtCompany]]&lt;=2,"0-2 Years",
Table1[[#This Row],[YearsAtCompany]]&lt;=5,"3-5 Years",
Table1[[#This Row],[YearsAtCompany]]&lt;=10,"6-10 Years",
TRUE,"10+ Years")</f>
        <v>6-10 Years</v>
      </c>
    </row>
    <row r="884" spans="1:41"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tr">
        <f t="shared" si="26"/>
        <v>Operations</v>
      </c>
      <c r="AK884">
        <f t="shared" si="27"/>
        <v>0</v>
      </c>
      <c r="AL884">
        <f>IF(Table1[[#This Row],[Attrition]]="Yes", Table1[[#This Row],[MonthlyIncome]]*12*1.5, 0)</f>
        <v>0</v>
      </c>
      <c r="AM884" t="str" cm="1">
        <f t="array" ref="AM884">_xlfn.IFS(
Table1[[#This Row],[MonthlyIncome]]&lt;3000,"Under 3K",
Table1[[#This Row],[MonthlyIncome]]&lt;6000,"3K-6K",
Table1[[#This Row],[MonthlyIncome]]&lt;9000,"6K-9K",
Table1[[#This Row],[MonthlyIncome]]&lt;12000,"9K-12K",
TRUE,"12K+")</f>
        <v>9K-12K</v>
      </c>
      <c r="AN884">
        <f>1</f>
        <v>1</v>
      </c>
      <c r="AO884" t="str" cm="1">
        <f t="array" ref="AO884">_xlfn.IFS(
Table1[[#This Row],[YearsAtCompany]]&lt;=2,"0-2 Years",
Table1[[#This Row],[YearsAtCompany]]&lt;=5,"3-5 Years",
Table1[[#This Row],[YearsAtCompany]]&lt;=10,"6-10 Years",
TRUE,"10+ Years")</f>
        <v>6-10 Years</v>
      </c>
    </row>
    <row r="885" spans="1:41"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tr">
        <f t="shared" si="26"/>
        <v>Research</v>
      </c>
      <c r="AK885">
        <f t="shared" si="27"/>
        <v>0</v>
      </c>
      <c r="AL885">
        <f>IF(Table1[[#This Row],[Attrition]]="Yes", Table1[[#This Row],[MonthlyIncome]]*12*1.5, 0)</f>
        <v>0</v>
      </c>
      <c r="AM885" t="str" cm="1">
        <f t="array" ref="AM885">_xlfn.IFS(
Table1[[#This Row],[MonthlyIncome]]&lt;3000,"Under 3K",
Table1[[#This Row],[MonthlyIncome]]&lt;6000,"3K-6K",
Table1[[#This Row],[MonthlyIncome]]&lt;9000,"6K-9K",
Table1[[#This Row],[MonthlyIncome]]&lt;12000,"9K-12K",
TRUE,"12K+")</f>
        <v>Under 3K</v>
      </c>
      <c r="AN885">
        <f>1</f>
        <v>1</v>
      </c>
      <c r="AO885" t="str" cm="1">
        <f t="array" ref="AO885">_xlfn.IFS(
Table1[[#This Row],[YearsAtCompany]]&lt;=2,"0-2 Years",
Table1[[#This Row],[YearsAtCompany]]&lt;=5,"3-5 Years",
Table1[[#This Row],[YearsAtCompany]]&lt;=10,"6-10 Years",
TRUE,"10+ Years")</f>
        <v>10+ Years</v>
      </c>
    </row>
    <row r="886" spans="1:41"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tr">
        <f t="shared" si="26"/>
        <v>Sales</v>
      </c>
      <c r="AK886">
        <f t="shared" si="27"/>
        <v>0</v>
      </c>
      <c r="AL886">
        <f>IF(Table1[[#This Row],[Attrition]]="Yes", Table1[[#This Row],[MonthlyIncome]]*12*1.5, 0)</f>
        <v>0</v>
      </c>
      <c r="AM886" t="str" cm="1">
        <f t="array" ref="AM886">_xlfn.IFS(
Table1[[#This Row],[MonthlyIncome]]&lt;3000,"Under 3K",
Table1[[#This Row],[MonthlyIncome]]&lt;6000,"3K-6K",
Table1[[#This Row],[MonthlyIncome]]&lt;9000,"6K-9K",
Table1[[#This Row],[MonthlyIncome]]&lt;12000,"9K-12K",
TRUE,"12K+")</f>
        <v>6K-9K</v>
      </c>
      <c r="AN886">
        <f>1</f>
        <v>1</v>
      </c>
      <c r="AO886" t="str" cm="1">
        <f t="array" ref="AO886">_xlfn.IFS(
Table1[[#This Row],[YearsAtCompany]]&lt;=2,"0-2 Years",
Table1[[#This Row],[YearsAtCompany]]&lt;=5,"3-5 Years",
Table1[[#This Row],[YearsAtCompany]]&lt;=10,"6-10 Years",
TRUE,"10+ Years")</f>
        <v>3-5 Years</v>
      </c>
    </row>
    <row r="887" spans="1:41"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tr">
        <f t="shared" si="26"/>
        <v>Sales</v>
      </c>
      <c r="AK887">
        <f t="shared" si="27"/>
        <v>0</v>
      </c>
      <c r="AL887">
        <f>IF(Table1[[#This Row],[Attrition]]="Yes", Table1[[#This Row],[MonthlyIncome]]*12*1.5, 0)</f>
        <v>0</v>
      </c>
      <c r="AM887" t="str" cm="1">
        <f t="array" ref="AM887">_xlfn.IFS(
Table1[[#This Row],[MonthlyIncome]]&lt;3000,"Under 3K",
Table1[[#This Row],[MonthlyIncome]]&lt;6000,"3K-6K",
Table1[[#This Row],[MonthlyIncome]]&lt;9000,"6K-9K",
Table1[[#This Row],[MonthlyIncome]]&lt;12000,"9K-12K",
TRUE,"12K+")</f>
        <v>3K-6K</v>
      </c>
      <c r="AN887">
        <f>1</f>
        <v>1</v>
      </c>
      <c r="AO887" t="str" cm="1">
        <f t="array" ref="AO887">_xlfn.IFS(
Table1[[#This Row],[YearsAtCompany]]&lt;=2,"0-2 Years",
Table1[[#This Row],[YearsAtCompany]]&lt;=5,"3-5 Years",
Table1[[#This Row],[YearsAtCompany]]&lt;=10,"6-10 Years",
TRUE,"10+ Years")</f>
        <v>3-5 Years</v>
      </c>
    </row>
    <row r="888" spans="1:41"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tr">
        <f t="shared" si="26"/>
        <v>Research</v>
      </c>
      <c r="AK888">
        <f t="shared" si="27"/>
        <v>0</v>
      </c>
      <c r="AL888">
        <f>IF(Table1[[#This Row],[Attrition]]="Yes", Table1[[#This Row],[MonthlyIncome]]*12*1.5, 0)</f>
        <v>0</v>
      </c>
      <c r="AM888" t="str" cm="1">
        <f t="array" ref="AM888">_xlfn.IFS(
Table1[[#This Row],[MonthlyIncome]]&lt;3000,"Under 3K",
Table1[[#This Row],[MonthlyIncome]]&lt;6000,"3K-6K",
Table1[[#This Row],[MonthlyIncome]]&lt;9000,"6K-9K",
Table1[[#This Row],[MonthlyIncome]]&lt;12000,"9K-12K",
TRUE,"12K+")</f>
        <v>3K-6K</v>
      </c>
      <c r="AN888">
        <f>1</f>
        <v>1</v>
      </c>
      <c r="AO888" t="str" cm="1">
        <f t="array" ref="AO888">_xlfn.IFS(
Table1[[#This Row],[YearsAtCompany]]&lt;=2,"0-2 Years",
Table1[[#This Row],[YearsAtCompany]]&lt;=5,"3-5 Years",
Table1[[#This Row],[YearsAtCompany]]&lt;=10,"6-10 Years",
TRUE,"10+ Years")</f>
        <v>10+ Years</v>
      </c>
    </row>
    <row r="889" spans="1:41"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tr">
        <f t="shared" si="26"/>
        <v>Research</v>
      </c>
      <c r="AK889">
        <f t="shared" si="27"/>
        <v>0</v>
      </c>
      <c r="AL889">
        <f>IF(Table1[[#This Row],[Attrition]]="Yes", Table1[[#This Row],[MonthlyIncome]]*12*1.5, 0)</f>
        <v>0</v>
      </c>
      <c r="AM889" t="str" cm="1">
        <f t="array" ref="AM889">_xlfn.IFS(
Table1[[#This Row],[MonthlyIncome]]&lt;3000,"Under 3K",
Table1[[#This Row],[MonthlyIncome]]&lt;6000,"3K-6K",
Table1[[#This Row],[MonthlyIncome]]&lt;9000,"6K-9K",
Table1[[#This Row],[MonthlyIncome]]&lt;12000,"9K-12K",
TRUE,"12K+")</f>
        <v>12K+</v>
      </c>
      <c r="AN889">
        <f>1</f>
        <v>1</v>
      </c>
      <c r="AO889" t="str" cm="1">
        <f t="array" ref="AO889">_xlfn.IFS(
Table1[[#This Row],[YearsAtCompany]]&lt;=2,"0-2 Years",
Table1[[#This Row],[YearsAtCompany]]&lt;=5,"3-5 Years",
Table1[[#This Row],[YearsAtCompany]]&lt;=10,"6-10 Years",
TRUE,"10+ Years")</f>
        <v>0-2 Years</v>
      </c>
    </row>
    <row r="890" spans="1:41"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tr">
        <f t="shared" si="26"/>
        <v>Sales</v>
      </c>
      <c r="AK890">
        <f t="shared" si="27"/>
        <v>0</v>
      </c>
      <c r="AL890">
        <f>IF(Table1[[#This Row],[Attrition]]="Yes", Table1[[#This Row],[MonthlyIncome]]*12*1.5, 0)</f>
        <v>0</v>
      </c>
      <c r="AM890" t="str" cm="1">
        <f t="array" ref="AM890">_xlfn.IFS(
Table1[[#This Row],[MonthlyIncome]]&lt;3000,"Under 3K",
Table1[[#This Row],[MonthlyIncome]]&lt;6000,"3K-6K",
Table1[[#This Row],[MonthlyIncome]]&lt;9000,"6K-9K",
Table1[[#This Row],[MonthlyIncome]]&lt;12000,"9K-12K",
TRUE,"12K+")</f>
        <v>9K-12K</v>
      </c>
      <c r="AN890">
        <f>1</f>
        <v>1</v>
      </c>
      <c r="AO890" t="str" cm="1">
        <f t="array" ref="AO890">_xlfn.IFS(
Table1[[#This Row],[YearsAtCompany]]&lt;=2,"0-2 Years",
Table1[[#This Row],[YearsAtCompany]]&lt;=5,"3-5 Years",
Table1[[#This Row],[YearsAtCompany]]&lt;=10,"6-10 Years",
TRUE,"10+ Years")</f>
        <v>10+ Years</v>
      </c>
    </row>
    <row r="891" spans="1:41"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tr">
        <f t="shared" si="26"/>
        <v>Research</v>
      </c>
      <c r="AK891">
        <f t="shared" si="27"/>
        <v>0</v>
      </c>
      <c r="AL891">
        <f>IF(Table1[[#This Row],[Attrition]]="Yes", Table1[[#This Row],[MonthlyIncome]]*12*1.5, 0)</f>
        <v>0</v>
      </c>
      <c r="AM891" t="str" cm="1">
        <f t="array" ref="AM891">_xlfn.IFS(
Table1[[#This Row],[MonthlyIncome]]&lt;3000,"Under 3K",
Table1[[#This Row],[MonthlyIncome]]&lt;6000,"3K-6K",
Table1[[#This Row],[MonthlyIncome]]&lt;9000,"6K-9K",
Table1[[#This Row],[MonthlyIncome]]&lt;12000,"9K-12K",
TRUE,"12K+")</f>
        <v>Under 3K</v>
      </c>
      <c r="AN891">
        <f>1</f>
        <v>1</v>
      </c>
      <c r="AO891" t="str" cm="1">
        <f t="array" ref="AO891">_xlfn.IFS(
Table1[[#This Row],[YearsAtCompany]]&lt;=2,"0-2 Years",
Table1[[#This Row],[YearsAtCompany]]&lt;=5,"3-5 Years",
Table1[[#This Row],[YearsAtCompany]]&lt;=10,"6-10 Years",
TRUE,"10+ Years")</f>
        <v>6-10 Years</v>
      </c>
    </row>
    <row r="892" spans="1:41"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tr">
        <f t="shared" si="26"/>
        <v>Operations</v>
      </c>
      <c r="AK892">
        <f t="shared" si="27"/>
        <v>0</v>
      </c>
      <c r="AL892">
        <f>IF(Table1[[#This Row],[Attrition]]="Yes", Table1[[#This Row],[MonthlyIncome]]*12*1.5, 0)</f>
        <v>0</v>
      </c>
      <c r="AM892" t="str" cm="1">
        <f t="array" ref="AM892">_xlfn.IFS(
Table1[[#This Row],[MonthlyIncome]]&lt;3000,"Under 3K",
Table1[[#This Row],[MonthlyIncome]]&lt;6000,"3K-6K",
Table1[[#This Row],[MonthlyIncome]]&lt;9000,"6K-9K",
Table1[[#This Row],[MonthlyIncome]]&lt;12000,"9K-12K",
TRUE,"12K+")</f>
        <v>9K-12K</v>
      </c>
      <c r="AN892">
        <f>1</f>
        <v>1</v>
      </c>
      <c r="AO892" t="str" cm="1">
        <f t="array" ref="AO892">_xlfn.IFS(
Table1[[#This Row],[YearsAtCompany]]&lt;=2,"0-2 Years",
Table1[[#This Row],[YearsAtCompany]]&lt;=5,"3-5 Years",
Table1[[#This Row],[YearsAtCompany]]&lt;=10,"6-10 Years",
TRUE,"10+ Years")</f>
        <v>3-5 Years</v>
      </c>
    </row>
    <row r="893" spans="1:41"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tr">
        <f t="shared" si="26"/>
        <v>Research</v>
      </c>
      <c r="AK893">
        <f t="shared" si="27"/>
        <v>0</v>
      </c>
      <c r="AL893">
        <f>IF(Table1[[#This Row],[Attrition]]="Yes", Table1[[#This Row],[MonthlyIncome]]*12*1.5, 0)</f>
        <v>0</v>
      </c>
      <c r="AM893" t="str" cm="1">
        <f t="array" ref="AM893">_xlfn.IFS(
Table1[[#This Row],[MonthlyIncome]]&lt;3000,"Under 3K",
Table1[[#This Row],[MonthlyIncome]]&lt;6000,"3K-6K",
Table1[[#This Row],[MonthlyIncome]]&lt;9000,"6K-9K",
Table1[[#This Row],[MonthlyIncome]]&lt;12000,"9K-12K",
TRUE,"12K+")</f>
        <v>Under 3K</v>
      </c>
      <c r="AN893">
        <f>1</f>
        <v>1</v>
      </c>
      <c r="AO893" t="str" cm="1">
        <f t="array" ref="AO893">_xlfn.IFS(
Table1[[#This Row],[YearsAtCompany]]&lt;=2,"0-2 Years",
Table1[[#This Row],[YearsAtCompany]]&lt;=5,"3-5 Years",
Table1[[#This Row],[YearsAtCompany]]&lt;=10,"6-10 Years",
TRUE,"10+ Years")</f>
        <v>6-10 Years</v>
      </c>
    </row>
    <row r="894" spans="1:41"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tr">
        <f t="shared" si="26"/>
        <v>Research</v>
      </c>
      <c r="AK894">
        <f t="shared" si="27"/>
        <v>1</v>
      </c>
      <c r="AL894">
        <f>IF(Table1[[#This Row],[Attrition]]="Yes", Table1[[#This Row],[MonthlyIncome]]*12*1.5, 0)</f>
        <v>33462</v>
      </c>
      <c r="AM894" t="str" cm="1">
        <f t="array" ref="AM894">_xlfn.IFS(
Table1[[#This Row],[MonthlyIncome]]&lt;3000,"Under 3K",
Table1[[#This Row],[MonthlyIncome]]&lt;6000,"3K-6K",
Table1[[#This Row],[MonthlyIncome]]&lt;9000,"6K-9K",
Table1[[#This Row],[MonthlyIncome]]&lt;12000,"9K-12K",
TRUE,"12K+")</f>
        <v>Under 3K</v>
      </c>
      <c r="AN894">
        <f>1</f>
        <v>1</v>
      </c>
      <c r="AO894" t="str" cm="1">
        <f t="array" ref="AO894">_xlfn.IFS(
Table1[[#This Row],[YearsAtCompany]]&lt;=2,"0-2 Years",
Table1[[#This Row],[YearsAtCompany]]&lt;=5,"3-5 Years",
Table1[[#This Row],[YearsAtCompany]]&lt;=10,"6-10 Years",
TRUE,"10+ Years")</f>
        <v>0-2 Years</v>
      </c>
    </row>
    <row r="895" spans="1:41"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tr">
        <f t="shared" si="26"/>
        <v>Research</v>
      </c>
      <c r="AK895">
        <f t="shared" si="27"/>
        <v>0</v>
      </c>
      <c r="AL895">
        <f>IF(Table1[[#This Row],[Attrition]]="Yes", Table1[[#This Row],[MonthlyIncome]]*12*1.5, 0)</f>
        <v>0</v>
      </c>
      <c r="AM895" t="str" cm="1">
        <f t="array" ref="AM895">_xlfn.IFS(
Table1[[#This Row],[MonthlyIncome]]&lt;3000,"Under 3K",
Table1[[#This Row],[MonthlyIncome]]&lt;6000,"3K-6K",
Table1[[#This Row],[MonthlyIncome]]&lt;9000,"6K-9K",
Table1[[#This Row],[MonthlyIncome]]&lt;12000,"9K-12K",
TRUE,"12K+")</f>
        <v>3K-6K</v>
      </c>
      <c r="AN895">
        <f>1</f>
        <v>1</v>
      </c>
      <c r="AO895" t="str" cm="1">
        <f t="array" ref="AO895">_xlfn.IFS(
Table1[[#This Row],[YearsAtCompany]]&lt;=2,"0-2 Years",
Table1[[#This Row],[YearsAtCompany]]&lt;=5,"3-5 Years",
Table1[[#This Row],[YearsAtCompany]]&lt;=10,"6-10 Years",
TRUE,"10+ Years")</f>
        <v>3-5 Years</v>
      </c>
    </row>
    <row r="896" spans="1:41"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tr">
        <f t="shared" si="26"/>
        <v>Research</v>
      </c>
      <c r="AK896">
        <f t="shared" si="27"/>
        <v>0</v>
      </c>
      <c r="AL896">
        <f>IF(Table1[[#This Row],[Attrition]]="Yes", Table1[[#This Row],[MonthlyIncome]]*12*1.5, 0)</f>
        <v>0</v>
      </c>
      <c r="AM896" t="str" cm="1">
        <f t="array" ref="AM896">_xlfn.IFS(
Table1[[#This Row],[MonthlyIncome]]&lt;3000,"Under 3K",
Table1[[#This Row],[MonthlyIncome]]&lt;6000,"3K-6K",
Table1[[#This Row],[MonthlyIncome]]&lt;9000,"6K-9K",
Table1[[#This Row],[MonthlyIncome]]&lt;12000,"9K-12K",
TRUE,"12K+")</f>
        <v>12K+</v>
      </c>
      <c r="AN896">
        <f>1</f>
        <v>1</v>
      </c>
      <c r="AO896" t="str" cm="1">
        <f t="array" ref="AO896">_xlfn.IFS(
Table1[[#This Row],[YearsAtCompany]]&lt;=2,"0-2 Years",
Table1[[#This Row],[YearsAtCompany]]&lt;=5,"3-5 Years",
Table1[[#This Row],[YearsAtCompany]]&lt;=10,"6-10 Years",
TRUE,"10+ Years")</f>
        <v>6-10 Years</v>
      </c>
    </row>
    <row r="897" spans="1:41"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tr">
        <f t="shared" si="26"/>
        <v>Healthcare</v>
      </c>
      <c r="AK897">
        <f t="shared" si="27"/>
        <v>0</v>
      </c>
      <c r="AL897">
        <f>IF(Table1[[#This Row],[Attrition]]="Yes", Table1[[#This Row],[MonthlyIncome]]*12*1.5, 0)</f>
        <v>0</v>
      </c>
      <c r="AM897" t="str" cm="1">
        <f t="array" ref="AM897">_xlfn.IFS(
Table1[[#This Row],[MonthlyIncome]]&lt;3000,"Under 3K",
Table1[[#This Row],[MonthlyIncome]]&lt;6000,"3K-6K",
Table1[[#This Row],[MonthlyIncome]]&lt;9000,"6K-9K",
Table1[[#This Row],[MonthlyIncome]]&lt;12000,"9K-12K",
TRUE,"12K+")</f>
        <v>6K-9K</v>
      </c>
      <c r="AN897">
        <f>1</f>
        <v>1</v>
      </c>
      <c r="AO897" t="str" cm="1">
        <f t="array" ref="AO897">_xlfn.IFS(
Table1[[#This Row],[YearsAtCompany]]&lt;=2,"0-2 Years",
Table1[[#This Row],[YearsAtCompany]]&lt;=5,"3-5 Years",
Table1[[#This Row],[YearsAtCompany]]&lt;=10,"6-10 Years",
TRUE,"10+ Years")</f>
        <v>6-10 Years</v>
      </c>
    </row>
    <row r="898" spans="1:41"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tr">
        <f t="shared" si="26"/>
        <v>Healthcare</v>
      </c>
      <c r="AK898">
        <f t="shared" si="27"/>
        <v>0</v>
      </c>
      <c r="AL898">
        <f>IF(Table1[[#This Row],[Attrition]]="Yes", Table1[[#This Row],[MonthlyIncome]]*12*1.5, 0)</f>
        <v>0</v>
      </c>
      <c r="AM898" t="str" cm="1">
        <f t="array" ref="AM898">_xlfn.IFS(
Table1[[#This Row],[MonthlyIncome]]&lt;3000,"Under 3K",
Table1[[#This Row],[MonthlyIncome]]&lt;6000,"3K-6K",
Table1[[#This Row],[MonthlyIncome]]&lt;9000,"6K-9K",
Table1[[#This Row],[MonthlyIncome]]&lt;12000,"9K-12K",
TRUE,"12K+")</f>
        <v>6K-9K</v>
      </c>
      <c r="AN898">
        <f>1</f>
        <v>1</v>
      </c>
      <c r="AO898" t="str" cm="1">
        <f t="array" ref="AO898">_xlfn.IFS(
Table1[[#This Row],[YearsAtCompany]]&lt;=2,"0-2 Years",
Table1[[#This Row],[YearsAtCompany]]&lt;=5,"3-5 Years",
Table1[[#This Row],[YearsAtCompany]]&lt;=10,"6-10 Years",
TRUE,"10+ Years")</f>
        <v>6-10 Years</v>
      </c>
    </row>
    <row r="899" spans="1:41"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tr">
        <f t="shared" ref="AJ899:AJ962" si="28">_xlfn.XLOOKUP(P899, $AP$2:$AP$10,$AQ$2:$AQ$10)</f>
        <v>Sales</v>
      </c>
      <c r="AK899">
        <f t="shared" ref="AK899:AK962" si="29">IF(B899 ="Yes",1,0)</f>
        <v>0</v>
      </c>
      <c r="AL899">
        <f>IF(Table1[[#This Row],[Attrition]]="Yes", Table1[[#This Row],[MonthlyIncome]]*12*1.5, 0)</f>
        <v>0</v>
      </c>
      <c r="AM899" t="str" cm="1">
        <f t="array" ref="AM899">_xlfn.IFS(
Table1[[#This Row],[MonthlyIncome]]&lt;3000,"Under 3K",
Table1[[#This Row],[MonthlyIncome]]&lt;6000,"3K-6K",
Table1[[#This Row],[MonthlyIncome]]&lt;9000,"6K-9K",
Table1[[#This Row],[MonthlyIncome]]&lt;12000,"9K-12K",
TRUE,"12K+")</f>
        <v>3K-6K</v>
      </c>
      <c r="AN899">
        <f>1</f>
        <v>1</v>
      </c>
      <c r="AO899" t="str" cm="1">
        <f t="array" ref="AO899">_xlfn.IFS(
Table1[[#This Row],[YearsAtCompany]]&lt;=2,"0-2 Years",
Table1[[#This Row],[YearsAtCompany]]&lt;=5,"3-5 Years",
Table1[[#This Row],[YearsAtCompany]]&lt;=10,"6-10 Years",
TRUE,"10+ Years")</f>
        <v>6-10 Years</v>
      </c>
    </row>
    <row r="900" spans="1:41"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tr">
        <f t="shared" si="28"/>
        <v>Research</v>
      </c>
      <c r="AK900">
        <f t="shared" si="29"/>
        <v>0</v>
      </c>
      <c r="AL900">
        <f>IF(Table1[[#This Row],[Attrition]]="Yes", Table1[[#This Row],[MonthlyIncome]]*12*1.5, 0)</f>
        <v>0</v>
      </c>
      <c r="AM900" t="str" cm="1">
        <f t="array" ref="AM900">_xlfn.IFS(
Table1[[#This Row],[MonthlyIncome]]&lt;3000,"Under 3K",
Table1[[#This Row],[MonthlyIncome]]&lt;6000,"3K-6K",
Table1[[#This Row],[MonthlyIncome]]&lt;9000,"6K-9K",
Table1[[#This Row],[MonthlyIncome]]&lt;12000,"9K-12K",
TRUE,"12K+")</f>
        <v>12K+</v>
      </c>
      <c r="AN900">
        <f>1</f>
        <v>1</v>
      </c>
      <c r="AO900" t="str" cm="1">
        <f t="array" ref="AO900">_xlfn.IFS(
Table1[[#This Row],[YearsAtCompany]]&lt;=2,"0-2 Years",
Table1[[#This Row],[YearsAtCompany]]&lt;=5,"3-5 Years",
Table1[[#This Row],[YearsAtCompany]]&lt;=10,"6-10 Years",
TRUE,"10+ Years")</f>
        <v>6-10 Years</v>
      </c>
    </row>
    <row r="901" spans="1:41"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tr">
        <f t="shared" si="28"/>
        <v>Management</v>
      </c>
      <c r="AK901">
        <f t="shared" si="29"/>
        <v>0</v>
      </c>
      <c r="AL901">
        <f>IF(Table1[[#This Row],[Attrition]]="Yes", Table1[[#This Row],[MonthlyIncome]]*12*1.5, 0)</f>
        <v>0</v>
      </c>
      <c r="AM901" t="str" cm="1">
        <f t="array" ref="AM901">_xlfn.IFS(
Table1[[#This Row],[MonthlyIncome]]&lt;3000,"Under 3K",
Table1[[#This Row],[MonthlyIncome]]&lt;6000,"3K-6K",
Table1[[#This Row],[MonthlyIncome]]&lt;9000,"6K-9K",
Table1[[#This Row],[MonthlyIncome]]&lt;12000,"9K-12K",
TRUE,"12K+")</f>
        <v>12K+</v>
      </c>
      <c r="AN901">
        <f>1</f>
        <v>1</v>
      </c>
      <c r="AO901" t="str" cm="1">
        <f t="array" ref="AO901">_xlfn.IFS(
Table1[[#This Row],[YearsAtCompany]]&lt;=2,"0-2 Years",
Table1[[#This Row],[YearsAtCompany]]&lt;=5,"3-5 Years",
Table1[[#This Row],[YearsAtCompany]]&lt;=10,"6-10 Years",
TRUE,"10+ Years")</f>
        <v>0-2 Years</v>
      </c>
    </row>
    <row r="902" spans="1:41"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tr">
        <f t="shared" si="28"/>
        <v>Research</v>
      </c>
      <c r="AK902">
        <f t="shared" si="29"/>
        <v>0</v>
      </c>
      <c r="AL902">
        <f>IF(Table1[[#This Row],[Attrition]]="Yes", Table1[[#This Row],[MonthlyIncome]]*12*1.5, 0)</f>
        <v>0</v>
      </c>
      <c r="AM902" t="str" cm="1">
        <f t="array" ref="AM902">_xlfn.IFS(
Table1[[#This Row],[MonthlyIncome]]&lt;3000,"Under 3K",
Table1[[#This Row],[MonthlyIncome]]&lt;6000,"3K-6K",
Table1[[#This Row],[MonthlyIncome]]&lt;9000,"6K-9K",
Table1[[#This Row],[MonthlyIncome]]&lt;12000,"9K-12K",
TRUE,"12K+")</f>
        <v>3K-6K</v>
      </c>
      <c r="AN902">
        <f>1</f>
        <v>1</v>
      </c>
      <c r="AO902" t="str" cm="1">
        <f t="array" ref="AO902">_xlfn.IFS(
Table1[[#This Row],[YearsAtCompany]]&lt;=2,"0-2 Years",
Table1[[#This Row],[YearsAtCompany]]&lt;=5,"3-5 Years",
Table1[[#This Row],[YearsAtCompany]]&lt;=10,"6-10 Years",
TRUE,"10+ Years")</f>
        <v>10+ Years</v>
      </c>
    </row>
    <row r="903" spans="1:41"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tr">
        <f t="shared" si="28"/>
        <v>Research</v>
      </c>
      <c r="AK903">
        <f t="shared" si="29"/>
        <v>0</v>
      </c>
      <c r="AL903">
        <f>IF(Table1[[#This Row],[Attrition]]="Yes", Table1[[#This Row],[MonthlyIncome]]*12*1.5, 0)</f>
        <v>0</v>
      </c>
      <c r="AM903" t="str" cm="1">
        <f t="array" ref="AM903">_xlfn.IFS(
Table1[[#This Row],[MonthlyIncome]]&lt;3000,"Under 3K",
Table1[[#This Row],[MonthlyIncome]]&lt;6000,"3K-6K",
Table1[[#This Row],[MonthlyIncome]]&lt;9000,"6K-9K",
Table1[[#This Row],[MonthlyIncome]]&lt;12000,"9K-12K",
TRUE,"12K+")</f>
        <v>Under 3K</v>
      </c>
      <c r="AN903">
        <f>1</f>
        <v>1</v>
      </c>
      <c r="AO903" t="str" cm="1">
        <f t="array" ref="AO903">_xlfn.IFS(
Table1[[#This Row],[YearsAtCompany]]&lt;=2,"0-2 Years",
Table1[[#This Row],[YearsAtCompany]]&lt;=5,"3-5 Years",
Table1[[#This Row],[YearsAtCompany]]&lt;=10,"6-10 Years",
TRUE,"10+ Years")</f>
        <v>0-2 Years</v>
      </c>
    </row>
    <row r="904" spans="1:41"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tr">
        <f t="shared" si="28"/>
        <v>Research</v>
      </c>
      <c r="AK904">
        <f t="shared" si="29"/>
        <v>0</v>
      </c>
      <c r="AL904">
        <f>IF(Table1[[#This Row],[Attrition]]="Yes", Table1[[#This Row],[MonthlyIncome]]*12*1.5, 0)</f>
        <v>0</v>
      </c>
      <c r="AM904" t="str" cm="1">
        <f t="array" ref="AM904">_xlfn.IFS(
Table1[[#This Row],[MonthlyIncome]]&lt;3000,"Under 3K",
Table1[[#This Row],[MonthlyIncome]]&lt;6000,"3K-6K",
Table1[[#This Row],[MonthlyIncome]]&lt;9000,"6K-9K",
Table1[[#This Row],[MonthlyIncome]]&lt;12000,"9K-12K",
TRUE,"12K+")</f>
        <v>Under 3K</v>
      </c>
      <c r="AN904">
        <f>1</f>
        <v>1</v>
      </c>
      <c r="AO904" t="str" cm="1">
        <f t="array" ref="AO904">_xlfn.IFS(
Table1[[#This Row],[YearsAtCompany]]&lt;=2,"0-2 Years",
Table1[[#This Row],[YearsAtCompany]]&lt;=5,"3-5 Years",
Table1[[#This Row],[YearsAtCompany]]&lt;=10,"6-10 Years",
TRUE,"10+ Years")</f>
        <v>3-5 Years</v>
      </c>
    </row>
    <row r="905" spans="1:41"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tr">
        <f t="shared" si="28"/>
        <v>Healthcare</v>
      </c>
      <c r="AK905">
        <f t="shared" si="29"/>
        <v>0</v>
      </c>
      <c r="AL905">
        <f>IF(Table1[[#This Row],[Attrition]]="Yes", Table1[[#This Row],[MonthlyIncome]]*12*1.5, 0)</f>
        <v>0</v>
      </c>
      <c r="AM905" t="str" cm="1">
        <f t="array" ref="AM905">_xlfn.IFS(
Table1[[#This Row],[MonthlyIncome]]&lt;3000,"Under 3K",
Table1[[#This Row],[MonthlyIncome]]&lt;6000,"3K-6K",
Table1[[#This Row],[MonthlyIncome]]&lt;9000,"6K-9K",
Table1[[#This Row],[MonthlyIncome]]&lt;12000,"9K-12K",
TRUE,"12K+")</f>
        <v>6K-9K</v>
      </c>
      <c r="AN905">
        <f>1</f>
        <v>1</v>
      </c>
      <c r="AO905" t="str" cm="1">
        <f t="array" ref="AO905">_xlfn.IFS(
Table1[[#This Row],[YearsAtCompany]]&lt;=2,"0-2 Years",
Table1[[#This Row],[YearsAtCompany]]&lt;=5,"3-5 Years",
Table1[[#This Row],[YearsAtCompany]]&lt;=10,"6-10 Years",
TRUE,"10+ Years")</f>
        <v>6-10 Years</v>
      </c>
    </row>
    <row r="906" spans="1:41"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tr">
        <f t="shared" si="28"/>
        <v>Research</v>
      </c>
      <c r="AK906">
        <f t="shared" si="29"/>
        <v>0</v>
      </c>
      <c r="AL906">
        <f>IF(Table1[[#This Row],[Attrition]]="Yes", Table1[[#This Row],[MonthlyIncome]]*12*1.5, 0)</f>
        <v>0</v>
      </c>
      <c r="AM906" t="str" cm="1">
        <f t="array" ref="AM906">_xlfn.IFS(
Table1[[#This Row],[MonthlyIncome]]&lt;3000,"Under 3K",
Table1[[#This Row],[MonthlyIncome]]&lt;6000,"3K-6K",
Table1[[#This Row],[MonthlyIncome]]&lt;9000,"6K-9K",
Table1[[#This Row],[MonthlyIncome]]&lt;12000,"9K-12K",
TRUE,"12K+")</f>
        <v>12K+</v>
      </c>
      <c r="AN906">
        <f>1</f>
        <v>1</v>
      </c>
      <c r="AO906" t="str" cm="1">
        <f t="array" ref="AO906">_xlfn.IFS(
Table1[[#This Row],[YearsAtCompany]]&lt;=2,"0-2 Years",
Table1[[#This Row],[YearsAtCompany]]&lt;=5,"3-5 Years",
Table1[[#This Row],[YearsAtCompany]]&lt;=10,"6-10 Years",
TRUE,"10+ Years")</f>
        <v>0-2 Years</v>
      </c>
    </row>
    <row r="907" spans="1:41"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tr">
        <f t="shared" si="28"/>
        <v>Research</v>
      </c>
      <c r="AK907">
        <f t="shared" si="29"/>
        <v>0</v>
      </c>
      <c r="AL907">
        <f>IF(Table1[[#This Row],[Attrition]]="Yes", Table1[[#This Row],[MonthlyIncome]]*12*1.5, 0)</f>
        <v>0</v>
      </c>
      <c r="AM907" t="str" cm="1">
        <f t="array" ref="AM907">_xlfn.IFS(
Table1[[#This Row],[MonthlyIncome]]&lt;3000,"Under 3K",
Table1[[#This Row],[MonthlyIncome]]&lt;6000,"3K-6K",
Table1[[#This Row],[MonthlyIncome]]&lt;9000,"6K-9K",
Table1[[#This Row],[MonthlyIncome]]&lt;12000,"9K-12K",
TRUE,"12K+")</f>
        <v>12K+</v>
      </c>
      <c r="AN907">
        <f>1</f>
        <v>1</v>
      </c>
      <c r="AO907" t="str" cm="1">
        <f t="array" ref="AO907">_xlfn.IFS(
Table1[[#This Row],[YearsAtCompany]]&lt;=2,"0-2 Years",
Table1[[#This Row],[YearsAtCompany]]&lt;=5,"3-5 Years",
Table1[[#This Row],[YearsAtCompany]]&lt;=10,"6-10 Years",
TRUE,"10+ Years")</f>
        <v>6-10 Years</v>
      </c>
    </row>
    <row r="908" spans="1:41"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tr">
        <f t="shared" si="28"/>
        <v>Research</v>
      </c>
      <c r="AK908">
        <f t="shared" si="29"/>
        <v>0</v>
      </c>
      <c r="AL908">
        <f>IF(Table1[[#This Row],[Attrition]]="Yes", Table1[[#This Row],[MonthlyIncome]]*12*1.5, 0)</f>
        <v>0</v>
      </c>
      <c r="AM908" t="str" cm="1">
        <f t="array" ref="AM908">_xlfn.IFS(
Table1[[#This Row],[MonthlyIncome]]&lt;3000,"Under 3K",
Table1[[#This Row],[MonthlyIncome]]&lt;6000,"3K-6K",
Table1[[#This Row],[MonthlyIncome]]&lt;9000,"6K-9K",
Table1[[#This Row],[MonthlyIncome]]&lt;12000,"9K-12K",
TRUE,"12K+")</f>
        <v>Under 3K</v>
      </c>
      <c r="AN908">
        <f>1</f>
        <v>1</v>
      </c>
      <c r="AO908" t="str" cm="1">
        <f t="array" ref="AO908">_xlfn.IFS(
Table1[[#This Row],[YearsAtCompany]]&lt;=2,"0-2 Years",
Table1[[#This Row],[YearsAtCompany]]&lt;=5,"3-5 Years",
Table1[[#This Row],[YearsAtCompany]]&lt;=10,"6-10 Years",
TRUE,"10+ Years")</f>
        <v>0-2 Years</v>
      </c>
    </row>
    <row r="909" spans="1:41"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tr">
        <f t="shared" si="28"/>
        <v>Management</v>
      </c>
      <c r="AK909">
        <f t="shared" si="29"/>
        <v>0</v>
      </c>
      <c r="AL909">
        <f>IF(Table1[[#This Row],[Attrition]]="Yes", Table1[[#This Row],[MonthlyIncome]]*12*1.5, 0)</f>
        <v>0</v>
      </c>
      <c r="AM909" t="str" cm="1">
        <f t="array" ref="AM909">_xlfn.IFS(
Table1[[#This Row],[MonthlyIncome]]&lt;3000,"Under 3K",
Table1[[#This Row],[MonthlyIncome]]&lt;6000,"3K-6K",
Table1[[#This Row],[MonthlyIncome]]&lt;9000,"6K-9K",
Table1[[#This Row],[MonthlyIncome]]&lt;12000,"9K-12K",
TRUE,"12K+")</f>
        <v>12K+</v>
      </c>
      <c r="AN909">
        <f>1</f>
        <v>1</v>
      </c>
      <c r="AO909" t="str" cm="1">
        <f t="array" ref="AO909">_xlfn.IFS(
Table1[[#This Row],[YearsAtCompany]]&lt;=2,"0-2 Years",
Table1[[#This Row],[YearsAtCompany]]&lt;=5,"3-5 Years",
Table1[[#This Row],[YearsAtCompany]]&lt;=10,"6-10 Years",
TRUE,"10+ Years")</f>
        <v>10+ Years</v>
      </c>
    </row>
    <row r="910" spans="1:41"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tr">
        <f t="shared" si="28"/>
        <v>Sales</v>
      </c>
      <c r="AK910">
        <f t="shared" si="29"/>
        <v>0</v>
      </c>
      <c r="AL910">
        <f>IF(Table1[[#This Row],[Attrition]]="Yes", Table1[[#This Row],[MonthlyIncome]]*12*1.5, 0)</f>
        <v>0</v>
      </c>
      <c r="AM910" t="str" cm="1">
        <f t="array" ref="AM910">_xlfn.IFS(
Table1[[#This Row],[MonthlyIncome]]&lt;3000,"Under 3K",
Table1[[#This Row],[MonthlyIncome]]&lt;6000,"3K-6K",
Table1[[#This Row],[MonthlyIncome]]&lt;9000,"6K-9K",
Table1[[#This Row],[MonthlyIncome]]&lt;12000,"9K-12K",
TRUE,"12K+")</f>
        <v>6K-9K</v>
      </c>
      <c r="AN910">
        <f>1</f>
        <v>1</v>
      </c>
      <c r="AO910" t="str" cm="1">
        <f t="array" ref="AO910">_xlfn.IFS(
Table1[[#This Row],[YearsAtCompany]]&lt;=2,"0-2 Years",
Table1[[#This Row],[YearsAtCompany]]&lt;=5,"3-5 Years",
Table1[[#This Row],[YearsAtCompany]]&lt;=10,"6-10 Years",
TRUE,"10+ Years")</f>
        <v>6-10 Years</v>
      </c>
    </row>
    <row r="911" spans="1:41"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tr">
        <f t="shared" si="28"/>
        <v>Research</v>
      </c>
      <c r="AK911">
        <f t="shared" si="29"/>
        <v>0</v>
      </c>
      <c r="AL911">
        <f>IF(Table1[[#This Row],[Attrition]]="Yes", Table1[[#This Row],[MonthlyIncome]]*12*1.5, 0)</f>
        <v>0</v>
      </c>
      <c r="AM911" t="str" cm="1">
        <f t="array" ref="AM911">_xlfn.IFS(
Table1[[#This Row],[MonthlyIncome]]&lt;3000,"Under 3K",
Table1[[#This Row],[MonthlyIncome]]&lt;6000,"3K-6K",
Table1[[#This Row],[MonthlyIncome]]&lt;9000,"6K-9K",
Table1[[#This Row],[MonthlyIncome]]&lt;12000,"9K-12K",
TRUE,"12K+")</f>
        <v>Under 3K</v>
      </c>
      <c r="AN911">
        <f>1</f>
        <v>1</v>
      </c>
      <c r="AO911" t="str" cm="1">
        <f t="array" ref="AO911">_xlfn.IFS(
Table1[[#This Row],[YearsAtCompany]]&lt;=2,"0-2 Years",
Table1[[#This Row],[YearsAtCompany]]&lt;=5,"3-5 Years",
Table1[[#This Row],[YearsAtCompany]]&lt;=10,"6-10 Years",
TRUE,"10+ Years")</f>
        <v>0-2 Years</v>
      </c>
    </row>
    <row r="912" spans="1:41"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tr">
        <f t="shared" si="28"/>
        <v>Research</v>
      </c>
      <c r="AK912">
        <f t="shared" si="29"/>
        <v>0</v>
      </c>
      <c r="AL912">
        <f>IF(Table1[[#This Row],[Attrition]]="Yes", Table1[[#This Row],[MonthlyIncome]]*12*1.5, 0)</f>
        <v>0</v>
      </c>
      <c r="AM912" t="str" cm="1">
        <f t="array" ref="AM912">_xlfn.IFS(
Table1[[#This Row],[MonthlyIncome]]&lt;3000,"Under 3K",
Table1[[#This Row],[MonthlyIncome]]&lt;6000,"3K-6K",
Table1[[#This Row],[MonthlyIncome]]&lt;9000,"6K-9K",
Table1[[#This Row],[MonthlyIncome]]&lt;12000,"9K-12K",
TRUE,"12K+")</f>
        <v>Under 3K</v>
      </c>
      <c r="AN912">
        <f>1</f>
        <v>1</v>
      </c>
      <c r="AO912" t="str" cm="1">
        <f t="array" ref="AO912">_xlfn.IFS(
Table1[[#This Row],[YearsAtCompany]]&lt;=2,"0-2 Years",
Table1[[#This Row],[YearsAtCompany]]&lt;=5,"3-5 Years",
Table1[[#This Row],[YearsAtCompany]]&lt;=10,"6-10 Years",
TRUE,"10+ Years")</f>
        <v>0-2 Years</v>
      </c>
    </row>
    <row r="913" spans="1:41"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tr">
        <f t="shared" si="28"/>
        <v>Sales</v>
      </c>
      <c r="AK913">
        <f t="shared" si="29"/>
        <v>1</v>
      </c>
      <c r="AL913">
        <f>IF(Table1[[#This Row],[Attrition]]="Yes", Table1[[#This Row],[MonthlyIncome]]*12*1.5, 0)</f>
        <v>20124</v>
      </c>
      <c r="AM913" t="str" cm="1">
        <f t="array" ref="AM913">_xlfn.IFS(
Table1[[#This Row],[MonthlyIncome]]&lt;3000,"Under 3K",
Table1[[#This Row],[MonthlyIncome]]&lt;6000,"3K-6K",
Table1[[#This Row],[MonthlyIncome]]&lt;9000,"6K-9K",
Table1[[#This Row],[MonthlyIncome]]&lt;12000,"9K-12K",
TRUE,"12K+")</f>
        <v>Under 3K</v>
      </c>
      <c r="AN913">
        <f>1</f>
        <v>1</v>
      </c>
      <c r="AO913" t="str" cm="1">
        <f t="array" ref="AO913">_xlfn.IFS(
Table1[[#This Row],[YearsAtCompany]]&lt;=2,"0-2 Years",
Table1[[#This Row],[YearsAtCompany]]&lt;=5,"3-5 Years",
Table1[[#This Row],[YearsAtCompany]]&lt;=10,"6-10 Years",
TRUE,"10+ Years")</f>
        <v>0-2 Years</v>
      </c>
    </row>
    <row r="914" spans="1:41"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tr">
        <f t="shared" si="28"/>
        <v>Research</v>
      </c>
      <c r="AK914">
        <f t="shared" si="29"/>
        <v>0</v>
      </c>
      <c r="AL914">
        <f>IF(Table1[[#This Row],[Attrition]]="Yes", Table1[[#This Row],[MonthlyIncome]]*12*1.5, 0)</f>
        <v>0</v>
      </c>
      <c r="AM914" t="str" cm="1">
        <f t="array" ref="AM914">_xlfn.IFS(
Table1[[#This Row],[MonthlyIncome]]&lt;3000,"Under 3K",
Table1[[#This Row],[MonthlyIncome]]&lt;6000,"3K-6K",
Table1[[#This Row],[MonthlyIncome]]&lt;9000,"6K-9K",
Table1[[#This Row],[MonthlyIncome]]&lt;12000,"9K-12K",
TRUE,"12K+")</f>
        <v>Under 3K</v>
      </c>
      <c r="AN914">
        <f>1</f>
        <v>1</v>
      </c>
      <c r="AO914" t="str" cm="1">
        <f t="array" ref="AO914">_xlfn.IFS(
Table1[[#This Row],[YearsAtCompany]]&lt;=2,"0-2 Years",
Table1[[#This Row],[YearsAtCompany]]&lt;=5,"3-5 Years",
Table1[[#This Row],[YearsAtCompany]]&lt;=10,"6-10 Years",
TRUE,"10+ Years")</f>
        <v>6-10 Years</v>
      </c>
    </row>
    <row r="915" spans="1:41"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tr">
        <f t="shared" si="28"/>
        <v>Management</v>
      </c>
      <c r="AK915">
        <f t="shared" si="29"/>
        <v>1</v>
      </c>
      <c r="AL915">
        <f>IF(Table1[[#This Row],[Attrition]]="Yes", Table1[[#This Row],[MonthlyIncome]]*12*1.5, 0)</f>
        <v>338832</v>
      </c>
      <c r="AM915" t="str" cm="1">
        <f t="array" ref="AM915">_xlfn.IFS(
Table1[[#This Row],[MonthlyIncome]]&lt;3000,"Under 3K",
Table1[[#This Row],[MonthlyIncome]]&lt;6000,"3K-6K",
Table1[[#This Row],[MonthlyIncome]]&lt;9000,"6K-9K",
Table1[[#This Row],[MonthlyIncome]]&lt;12000,"9K-12K",
TRUE,"12K+")</f>
        <v>12K+</v>
      </c>
      <c r="AN915">
        <f>1</f>
        <v>1</v>
      </c>
      <c r="AO915" t="str" cm="1">
        <f t="array" ref="AO915">_xlfn.IFS(
Table1[[#This Row],[YearsAtCompany]]&lt;=2,"0-2 Years",
Table1[[#This Row],[YearsAtCompany]]&lt;=5,"3-5 Years",
Table1[[#This Row],[YearsAtCompany]]&lt;=10,"6-10 Years",
TRUE,"10+ Years")</f>
        <v>10+ Years</v>
      </c>
    </row>
    <row r="916" spans="1:41"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tr">
        <f t="shared" si="28"/>
        <v>Healthcare</v>
      </c>
      <c r="AK916">
        <f t="shared" si="29"/>
        <v>0</v>
      </c>
      <c r="AL916">
        <f>IF(Table1[[#This Row],[Attrition]]="Yes", Table1[[#This Row],[MonthlyIncome]]*12*1.5, 0)</f>
        <v>0</v>
      </c>
      <c r="AM916" t="str" cm="1">
        <f t="array" ref="AM916">_xlfn.IFS(
Table1[[#This Row],[MonthlyIncome]]&lt;3000,"Under 3K",
Table1[[#This Row],[MonthlyIncome]]&lt;6000,"3K-6K",
Table1[[#This Row],[MonthlyIncome]]&lt;9000,"6K-9K",
Table1[[#This Row],[MonthlyIncome]]&lt;12000,"9K-12K",
TRUE,"12K+")</f>
        <v>12K+</v>
      </c>
      <c r="AN916">
        <f>1</f>
        <v>1</v>
      </c>
      <c r="AO916" t="str" cm="1">
        <f t="array" ref="AO916">_xlfn.IFS(
Table1[[#This Row],[YearsAtCompany]]&lt;=2,"0-2 Years",
Table1[[#This Row],[YearsAtCompany]]&lt;=5,"3-5 Years",
Table1[[#This Row],[YearsAtCompany]]&lt;=10,"6-10 Years",
TRUE,"10+ Years")</f>
        <v>10+ Years</v>
      </c>
    </row>
    <row r="917" spans="1:41"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tr">
        <f t="shared" si="28"/>
        <v>Research</v>
      </c>
      <c r="AK917">
        <f t="shared" si="29"/>
        <v>1</v>
      </c>
      <c r="AL917">
        <f>IF(Table1[[#This Row],[Attrition]]="Yes", Table1[[#This Row],[MonthlyIncome]]*12*1.5, 0)</f>
        <v>47250</v>
      </c>
      <c r="AM917" t="str" cm="1">
        <f t="array" ref="AM917">_xlfn.IFS(
Table1[[#This Row],[MonthlyIncome]]&lt;3000,"Under 3K",
Table1[[#This Row],[MonthlyIncome]]&lt;6000,"3K-6K",
Table1[[#This Row],[MonthlyIncome]]&lt;9000,"6K-9K",
Table1[[#This Row],[MonthlyIncome]]&lt;12000,"9K-12K",
TRUE,"12K+")</f>
        <v>Under 3K</v>
      </c>
      <c r="AN917">
        <f>1</f>
        <v>1</v>
      </c>
      <c r="AO917" t="str" cm="1">
        <f t="array" ref="AO917">_xlfn.IFS(
Table1[[#This Row],[YearsAtCompany]]&lt;=2,"0-2 Years",
Table1[[#This Row],[YearsAtCompany]]&lt;=5,"3-5 Years",
Table1[[#This Row],[YearsAtCompany]]&lt;=10,"6-10 Years",
TRUE,"10+ Years")</f>
        <v>0-2 Years</v>
      </c>
    </row>
    <row r="918" spans="1:41"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tr">
        <f t="shared" si="28"/>
        <v>Management</v>
      </c>
      <c r="AK918">
        <f t="shared" si="29"/>
        <v>0</v>
      </c>
      <c r="AL918">
        <f>IF(Table1[[#This Row],[Attrition]]="Yes", Table1[[#This Row],[MonthlyIncome]]*12*1.5, 0)</f>
        <v>0</v>
      </c>
      <c r="AM918" t="str" cm="1">
        <f t="array" ref="AM918">_xlfn.IFS(
Table1[[#This Row],[MonthlyIncome]]&lt;3000,"Under 3K",
Table1[[#This Row],[MonthlyIncome]]&lt;6000,"3K-6K",
Table1[[#This Row],[MonthlyIncome]]&lt;9000,"6K-9K",
Table1[[#This Row],[MonthlyIncome]]&lt;12000,"9K-12K",
TRUE,"12K+")</f>
        <v>12K+</v>
      </c>
      <c r="AN918">
        <f>1</f>
        <v>1</v>
      </c>
      <c r="AO918" t="str" cm="1">
        <f t="array" ref="AO918">_xlfn.IFS(
Table1[[#This Row],[YearsAtCompany]]&lt;=2,"0-2 Years",
Table1[[#This Row],[YearsAtCompany]]&lt;=5,"3-5 Years",
Table1[[#This Row],[YearsAtCompany]]&lt;=10,"6-10 Years",
TRUE,"10+ Years")</f>
        <v>10+ Years</v>
      </c>
    </row>
    <row r="919" spans="1:41"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tr">
        <f t="shared" si="28"/>
        <v>Sales</v>
      </c>
      <c r="AK919">
        <f t="shared" si="29"/>
        <v>0</v>
      </c>
      <c r="AL919">
        <f>IF(Table1[[#This Row],[Attrition]]="Yes", Table1[[#This Row],[MonthlyIncome]]*12*1.5, 0)</f>
        <v>0</v>
      </c>
      <c r="AM919" t="str" cm="1">
        <f t="array" ref="AM919">_xlfn.IFS(
Table1[[#This Row],[MonthlyIncome]]&lt;3000,"Under 3K",
Table1[[#This Row],[MonthlyIncome]]&lt;6000,"3K-6K",
Table1[[#This Row],[MonthlyIncome]]&lt;9000,"6K-9K",
Table1[[#This Row],[MonthlyIncome]]&lt;12000,"9K-12K",
TRUE,"12K+")</f>
        <v>3K-6K</v>
      </c>
      <c r="AN919">
        <f>1</f>
        <v>1</v>
      </c>
      <c r="AO919" t="str" cm="1">
        <f t="array" ref="AO919">_xlfn.IFS(
Table1[[#This Row],[YearsAtCompany]]&lt;=2,"0-2 Years",
Table1[[#This Row],[YearsAtCompany]]&lt;=5,"3-5 Years",
Table1[[#This Row],[YearsAtCompany]]&lt;=10,"6-10 Years",
TRUE,"10+ Years")</f>
        <v>3-5 Years</v>
      </c>
    </row>
    <row r="920" spans="1:41"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tr">
        <f t="shared" si="28"/>
        <v>Management</v>
      </c>
      <c r="AK920">
        <f t="shared" si="29"/>
        <v>0</v>
      </c>
      <c r="AL920">
        <f>IF(Table1[[#This Row],[Attrition]]="Yes", Table1[[#This Row],[MonthlyIncome]]*12*1.5, 0)</f>
        <v>0</v>
      </c>
      <c r="AM920" t="str" cm="1">
        <f t="array" ref="AM920">_xlfn.IFS(
Table1[[#This Row],[MonthlyIncome]]&lt;3000,"Under 3K",
Table1[[#This Row],[MonthlyIncome]]&lt;6000,"3K-6K",
Table1[[#This Row],[MonthlyIncome]]&lt;9000,"6K-9K",
Table1[[#This Row],[MonthlyIncome]]&lt;12000,"9K-12K",
TRUE,"12K+")</f>
        <v>12K+</v>
      </c>
      <c r="AN920">
        <f>1</f>
        <v>1</v>
      </c>
      <c r="AO920" t="str" cm="1">
        <f t="array" ref="AO920">_xlfn.IFS(
Table1[[#This Row],[YearsAtCompany]]&lt;=2,"0-2 Years",
Table1[[#This Row],[YearsAtCompany]]&lt;=5,"3-5 Years",
Table1[[#This Row],[YearsAtCompany]]&lt;=10,"6-10 Years",
TRUE,"10+ Years")</f>
        <v>10+ Years</v>
      </c>
    </row>
    <row r="921" spans="1:41"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tr">
        <f t="shared" si="28"/>
        <v>Operations</v>
      </c>
      <c r="AK921">
        <f t="shared" si="29"/>
        <v>0</v>
      </c>
      <c r="AL921">
        <f>IF(Table1[[#This Row],[Attrition]]="Yes", Table1[[#This Row],[MonthlyIncome]]*12*1.5, 0)</f>
        <v>0</v>
      </c>
      <c r="AM921" t="str" cm="1">
        <f t="array" ref="AM921">_xlfn.IFS(
Table1[[#This Row],[MonthlyIncome]]&lt;3000,"Under 3K",
Table1[[#This Row],[MonthlyIncome]]&lt;6000,"3K-6K",
Table1[[#This Row],[MonthlyIncome]]&lt;9000,"6K-9K",
Table1[[#This Row],[MonthlyIncome]]&lt;12000,"9K-12K",
TRUE,"12K+")</f>
        <v>9K-12K</v>
      </c>
      <c r="AN921">
        <f>1</f>
        <v>1</v>
      </c>
      <c r="AO921" t="str" cm="1">
        <f t="array" ref="AO921">_xlfn.IFS(
Table1[[#This Row],[YearsAtCompany]]&lt;=2,"0-2 Years",
Table1[[#This Row],[YearsAtCompany]]&lt;=5,"3-5 Years",
Table1[[#This Row],[YearsAtCompany]]&lt;=10,"6-10 Years",
TRUE,"10+ Years")</f>
        <v>6-10 Years</v>
      </c>
    </row>
    <row r="922" spans="1:41"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tr">
        <f t="shared" si="28"/>
        <v>Research</v>
      </c>
      <c r="AK922">
        <f t="shared" si="29"/>
        <v>0</v>
      </c>
      <c r="AL922">
        <f>IF(Table1[[#This Row],[Attrition]]="Yes", Table1[[#This Row],[MonthlyIncome]]*12*1.5, 0)</f>
        <v>0</v>
      </c>
      <c r="AM922" t="str" cm="1">
        <f t="array" ref="AM922">_xlfn.IFS(
Table1[[#This Row],[MonthlyIncome]]&lt;3000,"Under 3K",
Table1[[#This Row],[MonthlyIncome]]&lt;6000,"3K-6K",
Table1[[#This Row],[MonthlyIncome]]&lt;9000,"6K-9K",
Table1[[#This Row],[MonthlyIncome]]&lt;12000,"9K-12K",
TRUE,"12K+")</f>
        <v>3K-6K</v>
      </c>
      <c r="AN922">
        <f>1</f>
        <v>1</v>
      </c>
      <c r="AO922" t="str" cm="1">
        <f t="array" ref="AO922">_xlfn.IFS(
Table1[[#This Row],[YearsAtCompany]]&lt;=2,"0-2 Years",
Table1[[#This Row],[YearsAtCompany]]&lt;=5,"3-5 Years",
Table1[[#This Row],[YearsAtCompany]]&lt;=10,"6-10 Years",
TRUE,"10+ Years")</f>
        <v>10+ Years</v>
      </c>
    </row>
    <row r="923" spans="1:41"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tr">
        <f t="shared" si="28"/>
        <v>Research</v>
      </c>
      <c r="AK923">
        <f t="shared" si="29"/>
        <v>0</v>
      </c>
      <c r="AL923">
        <f>IF(Table1[[#This Row],[Attrition]]="Yes", Table1[[#This Row],[MonthlyIncome]]*12*1.5, 0)</f>
        <v>0</v>
      </c>
      <c r="AM923" t="str" cm="1">
        <f t="array" ref="AM923">_xlfn.IFS(
Table1[[#This Row],[MonthlyIncome]]&lt;3000,"Under 3K",
Table1[[#This Row],[MonthlyIncome]]&lt;6000,"3K-6K",
Table1[[#This Row],[MonthlyIncome]]&lt;9000,"6K-9K",
Table1[[#This Row],[MonthlyIncome]]&lt;12000,"9K-12K",
TRUE,"12K+")</f>
        <v>Under 3K</v>
      </c>
      <c r="AN923">
        <f>1</f>
        <v>1</v>
      </c>
      <c r="AO923" t="str" cm="1">
        <f t="array" ref="AO923">_xlfn.IFS(
Table1[[#This Row],[YearsAtCompany]]&lt;=2,"0-2 Years",
Table1[[#This Row],[YearsAtCompany]]&lt;=5,"3-5 Years",
Table1[[#This Row],[YearsAtCompany]]&lt;=10,"6-10 Years",
TRUE,"10+ Years")</f>
        <v>3-5 Years</v>
      </c>
    </row>
    <row r="924" spans="1:41"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tr">
        <f t="shared" si="28"/>
        <v>Management</v>
      </c>
      <c r="AK924">
        <f t="shared" si="29"/>
        <v>0</v>
      </c>
      <c r="AL924">
        <f>IF(Table1[[#This Row],[Attrition]]="Yes", Table1[[#This Row],[MonthlyIncome]]*12*1.5, 0)</f>
        <v>0</v>
      </c>
      <c r="AM924" t="str" cm="1">
        <f t="array" ref="AM924">_xlfn.IFS(
Table1[[#This Row],[MonthlyIncome]]&lt;3000,"Under 3K",
Table1[[#This Row],[MonthlyIncome]]&lt;6000,"3K-6K",
Table1[[#This Row],[MonthlyIncome]]&lt;9000,"6K-9K",
Table1[[#This Row],[MonthlyIncome]]&lt;12000,"9K-12K",
TRUE,"12K+")</f>
        <v>12K+</v>
      </c>
      <c r="AN924">
        <f>1</f>
        <v>1</v>
      </c>
      <c r="AO924" t="str" cm="1">
        <f t="array" ref="AO924">_xlfn.IFS(
Table1[[#This Row],[YearsAtCompany]]&lt;=2,"0-2 Years",
Table1[[#This Row],[YearsAtCompany]]&lt;=5,"3-5 Years",
Table1[[#This Row],[YearsAtCompany]]&lt;=10,"6-10 Years",
TRUE,"10+ Years")</f>
        <v>10+ Years</v>
      </c>
    </row>
    <row r="925" spans="1:41"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tr">
        <f t="shared" si="28"/>
        <v>Human Resources</v>
      </c>
      <c r="AK925">
        <f t="shared" si="29"/>
        <v>0</v>
      </c>
      <c r="AL925">
        <f>IF(Table1[[#This Row],[Attrition]]="Yes", Table1[[#This Row],[MonthlyIncome]]*12*1.5, 0)</f>
        <v>0</v>
      </c>
      <c r="AM925" t="str" cm="1">
        <f t="array" ref="AM925">_xlfn.IFS(
Table1[[#This Row],[MonthlyIncome]]&lt;3000,"Under 3K",
Table1[[#This Row],[MonthlyIncome]]&lt;6000,"3K-6K",
Table1[[#This Row],[MonthlyIncome]]&lt;9000,"6K-9K",
Table1[[#This Row],[MonthlyIncome]]&lt;12000,"9K-12K",
TRUE,"12K+")</f>
        <v>3K-6K</v>
      </c>
      <c r="AN925">
        <f>1</f>
        <v>1</v>
      </c>
      <c r="AO925" t="str" cm="1">
        <f t="array" ref="AO925">_xlfn.IFS(
Table1[[#This Row],[YearsAtCompany]]&lt;=2,"0-2 Years",
Table1[[#This Row],[YearsAtCompany]]&lt;=5,"3-5 Years",
Table1[[#This Row],[YearsAtCompany]]&lt;=10,"6-10 Years",
TRUE,"10+ Years")</f>
        <v>6-10 Years</v>
      </c>
    </row>
    <row r="926" spans="1:41"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tr">
        <f t="shared" si="28"/>
        <v>Research</v>
      </c>
      <c r="AK926">
        <f t="shared" si="29"/>
        <v>0</v>
      </c>
      <c r="AL926">
        <f>IF(Table1[[#This Row],[Attrition]]="Yes", Table1[[#This Row],[MonthlyIncome]]*12*1.5, 0)</f>
        <v>0</v>
      </c>
      <c r="AM926" t="str" cm="1">
        <f t="array" ref="AM926">_xlfn.IFS(
Table1[[#This Row],[MonthlyIncome]]&lt;3000,"Under 3K",
Table1[[#This Row],[MonthlyIncome]]&lt;6000,"3K-6K",
Table1[[#This Row],[MonthlyIncome]]&lt;9000,"6K-9K",
Table1[[#This Row],[MonthlyIncome]]&lt;12000,"9K-12K",
TRUE,"12K+")</f>
        <v>3K-6K</v>
      </c>
      <c r="AN926">
        <f>1</f>
        <v>1</v>
      </c>
      <c r="AO926" t="str" cm="1">
        <f t="array" ref="AO926">_xlfn.IFS(
Table1[[#This Row],[YearsAtCompany]]&lt;=2,"0-2 Years",
Table1[[#This Row],[YearsAtCompany]]&lt;=5,"3-5 Years",
Table1[[#This Row],[YearsAtCompany]]&lt;=10,"6-10 Years",
TRUE,"10+ Years")</f>
        <v>3-5 Years</v>
      </c>
    </row>
    <row r="927" spans="1:41"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tr">
        <f t="shared" si="28"/>
        <v>Research</v>
      </c>
      <c r="AK927">
        <f t="shared" si="29"/>
        <v>0</v>
      </c>
      <c r="AL927">
        <f>IF(Table1[[#This Row],[Attrition]]="Yes", Table1[[#This Row],[MonthlyIncome]]*12*1.5, 0)</f>
        <v>0</v>
      </c>
      <c r="AM927" t="str" cm="1">
        <f t="array" ref="AM927">_xlfn.IFS(
Table1[[#This Row],[MonthlyIncome]]&lt;3000,"Under 3K",
Table1[[#This Row],[MonthlyIncome]]&lt;6000,"3K-6K",
Table1[[#This Row],[MonthlyIncome]]&lt;9000,"6K-9K",
Table1[[#This Row],[MonthlyIncome]]&lt;12000,"9K-12K",
TRUE,"12K+")</f>
        <v>Under 3K</v>
      </c>
      <c r="AN927">
        <f>1</f>
        <v>1</v>
      </c>
      <c r="AO927" t="str" cm="1">
        <f t="array" ref="AO927">_xlfn.IFS(
Table1[[#This Row],[YearsAtCompany]]&lt;=2,"0-2 Years",
Table1[[#This Row],[YearsAtCompany]]&lt;=5,"3-5 Years",
Table1[[#This Row],[YearsAtCompany]]&lt;=10,"6-10 Years",
TRUE,"10+ Years")</f>
        <v>0-2 Years</v>
      </c>
    </row>
    <row r="928" spans="1:41"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tr">
        <f t="shared" si="28"/>
        <v>Sales</v>
      </c>
      <c r="AK928">
        <f t="shared" si="29"/>
        <v>0</v>
      </c>
      <c r="AL928">
        <f>IF(Table1[[#This Row],[Attrition]]="Yes", Table1[[#This Row],[MonthlyIncome]]*12*1.5, 0)</f>
        <v>0</v>
      </c>
      <c r="AM928" t="str" cm="1">
        <f t="array" ref="AM928">_xlfn.IFS(
Table1[[#This Row],[MonthlyIncome]]&lt;3000,"Under 3K",
Table1[[#This Row],[MonthlyIncome]]&lt;6000,"3K-6K",
Table1[[#This Row],[MonthlyIncome]]&lt;9000,"6K-9K",
Table1[[#This Row],[MonthlyIncome]]&lt;12000,"9K-12K",
TRUE,"12K+")</f>
        <v>9K-12K</v>
      </c>
      <c r="AN928">
        <f>1</f>
        <v>1</v>
      </c>
      <c r="AO928" t="str" cm="1">
        <f t="array" ref="AO928">_xlfn.IFS(
Table1[[#This Row],[YearsAtCompany]]&lt;=2,"0-2 Years",
Table1[[#This Row],[YearsAtCompany]]&lt;=5,"3-5 Years",
Table1[[#This Row],[YearsAtCompany]]&lt;=10,"6-10 Years",
TRUE,"10+ Years")</f>
        <v>10+ Years</v>
      </c>
    </row>
    <row r="929" spans="1:41"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tr">
        <f t="shared" si="28"/>
        <v>Operations</v>
      </c>
      <c r="AK929">
        <f t="shared" si="29"/>
        <v>0</v>
      </c>
      <c r="AL929">
        <f>IF(Table1[[#This Row],[Attrition]]="Yes", Table1[[#This Row],[MonthlyIncome]]*12*1.5, 0)</f>
        <v>0</v>
      </c>
      <c r="AM929" t="str" cm="1">
        <f t="array" ref="AM929">_xlfn.IFS(
Table1[[#This Row],[MonthlyIncome]]&lt;3000,"Under 3K",
Table1[[#This Row],[MonthlyIncome]]&lt;6000,"3K-6K",
Table1[[#This Row],[MonthlyIncome]]&lt;9000,"6K-9K",
Table1[[#This Row],[MonthlyIncome]]&lt;12000,"9K-12K",
TRUE,"12K+")</f>
        <v>3K-6K</v>
      </c>
      <c r="AN929">
        <f>1</f>
        <v>1</v>
      </c>
      <c r="AO929" t="str" cm="1">
        <f t="array" ref="AO929">_xlfn.IFS(
Table1[[#This Row],[YearsAtCompany]]&lt;=2,"0-2 Years",
Table1[[#This Row],[YearsAtCompany]]&lt;=5,"3-5 Years",
Table1[[#This Row],[YearsAtCompany]]&lt;=10,"6-10 Years",
TRUE,"10+ Years")</f>
        <v>10+ Years</v>
      </c>
    </row>
    <row r="930" spans="1:41"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tr">
        <f t="shared" si="28"/>
        <v>Healthcare</v>
      </c>
      <c r="AK930">
        <f t="shared" si="29"/>
        <v>1</v>
      </c>
      <c r="AL930">
        <f>IF(Table1[[#This Row],[Attrition]]="Yes", Table1[[#This Row],[MonthlyIncome]]*12*1.5, 0)</f>
        <v>143604</v>
      </c>
      <c r="AM930" t="str" cm="1">
        <f t="array" ref="AM930">_xlfn.IFS(
Table1[[#This Row],[MonthlyIncome]]&lt;3000,"Under 3K",
Table1[[#This Row],[MonthlyIncome]]&lt;6000,"3K-6K",
Table1[[#This Row],[MonthlyIncome]]&lt;9000,"6K-9K",
Table1[[#This Row],[MonthlyIncome]]&lt;12000,"9K-12K",
TRUE,"12K+")</f>
        <v>6K-9K</v>
      </c>
      <c r="AN930">
        <f>1</f>
        <v>1</v>
      </c>
      <c r="AO930" t="str" cm="1">
        <f t="array" ref="AO930">_xlfn.IFS(
Table1[[#This Row],[YearsAtCompany]]&lt;=2,"0-2 Years",
Table1[[#This Row],[YearsAtCompany]]&lt;=5,"3-5 Years",
Table1[[#This Row],[YearsAtCompany]]&lt;=10,"6-10 Years",
TRUE,"10+ Years")</f>
        <v>6-10 Years</v>
      </c>
    </row>
    <row r="931" spans="1:41"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tr">
        <f t="shared" si="28"/>
        <v>Research</v>
      </c>
      <c r="AK931">
        <f t="shared" si="29"/>
        <v>0</v>
      </c>
      <c r="AL931">
        <f>IF(Table1[[#This Row],[Attrition]]="Yes", Table1[[#This Row],[MonthlyIncome]]*12*1.5, 0)</f>
        <v>0</v>
      </c>
      <c r="AM931" t="str" cm="1">
        <f t="array" ref="AM931">_xlfn.IFS(
Table1[[#This Row],[MonthlyIncome]]&lt;3000,"Under 3K",
Table1[[#This Row],[MonthlyIncome]]&lt;6000,"3K-6K",
Table1[[#This Row],[MonthlyIncome]]&lt;9000,"6K-9K",
Table1[[#This Row],[MonthlyIncome]]&lt;12000,"9K-12K",
TRUE,"12K+")</f>
        <v>3K-6K</v>
      </c>
      <c r="AN931">
        <f>1</f>
        <v>1</v>
      </c>
      <c r="AO931" t="str" cm="1">
        <f t="array" ref="AO931">_xlfn.IFS(
Table1[[#This Row],[YearsAtCompany]]&lt;=2,"0-2 Years",
Table1[[#This Row],[YearsAtCompany]]&lt;=5,"3-5 Years",
Table1[[#This Row],[YearsAtCompany]]&lt;=10,"6-10 Years",
TRUE,"10+ Years")</f>
        <v>0-2 Years</v>
      </c>
    </row>
    <row r="932" spans="1:41"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tr">
        <f t="shared" si="28"/>
        <v>Research</v>
      </c>
      <c r="AK932">
        <f t="shared" si="29"/>
        <v>0</v>
      </c>
      <c r="AL932">
        <f>IF(Table1[[#This Row],[Attrition]]="Yes", Table1[[#This Row],[MonthlyIncome]]*12*1.5, 0)</f>
        <v>0</v>
      </c>
      <c r="AM932" t="str" cm="1">
        <f t="array" ref="AM932">_xlfn.IFS(
Table1[[#This Row],[MonthlyIncome]]&lt;3000,"Under 3K",
Table1[[#This Row],[MonthlyIncome]]&lt;6000,"3K-6K",
Table1[[#This Row],[MonthlyIncome]]&lt;9000,"6K-9K",
Table1[[#This Row],[MonthlyIncome]]&lt;12000,"9K-12K",
TRUE,"12K+")</f>
        <v>Under 3K</v>
      </c>
      <c r="AN932">
        <f>1</f>
        <v>1</v>
      </c>
      <c r="AO932" t="str" cm="1">
        <f t="array" ref="AO932">_xlfn.IFS(
Table1[[#This Row],[YearsAtCompany]]&lt;=2,"0-2 Years",
Table1[[#This Row],[YearsAtCompany]]&lt;=5,"3-5 Years",
Table1[[#This Row],[YearsAtCompany]]&lt;=10,"6-10 Years",
TRUE,"10+ Years")</f>
        <v>6-10 Years</v>
      </c>
    </row>
    <row r="933" spans="1:41"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tr">
        <f t="shared" si="28"/>
        <v>Operations</v>
      </c>
      <c r="AK933">
        <f t="shared" si="29"/>
        <v>0</v>
      </c>
      <c r="AL933">
        <f>IF(Table1[[#This Row],[Attrition]]="Yes", Table1[[#This Row],[MonthlyIncome]]*12*1.5, 0)</f>
        <v>0</v>
      </c>
      <c r="AM933" t="str" cm="1">
        <f t="array" ref="AM933">_xlfn.IFS(
Table1[[#This Row],[MonthlyIncome]]&lt;3000,"Under 3K",
Table1[[#This Row],[MonthlyIncome]]&lt;6000,"3K-6K",
Table1[[#This Row],[MonthlyIncome]]&lt;9000,"6K-9K",
Table1[[#This Row],[MonthlyIncome]]&lt;12000,"9K-12K",
TRUE,"12K+")</f>
        <v>3K-6K</v>
      </c>
      <c r="AN933">
        <f>1</f>
        <v>1</v>
      </c>
      <c r="AO933" t="str" cm="1">
        <f t="array" ref="AO933">_xlfn.IFS(
Table1[[#This Row],[YearsAtCompany]]&lt;=2,"0-2 Years",
Table1[[#This Row],[YearsAtCompany]]&lt;=5,"3-5 Years",
Table1[[#This Row],[YearsAtCompany]]&lt;=10,"6-10 Years",
TRUE,"10+ Years")</f>
        <v>6-10 Years</v>
      </c>
    </row>
    <row r="934" spans="1:41"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tr">
        <f t="shared" si="28"/>
        <v>Research</v>
      </c>
      <c r="AK934">
        <f t="shared" si="29"/>
        <v>1</v>
      </c>
      <c r="AL934">
        <f>IF(Table1[[#This Row],[Attrition]]="Yes", Table1[[#This Row],[MonthlyIncome]]*12*1.5, 0)</f>
        <v>60102</v>
      </c>
      <c r="AM934" t="str" cm="1">
        <f t="array" ref="AM934">_xlfn.IFS(
Table1[[#This Row],[MonthlyIncome]]&lt;3000,"Under 3K",
Table1[[#This Row],[MonthlyIncome]]&lt;6000,"3K-6K",
Table1[[#This Row],[MonthlyIncome]]&lt;9000,"6K-9K",
Table1[[#This Row],[MonthlyIncome]]&lt;12000,"9K-12K",
TRUE,"12K+")</f>
        <v>3K-6K</v>
      </c>
      <c r="AN934">
        <f>1</f>
        <v>1</v>
      </c>
      <c r="AO934" t="str" cm="1">
        <f t="array" ref="AO934">_xlfn.IFS(
Table1[[#This Row],[YearsAtCompany]]&lt;=2,"0-2 Years",
Table1[[#This Row],[YearsAtCompany]]&lt;=5,"3-5 Years",
Table1[[#This Row],[YearsAtCompany]]&lt;=10,"6-10 Years",
TRUE,"10+ Years")</f>
        <v>6-10 Years</v>
      </c>
    </row>
    <row r="935" spans="1:41"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tr">
        <f t="shared" si="28"/>
        <v>Research</v>
      </c>
      <c r="AK935">
        <f t="shared" si="29"/>
        <v>0</v>
      </c>
      <c r="AL935">
        <f>IF(Table1[[#This Row],[Attrition]]="Yes", Table1[[#This Row],[MonthlyIncome]]*12*1.5, 0)</f>
        <v>0</v>
      </c>
      <c r="AM935" t="str" cm="1">
        <f t="array" ref="AM935">_xlfn.IFS(
Table1[[#This Row],[MonthlyIncome]]&lt;3000,"Under 3K",
Table1[[#This Row],[MonthlyIncome]]&lt;6000,"3K-6K",
Table1[[#This Row],[MonthlyIncome]]&lt;9000,"6K-9K",
Table1[[#This Row],[MonthlyIncome]]&lt;12000,"9K-12K",
TRUE,"12K+")</f>
        <v>Under 3K</v>
      </c>
      <c r="AN935">
        <f>1</f>
        <v>1</v>
      </c>
      <c r="AO935" t="str" cm="1">
        <f t="array" ref="AO935">_xlfn.IFS(
Table1[[#This Row],[YearsAtCompany]]&lt;=2,"0-2 Years",
Table1[[#This Row],[YearsAtCompany]]&lt;=5,"3-5 Years",
Table1[[#This Row],[YearsAtCompany]]&lt;=10,"6-10 Years",
TRUE,"10+ Years")</f>
        <v>3-5 Years</v>
      </c>
    </row>
    <row r="936" spans="1:41"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tr">
        <f t="shared" si="28"/>
        <v>Research</v>
      </c>
      <c r="AK936">
        <f t="shared" si="29"/>
        <v>0</v>
      </c>
      <c r="AL936">
        <f>IF(Table1[[#This Row],[Attrition]]="Yes", Table1[[#This Row],[MonthlyIncome]]*12*1.5, 0)</f>
        <v>0</v>
      </c>
      <c r="AM936" t="str" cm="1">
        <f t="array" ref="AM936">_xlfn.IFS(
Table1[[#This Row],[MonthlyIncome]]&lt;3000,"Under 3K",
Table1[[#This Row],[MonthlyIncome]]&lt;6000,"3K-6K",
Table1[[#This Row],[MonthlyIncome]]&lt;9000,"6K-9K",
Table1[[#This Row],[MonthlyIncome]]&lt;12000,"9K-12K",
TRUE,"12K+")</f>
        <v>Under 3K</v>
      </c>
      <c r="AN936">
        <f>1</f>
        <v>1</v>
      </c>
      <c r="AO936" t="str" cm="1">
        <f t="array" ref="AO936">_xlfn.IFS(
Table1[[#This Row],[YearsAtCompany]]&lt;=2,"0-2 Years",
Table1[[#This Row],[YearsAtCompany]]&lt;=5,"3-5 Years",
Table1[[#This Row],[YearsAtCompany]]&lt;=10,"6-10 Years",
TRUE,"10+ Years")</f>
        <v>0-2 Years</v>
      </c>
    </row>
    <row r="937" spans="1:41"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tr">
        <f t="shared" si="28"/>
        <v>Sales</v>
      </c>
      <c r="AK937">
        <f t="shared" si="29"/>
        <v>0</v>
      </c>
      <c r="AL937">
        <f>IF(Table1[[#This Row],[Attrition]]="Yes", Table1[[#This Row],[MonthlyIncome]]*12*1.5, 0)</f>
        <v>0</v>
      </c>
      <c r="AM937" t="str" cm="1">
        <f t="array" ref="AM937">_xlfn.IFS(
Table1[[#This Row],[MonthlyIncome]]&lt;3000,"Under 3K",
Table1[[#This Row],[MonthlyIncome]]&lt;6000,"3K-6K",
Table1[[#This Row],[MonthlyIncome]]&lt;9000,"6K-9K",
Table1[[#This Row],[MonthlyIncome]]&lt;12000,"9K-12K",
TRUE,"12K+")</f>
        <v>6K-9K</v>
      </c>
      <c r="AN937">
        <f>1</f>
        <v>1</v>
      </c>
      <c r="AO937" t="str" cm="1">
        <f t="array" ref="AO937">_xlfn.IFS(
Table1[[#This Row],[YearsAtCompany]]&lt;=2,"0-2 Years",
Table1[[#This Row],[YearsAtCompany]]&lt;=5,"3-5 Years",
Table1[[#This Row],[YearsAtCompany]]&lt;=10,"6-10 Years",
TRUE,"10+ Years")</f>
        <v>6-10 Years</v>
      </c>
    </row>
    <row r="938" spans="1:41"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tr">
        <f t="shared" si="28"/>
        <v>Management</v>
      </c>
      <c r="AK938">
        <f t="shared" si="29"/>
        <v>0</v>
      </c>
      <c r="AL938">
        <f>IF(Table1[[#This Row],[Attrition]]="Yes", Table1[[#This Row],[MonthlyIncome]]*12*1.5, 0)</f>
        <v>0</v>
      </c>
      <c r="AM938" t="str" cm="1">
        <f t="array" ref="AM938">_xlfn.IFS(
Table1[[#This Row],[MonthlyIncome]]&lt;3000,"Under 3K",
Table1[[#This Row],[MonthlyIncome]]&lt;6000,"3K-6K",
Table1[[#This Row],[MonthlyIncome]]&lt;9000,"6K-9K",
Table1[[#This Row],[MonthlyIncome]]&lt;12000,"9K-12K",
TRUE,"12K+")</f>
        <v>12K+</v>
      </c>
      <c r="AN938">
        <f>1</f>
        <v>1</v>
      </c>
      <c r="AO938" t="str" cm="1">
        <f t="array" ref="AO938">_xlfn.IFS(
Table1[[#This Row],[YearsAtCompany]]&lt;=2,"0-2 Years",
Table1[[#This Row],[YearsAtCompany]]&lt;=5,"3-5 Years",
Table1[[#This Row],[YearsAtCompany]]&lt;=10,"6-10 Years",
TRUE,"10+ Years")</f>
        <v>0-2 Years</v>
      </c>
    </row>
    <row r="939" spans="1:41"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tr">
        <f t="shared" si="28"/>
        <v>Management</v>
      </c>
      <c r="AK939">
        <f t="shared" si="29"/>
        <v>0</v>
      </c>
      <c r="AL939">
        <f>IF(Table1[[#This Row],[Attrition]]="Yes", Table1[[#This Row],[MonthlyIncome]]*12*1.5, 0)</f>
        <v>0</v>
      </c>
      <c r="AM939" t="str" cm="1">
        <f t="array" ref="AM939">_xlfn.IFS(
Table1[[#This Row],[MonthlyIncome]]&lt;3000,"Under 3K",
Table1[[#This Row],[MonthlyIncome]]&lt;6000,"3K-6K",
Table1[[#This Row],[MonthlyIncome]]&lt;9000,"6K-9K",
Table1[[#This Row],[MonthlyIncome]]&lt;12000,"9K-12K",
TRUE,"12K+")</f>
        <v>12K+</v>
      </c>
      <c r="AN939">
        <f>1</f>
        <v>1</v>
      </c>
      <c r="AO939" t="str" cm="1">
        <f t="array" ref="AO939">_xlfn.IFS(
Table1[[#This Row],[YearsAtCompany]]&lt;=2,"0-2 Years",
Table1[[#This Row],[YearsAtCompany]]&lt;=5,"3-5 Years",
Table1[[#This Row],[YearsAtCompany]]&lt;=10,"6-10 Years",
TRUE,"10+ Years")</f>
        <v>10+ Years</v>
      </c>
    </row>
    <row r="940" spans="1:41"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tr">
        <f t="shared" si="28"/>
        <v>Research</v>
      </c>
      <c r="AK940">
        <f t="shared" si="29"/>
        <v>0</v>
      </c>
      <c r="AL940">
        <f>IF(Table1[[#This Row],[Attrition]]="Yes", Table1[[#This Row],[MonthlyIncome]]*12*1.5, 0)</f>
        <v>0</v>
      </c>
      <c r="AM940" t="str" cm="1">
        <f t="array" ref="AM940">_xlfn.IFS(
Table1[[#This Row],[MonthlyIncome]]&lt;3000,"Under 3K",
Table1[[#This Row],[MonthlyIncome]]&lt;6000,"3K-6K",
Table1[[#This Row],[MonthlyIncome]]&lt;9000,"6K-9K",
Table1[[#This Row],[MonthlyIncome]]&lt;12000,"9K-12K",
TRUE,"12K+")</f>
        <v>Under 3K</v>
      </c>
      <c r="AN940">
        <f>1</f>
        <v>1</v>
      </c>
      <c r="AO940" t="str" cm="1">
        <f t="array" ref="AO940">_xlfn.IFS(
Table1[[#This Row],[YearsAtCompany]]&lt;=2,"0-2 Years",
Table1[[#This Row],[YearsAtCompany]]&lt;=5,"3-5 Years",
Table1[[#This Row],[YearsAtCompany]]&lt;=10,"6-10 Years",
TRUE,"10+ Years")</f>
        <v>0-2 Years</v>
      </c>
    </row>
    <row r="941" spans="1:41"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tr">
        <f t="shared" si="28"/>
        <v>Research</v>
      </c>
      <c r="AK941">
        <f t="shared" si="29"/>
        <v>1</v>
      </c>
      <c r="AL941">
        <f>IF(Table1[[#This Row],[Attrition]]="Yes", Table1[[#This Row],[MonthlyIncome]]*12*1.5, 0)</f>
        <v>87894</v>
      </c>
      <c r="AM941" t="str" cm="1">
        <f t="array" ref="AM941">_xlfn.IFS(
Table1[[#This Row],[MonthlyIncome]]&lt;3000,"Under 3K",
Table1[[#This Row],[MonthlyIncome]]&lt;6000,"3K-6K",
Table1[[#This Row],[MonthlyIncome]]&lt;9000,"6K-9K",
Table1[[#This Row],[MonthlyIncome]]&lt;12000,"9K-12K",
TRUE,"12K+")</f>
        <v>3K-6K</v>
      </c>
      <c r="AN941">
        <f>1</f>
        <v>1</v>
      </c>
      <c r="AO941" t="str" cm="1">
        <f t="array" ref="AO941">_xlfn.IFS(
Table1[[#This Row],[YearsAtCompany]]&lt;=2,"0-2 Years",
Table1[[#This Row],[YearsAtCompany]]&lt;=5,"3-5 Years",
Table1[[#This Row],[YearsAtCompany]]&lt;=10,"6-10 Years",
TRUE,"10+ Years")</f>
        <v>6-10 Years</v>
      </c>
    </row>
    <row r="942" spans="1:41"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tr">
        <f t="shared" si="28"/>
        <v>Research</v>
      </c>
      <c r="AK942">
        <f t="shared" si="29"/>
        <v>1</v>
      </c>
      <c r="AL942">
        <f>IF(Table1[[#This Row],[Attrition]]="Yes", Table1[[#This Row],[MonthlyIncome]]*12*1.5, 0)</f>
        <v>70272</v>
      </c>
      <c r="AM942" t="str" cm="1">
        <f t="array" ref="AM942">_xlfn.IFS(
Table1[[#This Row],[MonthlyIncome]]&lt;3000,"Under 3K",
Table1[[#This Row],[MonthlyIncome]]&lt;6000,"3K-6K",
Table1[[#This Row],[MonthlyIncome]]&lt;9000,"6K-9K",
Table1[[#This Row],[MonthlyIncome]]&lt;12000,"9K-12K",
TRUE,"12K+")</f>
        <v>3K-6K</v>
      </c>
      <c r="AN942">
        <f>1</f>
        <v>1</v>
      </c>
      <c r="AO942" t="str" cm="1">
        <f t="array" ref="AO942">_xlfn.IFS(
Table1[[#This Row],[YearsAtCompany]]&lt;=2,"0-2 Years",
Table1[[#This Row],[YearsAtCompany]]&lt;=5,"3-5 Years",
Table1[[#This Row],[YearsAtCompany]]&lt;=10,"6-10 Years",
TRUE,"10+ Years")</f>
        <v>3-5 Years</v>
      </c>
    </row>
    <row r="943" spans="1:41"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tr">
        <f t="shared" si="28"/>
        <v>Research</v>
      </c>
      <c r="AK943">
        <f t="shared" si="29"/>
        <v>0</v>
      </c>
      <c r="AL943">
        <f>IF(Table1[[#This Row],[Attrition]]="Yes", Table1[[#This Row],[MonthlyIncome]]*12*1.5, 0)</f>
        <v>0</v>
      </c>
      <c r="AM943" t="str" cm="1">
        <f t="array" ref="AM943">_xlfn.IFS(
Table1[[#This Row],[MonthlyIncome]]&lt;3000,"Under 3K",
Table1[[#This Row],[MonthlyIncome]]&lt;6000,"3K-6K",
Table1[[#This Row],[MonthlyIncome]]&lt;9000,"6K-9K",
Table1[[#This Row],[MonthlyIncome]]&lt;12000,"9K-12K",
TRUE,"12K+")</f>
        <v>3K-6K</v>
      </c>
      <c r="AN943">
        <f>1</f>
        <v>1</v>
      </c>
      <c r="AO943" t="str" cm="1">
        <f t="array" ref="AO943">_xlfn.IFS(
Table1[[#This Row],[YearsAtCompany]]&lt;=2,"0-2 Years",
Table1[[#This Row],[YearsAtCompany]]&lt;=5,"3-5 Years",
Table1[[#This Row],[YearsAtCompany]]&lt;=10,"6-10 Years",
TRUE,"10+ Years")</f>
        <v>6-10 Years</v>
      </c>
    </row>
    <row r="944" spans="1:41"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tr">
        <f t="shared" si="28"/>
        <v>Healthcare</v>
      </c>
      <c r="AK944">
        <f t="shared" si="29"/>
        <v>0</v>
      </c>
      <c r="AL944">
        <f>IF(Table1[[#This Row],[Attrition]]="Yes", Table1[[#This Row],[MonthlyIncome]]*12*1.5, 0)</f>
        <v>0</v>
      </c>
      <c r="AM944" t="str" cm="1">
        <f t="array" ref="AM944">_xlfn.IFS(
Table1[[#This Row],[MonthlyIncome]]&lt;3000,"Under 3K",
Table1[[#This Row],[MonthlyIncome]]&lt;6000,"3K-6K",
Table1[[#This Row],[MonthlyIncome]]&lt;9000,"6K-9K",
Table1[[#This Row],[MonthlyIncome]]&lt;12000,"9K-12K",
TRUE,"12K+")</f>
        <v>6K-9K</v>
      </c>
      <c r="AN944">
        <f>1</f>
        <v>1</v>
      </c>
      <c r="AO944" t="str" cm="1">
        <f t="array" ref="AO944">_xlfn.IFS(
Table1[[#This Row],[YearsAtCompany]]&lt;=2,"0-2 Years",
Table1[[#This Row],[YearsAtCompany]]&lt;=5,"3-5 Years",
Table1[[#This Row],[YearsAtCompany]]&lt;=10,"6-10 Years",
TRUE,"10+ Years")</f>
        <v>6-10 Years</v>
      </c>
    </row>
    <row r="945" spans="1:41"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tr">
        <f t="shared" si="28"/>
        <v>Human Resources</v>
      </c>
      <c r="AK945">
        <f t="shared" si="29"/>
        <v>0</v>
      </c>
      <c r="AL945">
        <f>IF(Table1[[#This Row],[Attrition]]="Yes", Table1[[#This Row],[MonthlyIncome]]*12*1.5, 0)</f>
        <v>0</v>
      </c>
      <c r="AM945" t="str" cm="1">
        <f t="array" ref="AM945">_xlfn.IFS(
Table1[[#This Row],[MonthlyIncome]]&lt;3000,"Under 3K",
Table1[[#This Row],[MonthlyIncome]]&lt;6000,"3K-6K",
Table1[[#This Row],[MonthlyIncome]]&lt;9000,"6K-9K",
Table1[[#This Row],[MonthlyIncome]]&lt;12000,"9K-12K",
TRUE,"12K+")</f>
        <v>3K-6K</v>
      </c>
      <c r="AN945">
        <f>1</f>
        <v>1</v>
      </c>
      <c r="AO945" t="str" cm="1">
        <f t="array" ref="AO945">_xlfn.IFS(
Table1[[#This Row],[YearsAtCompany]]&lt;=2,"0-2 Years",
Table1[[#This Row],[YearsAtCompany]]&lt;=5,"3-5 Years",
Table1[[#This Row],[YearsAtCompany]]&lt;=10,"6-10 Years",
TRUE,"10+ Years")</f>
        <v>6-10 Years</v>
      </c>
    </row>
    <row r="946" spans="1:41"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tr">
        <f t="shared" si="28"/>
        <v>Research</v>
      </c>
      <c r="AK946">
        <f t="shared" si="29"/>
        <v>0</v>
      </c>
      <c r="AL946">
        <f>IF(Table1[[#This Row],[Attrition]]="Yes", Table1[[#This Row],[MonthlyIncome]]*12*1.5, 0)</f>
        <v>0</v>
      </c>
      <c r="AM946" t="str" cm="1">
        <f t="array" ref="AM946">_xlfn.IFS(
Table1[[#This Row],[MonthlyIncome]]&lt;3000,"Under 3K",
Table1[[#This Row],[MonthlyIncome]]&lt;6000,"3K-6K",
Table1[[#This Row],[MonthlyIncome]]&lt;9000,"6K-9K",
Table1[[#This Row],[MonthlyIncome]]&lt;12000,"9K-12K",
TRUE,"12K+")</f>
        <v>6K-9K</v>
      </c>
      <c r="AN946">
        <f>1</f>
        <v>1</v>
      </c>
      <c r="AO946" t="str" cm="1">
        <f t="array" ref="AO946">_xlfn.IFS(
Table1[[#This Row],[YearsAtCompany]]&lt;=2,"0-2 Years",
Table1[[#This Row],[YearsAtCompany]]&lt;=5,"3-5 Years",
Table1[[#This Row],[YearsAtCompany]]&lt;=10,"6-10 Years",
TRUE,"10+ Years")</f>
        <v>6-10 Years</v>
      </c>
    </row>
    <row r="947" spans="1:41"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tr">
        <f t="shared" si="28"/>
        <v>Research</v>
      </c>
      <c r="AK947">
        <f t="shared" si="29"/>
        <v>0</v>
      </c>
      <c r="AL947">
        <f>IF(Table1[[#This Row],[Attrition]]="Yes", Table1[[#This Row],[MonthlyIncome]]*12*1.5, 0)</f>
        <v>0</v>
      </c>
      <c r="AM947" t="str" cm="1">
        <f t="array" ref="AM947">_xlfn.IFS(
Table1[[#This Row],[MonthlyIncome]]&lt;3000,"Under 3K",
Table1[[#This Row],[MonthlyIncome]]&lt;6000,"3K-6K",
Table1[[#This Row],[MonthlyIncome]]&lt;9000,"6K-9K",
Table1[[#This Row],[MonthlyIncome]]&lt;12000,"9K-12K",
TRUE,"12K+")</f>
        <v>12K+</v>
      </c>
      <c r="AN947">
        <f>1</f>
        <v>1</v>
      </c>
      <c r="AO947" t="str" cm="1">
        <f t="array" ref="AO947">_xlfn.IFS(
Table1[[#This Row],[YearsAtCompany]]&lt;=2,"0-2 Years",
Table1[[#This Row],[YearsAtCompany]]&lt;=5,"3-5 Years",
Table1[[#This Row],[YearsAtCompany]]&lt;=10,"6-10 Years",
TRUE,"10+ Years")</f>
        <v>3-5 Years</v>
      </c>
    </row>
    <row r="948" spans="1:41"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tr">
        <f t="shared" si="28"/>
        <v>Sales</v>
      </c>
      <c r="AK948">
        <f t="shared" si="29"/>
        <v>1</v>
      </c>
      <c r="AL948">
        <f>IF(Table1[[#This Row],[Attrition]]="Yes", Table1[[#This Row],[MonthlyIncome]]*12*1.5, 0)</f>
        <v>163692</v>
      </c>
      <c r="AM948" t="str" cm="1">
        <f t="array" ref="AM948">_xlfn.IFS(
Table1[[#This Row],[MonthlyIncome]]&lt;3000,"Under 3K",
Table1[[#This Row],[MonthlyIncome]]&lt;6000,"3K-6K",
Table1[[#This Row],[MonthlyIncome]]&lt;9000,"6K-9K",
Table1[[#This Row],[MonthlyIncome]]&lt;12000,"9K-12K",
TRUE,"12K+")</f>
        <v>9K-12K</v>
      </c>
      <c r="AN948">
        <f>1</f>
        <v>1</v>
      </c>
      <c r="AO948" t="str" cm="1">
        <f t="array" ref="AO948">_xlfn.IFS(
Table1[[#This Row],[YearsAtCompany]]&lt;=2,"0-2 Years",
Table1[[#This Row],[YearsAtCompany]]&lt;=5,"3-5 Years",
Table1[[#This Row],[YearsAtCompany]]&lt;=10,"6-10 Years",
TRUE,"10+ Years")</f>
        <v>3-5 Years</v>
      </c>
    </row>
    <row r="949" spans="1:41"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tr">
        <f t="shared" si="28"/>
        <v>Sales</v>
      </c>
      <c r="AK949">
        <f t="shared" si="29"/>
        <v>1</v>
      </c>
      <c r="AL949">
        <f>IF(Table1[[#This Row],[Attrition]]="Yes", Table1[[#This Row],[MonthlyIncome]]*12*1.5, 0)</f>
        <v>152028</v>
      </c>
      <c r="AM949" t="str" cm="1">
        <f t="array" ref="AM949">_xlfn.IFS(
Table1[[#This Row],[MonthlyIncome]]&lt;3000,"Under 3K",
Table1[[#This Row],[MonthlyIncome]]&lt;6000,"3K-6K",
Table1[[#This Row],[MonthlyIncome]]&lt;9000,"6K-9K",
Table1[[#This Row],[MonthlyIncome]]&lt;12000,"9K-12K",
TRUE,"12K+")</f>
        <v>6K-9K</v>
      </c>
      <c r="AN949">
        <f>1</f>
        <v>1</v>
      </c>
      <c r="AO949" t="str" cm="1">
        <f t="array" ref="AO949">_xlfn.IFS(
Table1[[#This Row],[YearsAtCompany]]&lt;=2,"0-2 Years",
Table1[[#This Row],[YearsAtCompany]]&lt;=5,"3-5 Years",
Table1[[#This Row],[YearsAtCompany]]&lt;=10,"6-10 Years",
TRUE,"10+ Years")</f>
        <v>6-10 Years</v>
      </c>
    </row>
    <row r="950" spans="1:41"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tr">
        <f t="shared" si="28"/>
        <v>Management</v>
      </c>
      <c r="AK950">
        <f t="shared" si="29"/>
        <v>0</v>
      </c>
      <c r="AL950">
        <f>IF(Table1[[#This Row],[Attrition]]="Yes", Table1[[#This Row],[MonthlyIncome]]*12*1.5, 0)</f>
        <v>0</v>
      </c>
      <c r="AM950" t="str" cm="1">
        <f t="array" ref="AM950">_xlfn.IFS(
Table1[[#This Row],[MonthlyIncome]]&lt;3000,"Under 3K",
Table1[[#This Row],[MonthlyIncome]]&lt;6000,"3K-6K",
Table1[[#This Row],[MonthlyIncome]]&lt;9000,"6K-9K",
Table1[[#This Row],[MonthlyIncome]]&lt;12000,"9K-12K",
TRUE,"12K+")</f>
        <v>9K-12K</v>
      </c>
      <c r="AN950">
        <f>1</f>
        <v>1</v>
      </c>
      <c r="AO950" t="str" cm="1">
        <f t="array" ref="AO950">_xlfn.IFS(
Table1[[#This Row],[YearsAtCompany]]&lt;=2,"0-2 Years",
Table1[[#This Row],[YearsAtCompany]]&lt;=5,"3-5 Years",
Table1[[#This Row],[YearsAtCompany]]&lt;=10,"6-10 Years",
TRUE,"10+ Years")</f>
        <v>6-10 Years</v>
      </c>
    </row>
    <row r="951" spans="1:41"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tr">
        <f t="shared" si="28"/>
        <v>Operations</v>
      </c>
      <c r="AK951">
        <f t="shared" si="29"/>
        <v>0</v>
      </c>
      <c r="AL951">
        <f>IF(Table1[[#This Row],[Attrition]]="Yes", Table1[[#This Row],[MonthlyIncome]]*12*1.5, 0)</f>
        <v>0</v>
      </c>
      <c r="AM951" t="str" cm="1">
        <f t="array" ref="AM951">_xlfn.IFS(
Table1[[#This Row],[MonthlyIncome]]&lt;3000,"Under 3K",
Table1[[#This Row],[MonthlyIncome]]&lt;6000,"3K-6K",
Table1[[#This Row],[MonthlyIncome]]&lt;9000,"6K-9K",
Table1[[#This Row],[MonthlyIncome]]&lt;12000,"9K-12K",
TRUE,"12K+")</f>
        <v>3K-6K</v>
      </c>
      <c r="AN951">
        <f>1</f>
        <v>1</v>
      </c>
      <c r="AO951" t="str" cm="1">
        <f t="array" ref="AO951">_xlfn.IFS(
Table1[[#This Row],[YearsAtCompany]]&lt;=2,"0-2 Years",
Table1[[#This Row],[YearsAtCompany]]&lt;=5,"3-5 Years",
Table1[[#This Row],[YearsAtCompany]]&lt;=10,"6-10 Years",
TRUE,"10+ Years")</f>
        <v>6-10 Years</v>
      </c>
    </row>
    <row r="952" spans="1:41"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tr">
        <f t="shared" si="28"/>
        <v>Sales</v>
      </c>
      <c r="AK952">
        <f t="shared" si="29"/>
        <v>0</v>
      </c>
      <c r="AL952">
        <f>IF(Table1[[#This Row],[Attrition]]="Yes", Table1[[#This Row],[MonthlyIncome]]*12*1.5, 0)</f>
        <v>0</v>
      </c>
      <c r="AM952" t="str" cm="1">
        <f t="array" ref="AM952">_xlfn.IFS(
Table1[[#This Row],[MonthlyIncome]]&lt;3000,"Under 3K",
Table1[[#This Row],[MonthlyIncome]]&lt;6000,"3K-6K",
Table1[[#This Row],[MonthlyIncome]]&lt;9000,"6K-9K",
Table1[[#This Row],[MonthlyIncome]]&lt;12000,"9K-12K",
TRUE,"12K+")</f>
        <v>9K-12K</v>
      </c>
      <c r="AN952">
        <f>1</f>
        <v>1</v>
      </c>
      <c r="AO952" t="str" cm="1">
        <f t="array" ref="AO952">_xlfn.IFS(
Table1[[#This Row],[YearsAtCompany]]&lt;=2,"0-2 Years",
Table1[[#This Row],[YearsAtCompany]]&lt;=5,"3-5 Years",
Table1[[#This Row],[YearsAtCompany]]&lt;=10,"6-10 Years",
TRUE,"10+ Years")</f>
        <v>6-10 Years</v>
      </c>
    </row>
    <row r="953" spans="1:41"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tr">
        <f t="shared" si="28"/>
        <v>Sales</v>
      </c>
      <c r="AK953">
        <f t="shared" si="29"/>
        <v>0</v>
      </c>
      <c r="AL953">
        <f>IF(Table1[[#This Row],[Attrition]]="Yes", Table1[[#This Row],[MonthlyIncome]]*12*1.5, 0)</f>
        <v>0</v>
      </c>
      <c r="AM953" t="str" cm="1">
        <f t="array" ref="AM953">_xlfn.IFS(
Table1[[#This Row],[MonthlyIncome]]&lt;3000,"Under 3K",
Table1[[#This Row],[MonthlyIncome]]&lt;6000,"3K-6K",
Table1[[#This Row],[MonthlyIncome]]&lt;9000,"6K-9K",
Table1[[#This Row],[MonthlyIncome]]&lt;12000,"9K-12K",
TRUE,"12K+")</f>
        <v>6K-9K</v>
      </c>
      <c r="AN953">
        <f>1</f>
        <v>1</v>
      </c>
      <c r="AO953" t="str" cm="1">
        <f t="array" ref="AO953">_xlfn.IFS(
Table1[[#This Row],[YearsAtCompany]]&lt;=2,"0-2 Years",
Table1[[#This Row],[YearsAtCompany]]&lt;=5,"3-5 Years",
Table1[[#This Row],[YearsAtCompany]]&lt;=10,"6-10 Years",
TRUE,"10+ Years")</f>
        <v>10+ Years</v>
      </c>
    </row>
    <row r="954" spans="1:41"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tr">
        <f t="shared" si="28"/>
        <v>Sales</v>
      </c>
      <c r="AK954">
        <f t="shared" si="29"/>
        <v>1</v>
      </c>
      <c r="AL954">
        <f>IF(Table1[[#This Row],[Attrition]]="Yes", Table1[[#This Row],[MonthlyIncome]]*12*1.5, 0)</f>
        <v>41436</v>
      </c>
      <c r="AM954" t="str" cm="1">
        <f t="array" ref="AM954">_xlfn.IFS(
Table1[[#This Row],[MonthlyIncome]]&lt;3000,"Under 3K",
Table1[[#This Row],[MonthlyIncome]]&lt;6000,"3K-6K",
Table1[[#This Row],[MonthlyIncome]]&lt;9000,"6K-9K",
Table1[[#This Row],[MonthlyIncome]]&lt;12000,"9K-12K",
TRUE,"12K+")</f>
        <v>Under 3K</v>
      </c>
      <c r="AN954">
        <f>1</f>
        <v>1</v>
      </c>
      <c r="AO954" t="str" cm="1">
        <f t="array" ref="AO954">_xlfn.IFS(
Table1[[#This Row],[YearsAtCompany]]&lt;=2,"0-2 Years",
Table1[[#This Row],[YearsAtCompany]]&lt;=5,"3-5 Years",
Table1[[#This Row],[YearsAtCompany]]&lt;=10,"6-10 Years",
TRUE,"10+ Years")</f>
        <v>3-5 Years</v>
      </c>
    </row>
    <row r="955" spans="1:41"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tr">
        <f t="shared" si="28"/>
        <v>Research</v>
      </c>
      <c r="AK955">
        <f t="shared" si="29"/>
        <v>1</v>
      </c>
      <c r="AL955">
        <f>IF(Table1[[#This Row],[Attrition]]="Yes", Table1[[#This Row],[MonthlyIncome]]*12*1.5, 0)</f>
        <v>42516</v>
      </c>
      <c r="AM955" t="str" cm="1">
        <f t="array" ref="AM955">_xlfn.IFS(
Table1[[#This Row],[MonthlyIncome]]&lt;3000,"Under 3K",
Table1[[#This Row],[MonthlyIncome]]&lt;6000,"3K-6K",
Table1[[#This Row],[MonthlyIncome]]&lt;9000,"6K-9K",
Table1[[#This Row],[MonthlyIncome]]&lt;12000,"9K-12K",
TRUE,"12K+")</f>
        <v>Under 3K</v>
      </c>
      <c r="AN955">
        <f>1</f>
        <v>1</v>
      </c>
      <c r="AO955" t="str" cm="1">
        <f t="array" ref="AO955">_xlfn.IFS(
Table1[[#This Row],[YearsAtCompany]]&lt;=2,"0-2 Years",
Table1[[#This Row],[YearsAtCompany]]&lt;=5,"3-5 Years",
Table1[[#This Row],[YearsAtCompany]]&lt;=10,"6-10 Years",
TRUE,"10+ Years")</f>
        <v>3-5 Years</v>
      </c>
    </row>
    <row r="956" spans="1:41"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tr">
        <f t="shared" si="28"/>
        <v>Management</v>
      </c>
      <c r="AK956">
        <f t="shared" si="29"/>
        <v>0</v>
      </c>
      <c r="AL956">
        <f>IF(Table1[[#This Row],[Attrition]]="Yes", Table1[[#This Row],[MonthlyIncome]]*12*1.5, 0)</f>
        <v>0</v>
      </c>
      <c r="AM956" t="str" cm="1">
        <f t="array" ref="AM956">_xlfn.IFS(
Table1[[#This Row],[MonthlyIncome]]&lt;3000,"Under 3K",
Table1[[#This Row],[MonthlyIncome]]&lt;6000,"3K-6K",
Table1[[#This Row],[MonthlyIncome]]&lt;9000,"6K-9K",
Table1[[#This Row],[MonthlyIncome]]&lt;12000,"9K-12K",
TRUE,"12K+")</f>
        <v>12K+</v>
      </c>
      <c r="AN956">
        <f>1</f>
        <v>1</v>
      </c>
      <c r="AO956" t="str" cm="1">
        <f t="array" ref="AO956">_xlfn.IFS(
Table1[[#This Row],[YearsAtCompany]]&lt;=2,"0-2 Years",
Table1[[#This Row],[YearsAtCompany]]&lt;=5,"3-5 Years",
Table1[[#This Row],[YearsAtCompany]]&lt;=10,"6-10 Years",
TRUE,"10+ Years")</f>
        <v>10+ Years</v>
      </c>
    </row>
    <row r="957" spans="1:41"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tr">
        <f t="shared" si="28"/>
        <v>Management</v>
      </c>
      <c r="AK957">
        <f t="shared" si="29"/>
        <v>0</v>
      </c>
      <c r="AL957">
        <f>IF(Table1[[#This Row],[Attrition]]="Yes", Table1[[#This Row],[MonthlyIncome]]*12*1.5, 0)</f>
        <v>0</v>
      </c>
      <c r="AM957" t="str" cm="1">
        <f t="array" ref="AM957">_xlfn.IFS(
Table1[[#This Row],[MonthlyIncome]]&lt;3000,"Under 3K",
Table1[[#This Row],[MonthlyIncome]]&lt;6000,"3K-6K",
Table1[[#This Row],[MonthlyIncome]]&lt;9000,"6K-9K",
Table1[[#This Row],[MonthlyIncome]]&lt;12000,"9K-12K",
TRUE,"12K+")</f>
        <v>12K+</v>
      </c>
      <c r="AN957">
        <f>1</f>
        <v>1</v>
      </c>
      <c r="AO957" t="str" cm="1">
        <f t="array" ref="AO957">_xlfn.IFS(
Table1[[#This Row],[YearsAtCompany]]&lt;=2,"0-2 Years",
Table1[[#This Row],[YearsAtCompany]]&lt;=5,"3-5 Years",
Table1[[#This Row],[YearsAtCompany]]&lt;=10,"6-10 Years",
TRUE,"10+ Years")</f>
        <v>10+ Years</v>
      </c>
    </row>
    <row r="958" spans="1:41"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tr">
        <f t="shared" si="28"/>
        <v>Management</v>
      </c>
      <c r="AK958">
        <f t="shared" si="29"/>
        <v>0</v>
      </c>
      <c r="AL958">
        <f>IF(Table1[[#This Row],[Attrition]]="Yes", Table1[[#This Row],[MonthlyIncome]]*12*1.5, 0)</f>
        <v>0</v>
      </c>
      <c r="AM958" t="str" cm="1">
        <f t="array" ref="AM958">_xlfn.IFS(
Table1[[#This Row],[MonthlyIncome]]&lt;3000,"Under 3K",
Table1[[#This Row],[MonthlyIncome]]&lt;6000,"3K-6K",
Table1[[#This Row],[MonthlyIncome]]&lt;9000,"6K-9K",
Table1[[#This Row],[MonthlyIncome]]&lt;12000,"9K-12K",
TRUE,"12K+")</f>
        <v>12K+</v>
      </c>
      <c r="AN958">
        <f>1</f>
        <v>1</v>
      </c>
      <c r="AO958" t="str" cm="1">
        <f t="array" ref="AO958">_xlfn.IFS(
Table1[[#This Row],[YearsAtCompany]]&lt;=2,"0-2 Years",
Table1[[#This Row],[YearsAtCompany]]&lt;=5,"3-5 Years",
Table1[[#This Row],[YearsAtCompany]]&lt;=10,"6-10 Years",
TRUE,"10+ Years")</f>
        <v>6-10 Years</v>
      </c>
    </row>
    <row r="959" spans="1:41"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tr">
        <f t="shared" si="28"/>
        <v>Research</v>
      </c>
      <c r="AK959">
        <f t="shared" si="29"/>
        <v>0</v>
      </c>
      <c r="AL959">
        <f>IF(Table1[[#This Row],[Attrition]]="Yes", Table1[[#This Row],[MonthlyIncome]]*12*1.5, 0)</f>
        <v>0</v>
      </c>
      <c r="AM959" t="str" cm="1">
        <f t="array" ref="AM959">_xlfn.IFS(
Table1[[#This Row],[MonthlyIncome]]&lt;3000,"Under 3K",
Table1[[#This Row],[MonthlyIncome]]&lt;6000,"3K-6K",
Table1[[#This Row],[MonthlyIncome]]&lt;9000,"6K-9K",
Table1[[#This Row],[MonthlyIncome]]&lt;12000,"9K-12K",
TRUE,"12K+")</f>
        <v>3K-6K</v>
      </c>
      <c r="AN959">
        <f>1</f>
        <v>1</v>
      </c>
      <c r="AO959" t="str" cm="1">
        <f t="array" ref="AO959">_xlfn.IFS(
Table1[[#This Row],[YearsAtCompany]]&lt;=2,"0-2 Years",
Table1[[#This Row],[YearsAtCompany]]&lt;=5,"3-5 Years",
Table1[[#This Row],[YearsAtCompany]]&lt;=10,"6-10 Years",
TRUE,"10+ Years")</f>
        <v>3-5 Years</v>
      </c>
    </row>
    <row r="960" spans="1:41"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tr">
        <f t="shared" si="28"/>
        <v>Healthcare</v>
      </c>
      <c r="AK960">
        <f t="shared" si="29"/>
        <v>0</v>
      </c>
      <c r="AL960">
        <f>IF(Table1[[#This Row],[Attrition]]="Yes", Table1[[#This Row],[MonthlyIncome]]*12*1.5, 0)</f>
        <v>0</v>
      </c>
      <c r="AM960" t="str" cm="1">
        <f t="array" ref="AM960">_xlfn.IFS(
Table1[[#This Row],[MonthlyIncome]]&lt;3000,"Under 3K",
Table1[[#This Row],[MonthlyIncome]]&lt;6000,"3K-6K",
Table1[[#This Row],[MonthlyIncome]]&lt;9000,"6K-9K",
Table1[[#This Row],[MonthlyIncome]]&lt;12000,"9K-12K",
TRUE,"12K+")</f>
        <v>6K-9K</v>
      </c>
      <c r="AN960">
        <f>1</f>
        <v>1</v>
      </c>
      <c r="AO960" t="str" cm="1">
        <f t="array" ref="AO960">_xlfn.IFS(
Table1[[#This Row],[YearsAtCompany]]&lt;=2,"0-2 Years",
Table1[[#This Row],[YearsAtCompany]]&lt;=5,"3-5 Years",
Table1[[#This Row],[YearsAtCompany]]&lt;=10,"6-10 Years",
TRUE,"10+ Years")</f>
        <v>6-10 Years</v>
      </c>
    </row>
    <row r="961" spans="1:41"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tr">
        <f t="shared" si="28"/>
        <v>Research</v>
      </c>
      <c r="AK961">
        <f t="shared" si="29"/>
        <v>0</v>
      </c>
      <c r="AL961">
        <f>IF(Table1[[#This Row],[Attrition]]="Yes", Table1[[#This Row],[MonthlyIncome]]*12*1.5, 0)</f>
        <v>0</v>
      </c>
      <c r="AM961" t="str" cm="1">
        <f t="array" ref="AM961">_xlfn.IFS(
Table1[[#This Row],[MonthlyIncome]]&lt;3000,"Under 3K",
Table1[[#This Row],[MonthlyIncome]]&lt;6000,"3K-6K",
Table1[[#This Row],[MonthlyIncome]]&lt;9000,"6K-9K",
Table1[[#This Row],[MonthlyIncome]]&lt;12000,"9K-12K",
TRUE,"12K+")</f>
        <v>3K-6K</v>
      </c>
      <c r="AN961">
        <f>1</f>
        <v>1</v>
      </c>
      <c r="AO961" t="str" cm="1">
        <f t="array" ref="AO961">_xlfn.IFS(
Table1[[#This Row],[YearsAtCompany]]&lt;=2,"0-2 Years",
Table1[[#This Row],[YearsAtCompany]]&lt;=5,"3-5 Years",
Table1[[#This Row],[YearsAtCompany]]&lt;=10,"6-10 Years",
TRUE,"10+ Years")</f>
        <v>6-10 Years</v>
      </c>
    </row>
    <row r="962" spans="1:41"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tr">
        <f t="shared" si="28"/>
        <v>Sales</v>
      </c>
      <c r="AK962">
        <f t="shared" si="29"/>
        <v>0</v>
      </c>
      <c r="AL962">
        <f>IF(Table1[[#This Row],[Attrition]]="Yes", Table1[[#This Row],[MonthlyIncome]]*12*1.5, 0)</f>
        <v>0</v>
      </c>
      <c r="AM962" t="str" cm="1">
        <f t="array" ref="AM962">_xlfn.IFS(
Table1[[#This Row],[MonthlyIncome]]&lt;3000,"Under 3K",
Table1[[#This Row],[MonthlyIncome]]&lt;6000,"3K-6K",
Table1[[#This Row],[MonthlyIncome]]&lt;9000,"6K-9K",
Table1[[#This Row],[MonthlyIncome]]&lt;12000,"9K-12K",
TRUE,"12K+")</f>
        <v>3K-6K</v>
      </c>
      <c r="AN962">
        <f>1</f>
        <v>1</v>
      </c>
      <c r="AO962" t="str" cm="1">
        <f t="array" ref="AO962">_xlfn.IFS(
Table1[[#This Row],[YearsAtCompany]]&lt;=2,"0-2 Years",
Table1[[#This Row],[YearsAtCompany]]&lt;=5,"3-5 Years",
Table1[[#This Row],[YearsAtCompany]]&lt;=10,"6-10 Years",
TRUE,"10+ Years")</f>
        <v>6-10 Years</v>
      </c>
    </row>
    <row r="963" spans="1:41"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tr">
        <f t="shared" ref="AJ963:AJ1026" si="30">_xlfn.XLOOKUP(P963, $AP$2:$AP$10,$AQ$2:$AQ$10)</f>
        <v>Research</v>
      </c>
      <c r="AK963">
        <f t="shared" ref="AK963:AK1026" si="31">IF(B963 ="Yes",1,0)</f>
        <v>0</v>
      </c>
      <c r="AL963">
        <f>IF(Table1[[#This Row],[Attrition]]="Yes", Table1[[#This Row],[MonthlyIncome]]*12*1.5, 0)</f>
        <v>0</v>
      </c>
      <c r="AM963" t="str" cm="1">
        <f t="array" ref="AM963">_xlfn.IFS(
Table1[[#This Row],[MonthlyIncome]]&lt;3000,"Under 3K",
Table1[[#This Row],[MonthlyIncome]]&lt;6000,"3K-6K",
Table1[[#This Row],[MonthlyIncome]]&lt;9000,"6K-9K",
Table1[[#This Row],[MonthlyIncome]]&lt;12000,"9K-12K",
TRUE,"12K+")</f>
        <v>3K-6K</v>
      </c>
      <c r="AN963">
        <f>1</f>
        <v>1</v>
      </c>
      <c r="AO963" t="str" cm="1">
        <f t="array" ref="AO963">_xlfn.IFS(
Table1[[#This Row],[YearsAtCompany]]&lt;=2,"0-2 Years",
Table1[[#This Row],[YearsAtCompany]]&lt;=5,"3-5 Years",
Table1[[#This Row],[YearsAtCompany]]&lt;=10,"6-10 Years",
TRUE,"10+ Years")</f>
        <v>6-10 Years</v>
      </c>
    </row>
    <row r="964" spans="1:41"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tr">
        <f t="shared" si="30"/>
        <v>Management</v>
      </c>
      <c r="AK964">
        <f t="shared" si="31"/>
        <v>0</v>
      </c>
      <c r="AL964">
        <f>IF(Table1[[#This Row],[Attrition]]="Yes", Table1[[#This Row],[MonthlyIncome]]*12*1.5, 0)</f>
        <v>0</v>
      </c>
      <c r="AM964" t="str" cm="1">
        <f t="array" ref="AM964">_xlfn.IFS(
Table1[[#This Row],[MonthlyIncome]]&lt;3000,"Under 3K",
Table1[[#This Row],[MonthlyIncome]]&lt;6000,"3K-6K",
Table1[[#This Row],[MonthlyIncome]]&lt;9000,"6K-9K",
Table1[[#This Row],[MonthlyIncome]]&lt;12000,"9K-12K",
TRUE,"12K+")</f>
        <v>12K+</v>
      </c>
      <c r="AN964">
        <f>1</f>
        <v>1</v>
      </c>
      <c r="AO964" t="str" cm="1">
        <f t="array" ref="AO964">_xlfn.IFS(
Table1[[#This Row],[YearsAtCompany]]&lt;=2,"0-2 Years",
Table1[[#This Row],[YearsAtCompany]]&lt;=5,"3-5 Years",
Table1[[#This Row],[YearsAtCompany]]&lt;=10,"6-10 Years",
TRUE,"10+ Years")</f>
        <v>10+ Years</v>
      </c>
    </row>
    <row r="965" spans="1:41"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tr">
        <f t="shared" si="30"/>
        <v>Sales</v>
      </c>
      <c r="AK965">
        <f t="shared" si="31"/>
        <v>0</v>
      </c>
      <c r="AL965">
        <f>IF(Table1[[#This Row],[Attrition]]="Yes", Table1[[#This Row],[MonthlyIncome]]*12*1.5, 0)</f>
        <v>0</v>
      </c>
      <c r="AM965" t="str" cm="1">
        <f t="array" ref="AM965">_xlfn.IFS(
Table1[[#This Row],[MonthlyIncome]]&lt;3000,"Under 3K",
Table1[[#This Row],[MonthlyIncome]]&lt;6000,"3K-6K",
Table1[[#This Row],[MonthlyIncome]]&lt;9000,"6K-9K",
Table1[[#This Row],[MonthlyIncome]]&lt;12000,"9K-12K",
TRUE,"12K+")</f>
        <v>6K-9K</v>
      </c>
      <c r="AN965">
        <f>1</f>
        <v>1</v>
      </c>
      <c r="AO965" t="str" cm="1">
        <f t="array" ref="AO965">_xlfn.IFS(
Table1[[#This Row],[YearsAtCompany]]&lt;=2,"0-2 Years",
Table1[[#This Row],[YearsAtCompany]]&lt;=5,"3-5 Years",
Table1[[#This Row],[YearsAtCompany]]&lt;=10,"6-10 Years",
TRUE,"10+ Years")</f>
        <v>6-10 Years</v>
      </c>
    </row>
    <row r="966" spans="1:41"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tr">
        <f t="shared" si="30"/>
        <v>Sales</v>
      </c>
      <c r="AK966">
        <f t="shared" si="31"/>
        <v>0</v>
      </c>
      <c r="AL966">
        <f>IF(Table1[[#This Row],[Attrition]]="Yes", Table1[[#This Row],[MonthlyIncome]]*12*1.5, 0)</f>
        <v>0</v>
      </c>
      <c r="AM966" t="str" cm="1">
        <f t="array" ref="AM966">_xlfn.IFS(
Table1[[#This Row],[MonthlyIncome]]&lt;3000,"Under 3K",
Table1[[#This Row],[MonthlyIncome]]&lt;6000,"3K-6K",
Table1[[#This Row],[MonthlyIncome]]&lt;9000,"6K-9K",
Table1[[#This Row],[MonthlyIncome]]&lt;12000,"9K-12K",
TRUE,"12K+")</f>
        <v>6K-9K</v>
      </c>
      <c r="AN966">
        <f>1</f>
        <v>1</v>
      </c>
      <c r="AO966" t="str" cm="1">
        <f t="array" ref="AO966">_xlfn.IFS(
Table1[[#This Row],[YearsAtCompany]]&lt;=2,"0-2 Years",
Table1[[#This Row],[YearsAtCompany]]&lt;=5,"3-5 Years",
Table1[[#This Row],[YearsAtCompany]]&lt;=10,"6-10 Years",
TRUE,"10+ Years")</f>
        <v>6-10 Years</v>
      </c>
    </row>
    <row r="967" spans="1:41"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tr">
        <f t="shared" si="30"/>
        <v>Research</v>
      </c>
      <c r="AK967">
        <f t="shared" si="31"/>
        <v>0</v>
      </c>
      <c r="AL967">
        <f>IF(Table1[[#This Row],[Attrition]]="Yes", Table1[[#This Row],[MonthlyIncome]]*12*1.5, 0)</f>
        <v>0</v>
      </c>
      <c r="AM967" t="str" cm="1">
        <f t="array" ref="AM967">_xlfn.IFS(
Table1[[#This Row],[MonthlyIncome]]&lt;3000,"Under 3K",
Table1[[#This Row],[MonthlyIncome]]&lt;6000,"3K-6K",
Table1[[#This Row],[MonthlyIncome]]&lt;9000,"6K-9K",
Table1[[#This Row],[MonthlyIncome]]&lt;12000,"9K-12K",
TRUE,"12K+")</f>
        <v>3K-6K</v>
      </c>
      <c r="AN967">
        <f>1</f>
        <v>1</v>
      </c>
      <c r="AO967" t="str" cm="1">
        <f t="array" ref="AO967">_xlfn.IFS(
Table1[[#This Row],[YearsAtCompany]]&lt;=2,"0-2 Years",
Table1[[#This Row],[YearsAtCompany]]&lt;=5,"3-5 Years",
Table1[[#This Row],[YearsAtCompany]]&lt;=10,"6-10 Years",
TRUE,"10+ Years")</f>
        <v>3-5 Years</v>
      </c>
    </row>
    <row r="968" spans="1:41"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tr">
        <f t="shared" si="30"/>
        <v>Operations</v>
      </c>
      <c r="AK968">
        <f t="shared" si="31"/>
        <v>1</v>
      </c>
      <c r="AL968">
        <f>IF(Table1[[#This Row],[Attrition]]="Yes", Table1[[#This Row],[MonthlyIncome]]*12*1.5, 0)</f>
        <v>180144</v>
      </c>
      <c r="AM968" t="str" cm="1">
        <f t="array" ref="AM968">_xlfn.IFS(
Table1[[#This Row],[MonthlyIncome]]&lt;3000,"Under 3K",
Table1[[#This Row],[MonthlyIncome]]&lt;6000,"3K-6K",
Table1[[#This Row],[MonthlyIncome]]&lt;9000,"6K-9K",
Table1[[#This Row],[MonthlyIncome]]&lt;12000,"9K-12K",
TRUE,"12K+")</f>
        <v>9K-12K</v>
      </c>
      <c r="AN968">
        <f>1</f>
        <v>1</v>
      </c>
      <c r="AO968" t="str" cm="1">
        <f t="array" ref="AO968">_xlfn.IFS(
Table1[[#This Row],[YearsAtCompany]]&lt;=2,"0-2 Years",
Table1[[#This Row],[YearsAtCompany]]&lt;=5,"3-5 Years",
Table1[[#This Row],[YearsAtCompany]]&lt;=10,"6-10 Years",
TRUE,"10+ Years")</f>
        <v>6-10 Years</v>
      </c>
    </row>
    <row r="969" spans="1:41"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tr">
        <f t="shared" si="30"/>
        <v>Research</v>
      </c>
      <c r="AK969">
        <f t="shared" si="31"/>
        <v>0</v>
      </c>
      <c r="AL969">
        <f>IF(Table1[[#This Row],[Attrition]]="Yes", Table1[[#This Row],[MonthlyIncome]]*12*1.5, 0)</f>
        <v>0</v>
      </c>
      <c r="AM969" t="str" cm="1">
        <f t="array" ref="AM969">_xlfn.IFS(
Table1[[#This Row],[MonthlyIncome]]&lt;3000,"Under 3K",
Table1[[#This Row],[MonthlyIncome]]&lt;6000,"3K-6K",
Table1[[#This Row],[MonthlyIncome]]&lt;9000,"6K-9K",
Table1[[#This Row],[MonthlyIncome]]&lt;12000,"9K-12K",
TRUE,"12K+")</f>
        <v>Under 3K</v>
      </c>
      <c r="AN969">
        <f>1</f>
        <v>1</v>
      </c>
      <c r="AO969" t="str" cm="1">
        <f t="array" ref="AO969">_xlfn.IFS(
Table1[[#This Row],[YearsAtCompany]]&lt;=2,"0-2 Years",
Table1[[#This Row],[YearsAtCompany]]&lt;=5,"3-5 Years",
Table1[[#This Row],[YearsAtCompany]]&lt;=10,"6-10 Years",
TRUE,"10+ Years")</f>
        <v>3-5 Years</v>
      </c>
    </row>
    <row r="970" spans="1:41"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tr">
        <f t="shared" si="30"/>
        <v>Sales</v>
      </c>
      <c r="AK970">
        <f t="shared" si="31"/>
        <v>0</v>
      </c>
      <c r="AL970">
        <f>IF(Table1[[#This Row],[Attrition]]="Yes", Table1[[#This Row],[MonthlyIncome]]*12*1.5, 0)</f>
        <v>0</v>
      </c>
      <c r="AM970" t="str" cm="1">
        <f t="array" ref="AM970">_xlfn.IFS(
Table1[[#This Row],[MonthlyIncome]]&lt;3000,"Under 3K",
Table1[[#This Row],[MonthlyIncome]]&lt;6000,"3K-6K",
Table1[[#This Row],[MonthlyIncome]]&lt;9000,"6K-9K",
Table1[[#This Row],[MonthlyIncome]]&lt;12000,"9K-12K",
TRUE,"12K+")</f>
        <v>3K-6K</v>
      </c>
      <c r="AN970">
        <f>1</f>
        <v>1</v>
      </c>
      <c r="AO970" t="str" cm="1">
        <f t="array" ref="AO970">_xlfn.IFS(
Table1[[#This Row],[YearsAtCompany]]&lt;=2,"0-2 Years",
Table1[[#This Row],[YearsAtCompany]]&lt;=5,"3-5 Years",
Table1[[#This Row],[YearsAtCompany]]&lt;=10,"6-10 Years",
TRUE,"10+ Years")</f>
        <v>10+ Years</v>
      </c>
    </row>
    <row r="971" spans="1:41"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tr">
        <f t="shared" si="30"/>
        <v>Operations</v>
      </c>
      <c r="AK971">
        <f t="shared" si="31"/>
        <v>0</v>
      </c>
      <c r="AL971">
        <f>IF(Table1[[#This Row],[Attrition]]="Yes", Table1[[#This Row],[MonthlyIncome]]*12*1.5, 0)</f>
        <v>0</v>
      </c>
      <c r="AM971" t="str" cm="1">
        <f t="array" ref="AM971">_xlfn.IFS(
Table1[[#This Row],[MonthlyIncome]]&lt;3000,"Under 3K",
Table1[[#This Row],[MonthlyIncome]]&lt;6000,"3K-6K",
Table1[[#This Row],[MonthlyIncome]]&lt;9000,"6K-9K",
Table1[[#This Row],[MonthlyIncome]]&lt;12000,"9K-12K",
TRUE,"12K+")</f>
        <v>6K-9K</v>
      </c>
      <c r="AN971">
        <f>1</f>
        <v>1</v>
      </c>
      <c r="AO971" t="str" cm="1">
        <f t="array" ref="AO971">_xlfn.IFS(
Table1[[#This Row],[YearsAtCompany]]&lt;=2,"0-2 Years",
Table1[[#This Row],[YearsAtCompany]]&lt;=5,"3-5 Years",
Table1[[#This Row],[YearsAtCompany]]&lt;=10,"6-10 Years",
TRUE,"10+ Years")</f>
        <v>6-10 Years</v>
      </c>
    </row>
    <row r="972" spans="1:41"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tr">
        <f t="shared" si="30"/>
        <v>Sales</v>
      </c>
      <c r="AK972">
        <f t="shared" si="31"/>
        <v>0</v>
      </c>
      <c r="AL972">
        <f>IF(Table1[[#This Row],[Attrition]]="Yes", Table1[[#This Row],[MonthlyIncome]]*12*1.5, 0)</f>
        <v>0</v>
      </c>
      <c r="AM972" t="str" cm="1">
        <f t="array" ref="AM972">_xlfn.IFS(
Table1[[#This Row],[MonthlyIncome]]&lt;3000,"Under 3K",
Table1[[#This Row],[MonthlyIncome]]&lt;6000,"3K-6K",
Table1[[#This Row],[MonthlyIncome]]&lt;9000,"6K-9K",
Table1[[#This Row],[MonthlyIncome]]&lt;12000,"9K-12K",
TRUE,"12K+")</f>
        <v>Under 3K</v>
      </c>
      <c r="AN972">
        <f>1</f>
        <v>1</v>
      </c>
      <c r="AO972" t="str" cm="1">
        <f t="array" ref="AO972">_xlfn.IFS(
Table1[[#This Row],[YearsAtCompany]]&lt;=2,"0-2 Years",
Table1[[#This Row],[YearsAtCompany]]&lt;=5,"3-5 Years",
Table1[[#This Row],[YearsAtCompany]]&lt;=10,"6-10 Years",
TRUE,"10+ Years")</f>
        <v>0-2 Years</v>
      </c>
    </row>
    <row r="973" spans="1:41"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tr">
        <f t="shared" si="30"/>
        <v>Operations</v>
      </c>
      <c r="AK973">
        <f t="shared" si="31"/>
        <v>0</v>
      </c>
      <c r="AL973">
        <f>IF(Table1[[#This Row],[Attrition]]="Yes", Table1[[#This Row],[MonthlyIncome]]*12*1.5, 0)</f>
        <v>0</v>
      </c>
      <c r="AM973" t="str" cm="1">
        <f t="array" ref="AM973">_xlfn.IFS(
Table1[[#This Row],[MonthlyIncome]]&lt;3000,"Under 3K",
Table1[[#This Row],[MonthlyIncome]]&lt;6000,"3K-6K",
Table1[[#This Row],[MonthlyIncome]]&lt;9000,"6K-9K",
Table1[[#This Row],[MonthlyIncome]]&lt;12000,"9K-12K",
TRUE,"12K+")</f>
        <v>12K+</v>
      </c>
      <c r="AN973">
        <f>1</f>
        <v>1</v>
      </c>
      <c r="AO973" t="str" cm="1">
        <f t="array" ref="AO973">_xlfn.IFS(
Table1[[#This Row],[YearsAtCompany]]&lt;=2,"0-2 Years",
Table1[[#This Row],[YearsAtCompany]]&lt;=5,"3-5 Years",
Table1[[#This Row],[YearsAtCompany]]&lt;=10,"6-10 Years",
TRUE,"10+ Years")</f>
        <v>3-5 Years</v>
      </c>
    </row>
    <row r="974" spans="1:41"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tr">
        <f t="shared" si="30"/>
        <v>Research</v>
      </c>
      <c r="AK974">
        <f t="shared" si="31"/>
        <v>0</v>
      </c>
      <c r="AL974">
        <f>IF(Table1[[#This Row],[Attrition]]="Yes", Table1[[#This Row],[MonthlyIncome]]*12*1.5, 0)</f>
        <v>0</v>
      </c>
      <c r="AM974" t="str" cm="1">
        <f t="array" ref="AM974">_xlfn.IFS(
Table1[[#This Row],[MonthlyIncome]]&lt;3000,"Under 3K",
Table1[[#This Row],[MonthlyIncome]]&lt;6000,"3K-6K",
Table1[[#This Row],[MonthlyIncome]]&lt;9000,"6K-9K",
Table1[[#This Row],[MonthlyIncome]]&lt;12000,"9K-12K",
TRUE,"12K+")</f>
        <v>Under 3K</v>
      </c>
      <c r="AN974">
        <f>1</f>
        <v>1</v>
      </c>
      <c r="AO974" t="str" cm="1">
        <f t="array" ref="AO974">_xlfn.IFS(
Table1[[#This Row],[YearsAtCompany]]&lt;=2,"0-2 Years",
Table1[[#This Row],[YearsAtCompany]]&lt;=5,"3-5 Years",
Table1[[#This Row],[YearsAtCompany]]&lt;=10,"6-10 Years",
TRUE,"10+ Years")</f>
        <v>0-2 Years</v>
      </c>
    </row>
    <row r="975" spans="1:41"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tr">
        <f t="shared" si="30"/>
        <v>Research</v>
      </c>
      <c r="AK975">
        <f t="shared" si="31"/>
        <v>0</v>
      </c>
      <c r="AL975">
        <f>IF(Table1[[#This Row],[Attrition]]="Yes", Table1[[#This Row],[MonthlyIncome]]*12*1.5, 0)</f>
        <v>0</v>
      </c>
      <c r="AM975" t="str" cm="1">
        <f t="array" ref="AM975">_xlfn.IFS(
Table1[[#This Row],[MonthlyIncome]]&lt;3000,"Under 3K",
Table1[[#This Row],[MonthlyIncome]]&lt;6000,"3K-6K",
Table1[[#This Row],[MonthlyIncome]]&lt;9000,"6K-9K",
Table1[[#This Row],[MonthlyIncome]]&lt;12000,"9K-12K",
TRUE,"12K+")</f>
        <v>3K-6K</v>
      </c>
      <c r="AN975">
        <f>1</f>
        <v>1</v>
      </c>
      <c r="AO975" t="str" cm="1">
        <f t="array" ref="AO975">_xlfn.IFS(
Table1[[#This Row],[YearsAtCompany]]&lt;=2,"0-2 Years",
Table1[[#This Row],[YearsAtCompany]]&lt;=5,"3-5 Years",
Table1[[#This Row],[YearsAtCompany]]&lt;=10,"6-10 Years",
TRUE,"10+ Years")</f>
        <v>6-10 Years</v>
      </c>
    </row>
    <row r="976" spans="1:41"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tr">
        <f t="shared" si="30"/>
        <v>Sales</v>
      </c>
      <c r="AK976">
        <f t="shared" si="31"/>
        <v>0</v>
      </c>
      <c r="AL976">
        <f>IF(Table1[[#This Row],[Attrition]]="Yes", Table1[[#This Row],[MonthlyIncome]]*12*1.5, 0)</f>
        <v>0</v>
      </c>
      <c r="AM976" t="str" cm="1">
        <f t="array" ref="AM976">_xlfn.IFS(
Table1[[#This Row],[MonthlyIncome]]&lt;3000,"Under 3K",
Table1[[#This Row],[MonthlyIncome]]&lt;6000,"3K-6K",
Table1[[#This Row],[MonthlyIncome]]&lt;9000,"6K-9K",
Table1[[#This Row],[MonthlyIncome]]&lt;12000,"9K-12K",
TRUE,"12K+")</f>
        <v>3K-6K</v>
      </c>
      <c r="AN976">
        <f>1</f>
        <v>1</v>
      </c>
      <c r="AO976" t="str" cm="1">
        <f t="array" ref="AO976">_xlfn.IFS(
Table1[[#This Row],[YearsAtCompany]]&lt;=2,"0-2 Years",
Table1[[#This Row],[YearsAtCompany]]&lt;=5,"3-5 Years",
Table1[[#This Row],[YearsAtCompany]]&lt;=10,"6-10 Years",
TRUE,"10+ Years")</f>
        <v>6-10 Years</v>
      </c>
    </row>
    <row r="977" spans="1:41"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tr">
        <f t="shared" si="30"/>
        <v>Sales</v>
      </c>
      <c r="AK977">
        <f t="shared" si="31"/>
        <v>1</v>
      </c>
      <c r="AL977">
        <f>IF(Table1[[#This Row],[Attrition]]="Yes", Table1[[#This Row],[MonthlyIncome]]*12*1.5, 0)</f>
        <v>246510</v>
      </c>
      <c r="AM977" t="str" cm="1">
        <f t="array" ref="AM977">_xlfn.IFS(
Table1[[#This Row],[MonthlyIncome]]&lt;3000,"Under 3K",
Table1[[#This Row],[MonthlyIncome]]&lt;6000,"3K-6K",
Table1[[#This Row],[MonthlyIncome]]&lt;9000,"6K-9K",
Table1[[#This Row],[MonthlyIncome]]&lt;12000,"9K-12K",
TRUE,"12K+")</f>
        <v>12K+</v>
      </c>
      <c r="AN977">
        <f>1</f>
        <v>1</v>
      </c>
      <c r="AO977" t="str" cm="1">
        <f t="array" ref="AO977">_xlfn.IFS(
Table1[[#This Row],[YearsAtCompany]]&lt;=2,"0-2 Years",
Table1[[#This Row],[YearsAtCompany]]&lt;=5,"3-5 Years",
Table1[[#This Row],[YearsAtCompany]]&lt;=10,"6-10 Years",
TRUE,"10+ Years")</f>
        <v>10+ Years</v>
      </c>
    </row>
    <row r="978" spans="1:41"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tr">
        <f t="shared" si="30"/>
        <v>Operations</v>
      </c>
      <c r="AK978">
        <f t="shared" si="31"/>
        <v>0</v>
      </c>
      <c r="AL978">
        <f>IF(Table1[[#This Row],[Attrition]]="Yes", Table1[[#This Row],[MonthlyIncome]]*12*1.5, 0)</f>
        <v>0</v>
      </c>
      <c r="AM978" t="str" cm="1">
        <f t="array" ref="AM978">_xlfn.IFS(
Table1[[#This Row],[MonthlyIncome]]&lt;3000,"Under 3K",
Table1[[#This Row],[MonthlyIncome]]&lt;6000,"3K-6K",
Table1[[#This Row],[MonthlyIncome]]&lt;9000,"6K-9K",
Table1[[#This Row],[MonthlyIncome]]&lt;12000,"9K-12K",
TRUE,"12K+")</f>
        <v>12K+</v>
      </c>
      <c r="AN978">
        <f>1</f>
        <v>1</v>
      </c>
      <c r="AO978" t="str" cm="1">
        <f t="array" ref="AO978">_xlfn.IFS(
Table1[[#This Row],[YearsAtCompany]]&lt;=2,"0-2 Years",
Table1[[#This Row],[YearsAtCompany]]&lt;=5,"3-5 Years",
Table1[[#This Row],[YearsAtCompany]]&lt;=10,"6-10 Years",
TRUE,"10+ Years")</f>
        <v>10+ Years</v>
      </c>
    </row>
    <row r="979" spans="1:41"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tr">
        <f t="shared" si="30"/>
        <v>Research</v>
      </c>
      <c r="AK979">
        <f t="shared" si="31"/>
        <v>0</v>
      </c>
      <c r="AL979">
        <f>IF(Table1[[#This Row],[Attrition]]="Yes", Table1[[#This Row],[MonthlyIncome]]*12*1.5, 0)</f>
        <v>0</v>
      </c>
      <c r="AM979" t="str" cm="1">
        <f t="array" ref="AM979">_xlfn.IFS(
Table1[[#This Row],[MonthlyIncome]]&lt;3000,"Under 3K",
Table1[[#This Row],[MonthlyIncome]]&lt;6000,"3K-6K",
Table1[[#This Row],[MonthlyIncome]]&lt;9000,"6K-9K",
Table1[[#This Row],[MonthlyIncome]]&lt;12000,"9K-12K",
TRUE,"12K+")</f>
        <v>Under 3K</v>
      </c>
      <c r="AN979">
        <f>1</f>
        <v>1</v>
      </c>
      <c r="AO979" t="str" cm="1">
        <f t="array" ref="AO979">_xlfn.IFS(
Table1[[#This Row],[YearsAtCompany]]&lt;=2,"0-2 Years",
Table1[[#This Row],[YearsAtCompany]]&lt;=5,"3-5 Years",
Table1[[#This Row],[YearsAtCompany]]&lt;=10,"6-10 Years",
TRUE,"10+ Years")</f>
        <v>3-5 Years</v>
      </c>
    </row>
    <row r="980" spans="1:41"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tr">
        <f t="shared" si="30"/>
        <v>Healthcare</v>
      </c>
      <c r="AK980">
        <f t="shared" si="31"/>
        <v>0</v>
      </c>
      <c r="AL980">
        <f>IF(Table1[[#This Row],[Attrition]]="Yes", Table1[[#This Row],[MonthlyIncome]]*12*1.5, 0)</f>
        <v>0</v>
      </c>
      <c r="AM980" t="str" cm="1">
        <f t="array" ref="AM980">_xlfn.IFS(
Table1[[#This Row],[MonthlyIncome]]&lt;3000,"Under 3K",
Table1[[#This Row],[MonthlyIncome]]&lt;6000,"3K-6K",
Table1[[#This Row],[MonthlyIncome]]&lt;9000,"6K-9K",
Table1[[#This Row],[MonthlyIncome]]&lt;12000,"9K-12K",
TRUE,"12K+")</f>
        <v>6K-9K</v>
      </c>
      <c r="AN980">
        <f>1</f>
        <v>1</v>
      </c>
      <c r="AO980" t="str" cm="1">
        <f t="array" ref="AO980">_xlfn.IFS(
Table1[[#This Row],[YearsAtCompany]]&lt;=2,"0-2 Years",
Table1[[#This Row],[YearsAtCompany]]&lt;=5,"3-5 Years",
Table1[[#This Row],[YearsAtCompany]]&lt;=10,"6-10 Years",
TRUE,"10+ Years")</f>
        <v>10+ Years</v>
      </c>
    </row>
    <row r="981" spans="1:41"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tr">
        <f t="shared" si="30"/>
        <v>Research</v>
      </c>
      <c r="AK981">
        <f t="shared" si="31"/>
        <v>0</v>
      </c>
      <c r="AL981">
        <f>IF(Table1[[#This Row],[Attrition]]="Yes", Table1[[#This Row],[MonthlyIncome]]*12*1.5, 0)</f>
        <v>0</v>
      </c>
      <c r="AM981" t="str" cm="1">
        <f t="array" ref="AM981">_xlfn.IFS(
Table1[[#This Row],[MonthlyIncome]]&lt;3000,"Under 3K",
Table1[[#This Row],[MonthlyIncome]]&lt;6000,"3K-6K",
Table1[[#This Row],[MonthlyIncome]]&lt;9000,"6K-9K",
Table1[[#This Row],[MonthlyIncome]]&lt;12000,"9K-12K",
TRUE,"12K+")</f>
        <v>3K-6K</v>
      </c>
      <c r="AN981">
        <f>1</f>
        <v>1</v>
      </c>
      <c r="AO981" t="str" cm="1">
        <f t="array" ref="AO981">_xlfn.IFS(
Table1[[#This Row],[YearsAtCompany]]&lt;=2,"0-2 Years",
Table1[[#This Row],[YearsAtCompany]]&lt;=5,"3-5 Years",
Table1[[#This Row],[YearsAtCompany]]&lt;=10,"6-10 Years",
TRUE,"10+ Years")</f>
        <v>6-10 Years</v>
      </c>
    </row>
    <row r="982" spans="1:41"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tr">
        <f t="shared" si="30"/>
        <v>Sales</v>
      </c>
      <c r="AK982">
        <f t="shared" si="31"/>
        <v>1</v>
      </c>
      <c r="AL982">
        <f>IF(Table1[[#This Row],[Attrition]]="Yes", Table1[[#This Row],[MonthlyIncome]]*12*1.5, 0)</f>
        <v>50130</v>
      </c>
      <c r="AM982" t="str" cm="1">
        <f t="array" ref="AM982">_xlfn.IFS(
Table1[[#This Row],[MonthlyIncome]]&lt;3000,"Under 3K",
Table1[[#This Row],[MonthlyIncome]]&lt;6000,"3K-6K",
Table1[[#This Row],[MonthlyIncome]]&lt;9000,"6K-9K",
Table1[[#This Row],[MonthlyIncome]]&lt;12000,"9K-12K",
TRUE,"12K+")</f>
        <v>Under 3K</v>
      </c>
      <c r="AN982">
        <f>1</f>
        <v>1</v>
      </c>
      <c r="AO982" t="str" cm="1">
        <f t="array" ref="AO982">_xlfn.IFS(
Table1[[#This Row],[YearsAtCompany]]&lt;=2,"0-2 Years",
Table1[[#This Row],[YearsAtCompany]]&lt;=5,"3-5 Years",
Table1[[#This Row],[YearsAtCompany]]&lt;=10,"6-10 Years",
TRUE,"10+ Years")</f>
        <v>0-2 Years</v>
      </c>
    </row>
    <row r="983" spans="1:41"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tr">
        <f t="shared" si="30"/>
        <v>Sales</v>
      </c>
      <c r="AK983">
        <f t="shared" si="31"/>
        <v>1</v>
      </c>
      <c r="AL983">
        <f>IF(Table1[[#This Row],[Attrition]]="Yes", Table1[[#This Row],[MonthlyIncome]]*12*1.5, 0)</f>
        <v>83052</v>
      </c>
      <c r="AM983" t="str" cm="1">
        <f t="array" ref="AM983">_xlfn.IFS(
Table1[[#This Row],[MonthlyIncome]]&lt;3000,"Under 3K",
Table1[[#This Row],[MonthlyIncome]]&lt;6000,"3K-6K",
Table1[[#This Row],[MonthlyIncome]]&lt;9000,"6K-9K",
Table1[[#This Row],[MonthlyIncome]]&lt;12000,"9K-12K",
TRUE,"12K+")</f>
        <v>3K-6K</v>
      </c>
      <c r="AN983">
        <f>1</f>
        <v>1</v>
      </c>
      <c r="AO983" t="str" cm="1">
        <f t="array" ref="AO983">_xlfn.IFS(
Table1[[#This Row],[YearsAtCompany]]&lt;=2,"0-2 Years",
Table1[[#This Row],[YearsAtCompany]]&lt;=5,"3-5 Years",
Table1[[#This Row],[YearsAtCompany]]&lt;=10,"6-10 Years",
TRUE,"10+ Years")</f>
        <v>3-5 Years</v>
      </c>
    </row>
    <row r="984" spans="1:41"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tr">
        <f t="shared" si="30"/>
        <v>Research</v>
      </c>
      <c r="AK984">
        <f t="shared" si="31"/>
        <v>0</v>
      </c>
      <c r="AL984">
        <f>IF(Table1[[#This Row],[Attrition]]="Yes", Table1[[#This Row],[MonthlyIncome]]*12*1.5, 0)</f>
        <v>0</v>
      </c>
      <c r="AM984" t="str" cm="1">
        <f t="array" ref="AM984">_xlfn.IFS(
Table1[[#This Row],[MonthlyIncome]]&lt;3000,"Under 3K",
Table1[[#This Row],[MonthlyIncome]]&lt;6000,"3K-6K",
Table1[[#This Row],[MonthlyIncome]]&lt;9000,"6K-9K",
Table1[[#This Row],[MonthlyIncome]]&lt;12000,"9K-12K",
TRUE,"12K+")</f>
        <v>Under 3K</v>
      </c>
      <c r="AN984">
        <f>1</f>
        <v>1</v>
      </c>
      <c r="AO984" t="str" cm="1">
        <f t="array" ref="AO984">_xlfn.IFS(
Table1[[#This Row],[YearsAtCompany]]&lt;=2,"0-2 Years",
Table1[[#This Row],[YearsAtCompany]]&lt;=5,"3-5 Years",
Table1[[#This Row],[YearsAtCompany]]&lt;=10,"6-10 Years",
TRUE,"10+ Years")</f>
        <v>3-5 Years</v>
      </c>
    </row>
    <row r="985" spans="1:41"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tr">
        <f t="shared" si="30"/>
        <v>Healthcare</v>
      </c>
      <c r="AK985">
        <f t="shared" si="31"/>
        <v>0</v>
      </c>
      <c r="AL985">
        <f>IF(Table1[[#This Row],[Attrition]]="Yes", Table1[[#This Row],[MonthlyIncome]]*12*1.5, 0)</f>
        <v>0</v>
      </c>
      <c r="AM985" t="str" cm="1">
        <f t="array" ref="AM985">_xlfn.IFS(
Table1[[#This Row],[MonthlyIncome]]&lt;3000,"Under 3K",
Table1[[#This Row],[MonthlyIncome]]&lt;6000,"3K-6K",
Table1[[#This Row],[MonthlyIncome]]&lt;9000,"6K-9K",
Table1[[#This Row],[MonthlyIncome]]&lt;12000,"9K-12K",
TRUE,"12K+")</f>
        <v>6K-9K</v>
      </c>
      <c r="AN985">
        <f>1</f>
        <v>1</v>
      </c>
      <c r="AO985" t="str" cm="1">
        <f t="array" ref="AO985">_xlfn.IFS(
Table1[[#This Row],[YearsAtCompany]]&lt;=2,"0-2 Years",
Table1[[#This Row],[YearsAtCompany]]&lt;=5,"3-5 Years",
Table1[[#This Row],[YearsAtCompany]]&lt;=10,"6-10 Years",
TRUE,"10+ Years")</f>
        <v>10+ Years</v>
      </c>
    </row>
    <row r="986" spans="1:41"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tr">
        <f t="shared" si="30"/>
        <v>Sales</v>
      </c>
      <c r="AK986">
        <f t="shared" si="31"/>
        <v>0</v>
      </c>
      <c r="AL986">
        <f>IF(Table1[[#This Row],[Attrition]]="Yes", Table1[[#This Row],[MonthlyIncome]]*12*1.5, 0)</f>
        <v>0</v>
      </c>
      <c r="AM986" t="str" cm="1">
        <f t="array" ref="AM986">_xlfn.IFS(
Table1[[#This Row],[MonthlyIncome]]&lt;3000,"Under 3K",
Table1[[#This Row],[MonthlyIncome]]&lt;6000,"3K-6K",
Table1[[#This Row],[MonthlyIncome]]&lt;9000,"6K-9K",
Table1[[#This Row],[MonthlyIncome]]&lt;12000,"9K-12K",
TRUE,"12K+")</f>
        <v>3K-6K</v>
      </c>
      <c r="AN986">
        <f>1</f>
        <v>1</v>
      </c>
      <c r="AO986" t="str" cm="1">
        <f t="array" ref="AO986">_xlfn.IFS(
Table1[[#This Row],[YearsAtCompany]]&lt;=2,"0-2 Years",
Table1[[#This Row],[YearsAtCompany]]&lt;=5,"3-5 Years",
Table1[[#This Row],[YearsAtCompany]]&lt;=10,"6-10 Years",
TRUE,"10+ Years")</f>
        <v>3-5 Years</v>
      </c>
    </row>
    <row r="987" spans="1:41"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tr">
        <f t="shared" si="30"/>
        <v>Operations</v>
      </c>
      <c r="AK987">
        <f t="shared" si="31"/>
        <v>1</v>
      </c>
      <c r="AL987">
        <f>IF(Table1[[#This Row],[Attrition]]="Yes", Table1[[#This Row],[MonthlyIncome]]*12*1.5, 0)</f>
        <v>111222</v>
      </c>
      <c r="AM987" t="str" cm="1">
        <f t="array" ref="AM987">_xlfn.IFS(
Table1[[#This Row],[MonthlyIncome]]&lt;3000,"Under 3K",
Table1[[#This Row],[MonthlyIncome]]&lt;6000,"3K-6K",
Table1[[#This Row],[MonthlyIncome]]&lt;9000,"6K-9K",
Table1[[#This Row],[MonthlyIncome]]&lt;12000,"9K-12K",
TRUE,"12K+")</f>
        <v>6K-9K</v>
      </c>
      <c r="AN987">
        <f>1</f>
        <v>1</v>
      </c>
      <c r="AO987" t="str" cm="1">
        <f t="array" ref="AO987">_xlfn.IFS(
Table1[[#This Row],[YearsAtCompany]]&lt;=2,"0-2 Years",
Table1[[#This Row],[YearsAtCompany]]&lt;=5,"3-5 Years",
Table1[[#This Row],[YearsAtCompany]]&lt;=10,"6-10 Years",
TRUE,"10+ Years")</f>
        <v>6-10 Years</v>
      </c>
    </row>
    <row r="988" spans="1:41"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tr">
        <f t="shared" si="30"/>
        <v>Sales</v>
      </c>
      <c r="AK988">
        <f t="shared" si="31"/>
        <v>0</v>
      </c>
      <c r="AL988">
        <f>IF(Table1[[#This Row],[Attrition]]="Yes", Table1[[#This Row],[MonthlyIncome]]*12*1.5, 0)</f>
        <v>0</v>
      </c>
      <c r="AM988" t="str" cm="1">
        <f t="array" ref="AM988">_xlfn.IFS(
Table1[[#This Row],[MonthlyIncome]]&lt;3000,"Under 3K",
Table1[[#This Row],[MonthlyIncome]]&lt;6000,"3K-6K",
Table1[[#This Row],[MonthlyIncome]]&lt;9000,"6K-9K",
Table1[[#This Row],[MonthlyIncome]]&lt;12000,"9K-12K",
TRUE,"12K+")</f>
        <v>6K-9K</v>
      </c>
      <c r="AN988">
        <f>1</f>
        <v>1</v>
      </c>
      <c r="AO988" t="str" cm="1">
        <f t="array" ref="AO988">_xlfn.IFS(
Table1[[#This Row],[YearsAtCompany]]&lt;=2,"0-2 Years",
Table1[[#This Row],[YearsAtCompany]]&lt;=5,"3-5 Years",
Table1[[#This Row],[YearsAtCompany]]&lt;=10,"6-10 Years",
TRUE,"10+ Years")</f>
        <v>3-5 Years</v>
      </c>
    </row>
    <row r="989" spans="1:41"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tr">
        <f t="shared" si="30"/>
        <v>Sales</v>
      </c>
      <c r="AK989">
        <f t="shared" si="31"/>
        <v>0</v>
      </c>
      <c r="AL989">
        <f>IF(Table1[[#This Row],[Attrition]]="Yes", Table1[[#This Row],[MonthlyIncome]]*12*1.5, 0)</f>
        <v>0</v>
      </c>
      <c r="AM989" t="str" cm="1">
        <f t="array" ref="AM989">_xlfn.IFS(
Table1[[#This Row],[MonthlyIncome]]&lt;3000,"Under 3K",
Table1[[#This Row],[MonthlyIncome]]&lt;6000,"3K-6K",
Table1[[#This Row],[MonthlyIncome]]&lt;9000,"6K-9K",
Table1[[#This Row],[MonthlyIncome]]&lt;12000,"9K-12K",
TRUE,"12K+")</f>
        <v>9K-12K</v>
      </c>
      <c r="AN989">
        <f>1</f>
        <v>1</v>
      </c>
      <c r="AO989" t="str" cm="1">
        <f t="array" ref="AO989">_xlfn.IFS(
Table1[[#This Row],[YearsAtCompany]]&lt;=2,"0-2 Years",
Table1[[#This Row],[YearsAtCompany]]&lt;=5,"3-5 Years",
Table1[[#This Row],[YearsAtCompany]]&lt;=10,"6-10 Years",
TRUE,"10+ Years")</f>
        <v>3-5 Years</v>
      </c>
    </row>
    <row r="990" spans="1:41"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tr">
        <f t="shared" si="30"/>
        <v>Research</v>
      </c>
      <c r="AK990">
        <f t="shared" si="31"/>
        <v>0</v>
      </c>
      <c r="AL990">
        <f>IF(Table1[[#This Row],[Attrition]]="Yes", Table1[[#This Row],[MonthlyIncome]]*12*1.5, 0)</f>
        <v>0</v>
      </c>
      <c r="AM990" t="str" cm="1">
        <f t="array" ref="AM990">_xlfn.IFS(
Table1[[#This Row],[MonthlyIncome]]&lt;3000,"Under 3K",
Table1[[#This Row],[MonthlyIncome]]&lt;6000,"3K-6K",
Table1[[#This Row],[MonthlyIncome]]&lt;9000,"6K-9K",
Table1[[#This Row],[MonthlyIncome]]&lt;12000,"9K-12K",
TRUE,"12K+")</f>
        <v>3K-6K</v>
      </c>
      <c r="AN990">
        <f>1</f>
        <v>1</v>
      </c>
      <c r="AO990" t="str" cm="1">
        <f t="array" ref="AO990">_xlfn.IFS(
Table1[[#This Row],[YearsAtCompany]]&lt;=2,"0-2 Years",
Table1[[#This Row],[YearsAtCompany]]&lt;=5,"3-5 Years",
Table1[[#This Row],[YearsAtCompany]]&lt;=10,"6-10 Years",
TRUE,"10+ Years")</f>
        <v>6-10 Years</v>
      </c>
    </row>
    <row r="991" spans="1:41"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tr">
        <f t="shared" si="30"/>
        <v>Research</v>
      </c>
      <c r="AK991">
        <f t="shared" si="31"/>
        <v>0</v>
      </c>
      <c r="AL991">
        <f>IF(Table1[[#This Row],[Attrition]]="Yes", Table1[[#This Row],[MonthlyIncome]]*12*1.5, 0)</f>
        <v>0</v>
      </c>
      <c r="AM991" t="str" cm="1">
        <f t="array" ref="AM991">_xlfn.IFS(
Table1[[#This Row],[MonthlyIncome]]&lt;3000,"Under 3K",
Table1[[#This Row],[MonthlyIncome]]&lt;6000,"3K-6K",
Table1[[#This Row],[MonthlyIncome]]&lt;9000,"6K-9K",
Table1[[#This Row],[MonthlyIncome]]&lt;12000,"9K-12K",
TRUE,"12K+")</f>
        <v>Under 3K</v>
      </c>
      <c r="AN991">
        <f>1</f>
        <v>1</v>
      </c>
      <c r="AO991" t="str" cm="1">
        <f t="array" ref="AO991">_xlfn.IFS(
Table1[[#This Row],[YearsAtCompany]]&lt;=2,"0-2 Years",
Table1[[#This Row],[YearsAtCompany]]&lt;=5,"3-5 Years",
Table1[[#This Row],[YearsAtCompany]]&lt;=10,"6-10 Years",
TRUE,"10+ Years")</f>
        <v>6-10 Years</v>
      </c>
    </row>
    <row r="992" spans="1:41"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tr">
        <f t="shared" si="30"/>
        <v>Sales</v>
      </c>
      <c r="AK992">
        <f t="shared" si="31"/>
        <v>0</v>
      </c>
      <c r="AL992">
        <f>IF(Table1[[#This Row],[Attrition]]="Yes", Table1[[#This Row],[MonthlyIncome]]*12*1.5, 0)</f>
        <v>0</v>
      </c>
      <c r="AM992" t="str" cm="1">
        <f t="array" ref="AM992">_xlfn.IFS(
Table1[[#This Row],[MonthlyIncome]]&lt;3000,"Under 3K",
Table1[[#This Row],[MonthlyIncome]]&lt;6000,"3K-6K",
Table1[[#This Row],[MonthlyIncome]]&lt;9000,"6K-9K",
Table1[[#This Row],[MonthlyIncome]]&lt;12000,"9K-12K",
TRUE,"12K+")</f>
        <v>9K-12K</v>
      </c>
      <c r="AN992">
        <f>1</f>
        <v>1</v>
      </c>
      <c r="AO992" t="str" cm="1">
        <f t="array" ref="AO992">_xlfn.IFS(
Table1[[#This Row],[YearsAtCompany]]&lt;=2,"0-2 Years",
Table1[[#This Row],[YearsAtCompany]]&lt;=5,"3-5 Years",
Table1[[#This Row],[YearsAtCompany]]&lt;=10,"6-10 Years",
TRUE,"10+ Years")</f>
        <v>3-5 Years</v>
      </c>
    </row>
    <row r="993" spans="1:41"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tr">
        <f t="shared" si="30"/>
        <v>Sales</v>
      </c>
      <c r="AK993">
        <f t="shared" si="31"/>
        <v>0</v>
      </c>
      <c r="AL993">
        <f>IF(Table1[[#This Row],[Attrition]]="Yes", Table1[[#This Row],[MonthlyIncome]]*12*1.5, 0)</f>
        <v>0</v>
      </c>
      <c r="AM993" t="str" cm="1">
        <f t="array" ref="AM993">_xlfn.IFS(
Table1[[#This Row],[MonthlyIncome]]&lt;3000,"Under 3K",
Table1[[#This Row],[MonthlyIncome]]&lt;6000,"3K-6K",
Table1[[#This Row],[MonthlyIncome]]&lt;9000,"6K-9K",
Table1[[#This Row],[MonthlyIncome]]&lt;12000,"9K-12K",
TRUE,"12K+")</f>
        <v>3K-6K</v>
      </c>
      <c r="AN993">
        <f>1</f>
        <v>1</v>
      </c>
      <c r="AO993" t="str" cm="1">
        <f t="array" ref="AO993">_xlfn.IFS(
Table1[[#This Row],[YearsAtCompany]]&lt;=2,"0-2 Years",
Table1[[#This Row],[YearsAtCompany]]&lt;=5,"3-5 Years",
Table1[[#This Row],[YearsAtCompany]]&lt;=10,"6-10 Years",
TRUE,"10+ Years")</f>
        <v>3-5 Years</v>
      </c>
    </row>
    <row r="994" spans="1:41"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tr">
        <f t="shared" si="30"/>
        <v>Healthcare</v>
      </c>
      <c r="AK994">
        <f t="shared" si="31"/>
        <v>0</v>
      </c>
      <c r="AL994">
        <f>IF(Table1[[#This Row],[Attrition]]="Yes", Table1[[#This Row],[MonthlyIncome]]*12*1.5, 0)</f>
        <v>0</v>
      </c>
      <c r="AM994" t="str" cm="1">
        <f t="array" ref="AM994">_xlfn.IFS(
Table1[[#This Row],[MonthlyIncome]]&lt;3000,"Under 3K",
Table1[[#This Row],[MonthlyIncome]]&lt;6000,"3K-6K",
Table1[[#This Row],[MonthlyIncome]]&lt;9000,"6K-9K",
Table1[[#This Row],[MonthlyIncome]]&lt;12000,"9K-12K",
TRUE,"12K+")</f>
        <v>9K-12K</v>
      </c>
      <c r="AN994">
        <f>1</f>
        <v>1</v>
      </c>
      <c r="AO994" t="str" cm="1">
        <f t="array" ref="AO994">_xlfn.IFS(
Table1[[#This Row],[YearsAtCompany]]&lt;=2,"0-2 Years",
Table1[[#This Row],[YearsAtCompany]]&lt;=5,"3-5 Years",
Table1[[#This Row],[YearsAtCompany]]&lt;=10,"6-10 Years",
TRUE,"10+ Years")</f>
        <v>6-10 Years</v>
      </c>
    </row>
    <row r="995" spans="1:41"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tr">
        <f t="shared" si="30"/>
        <v>Sales</v>
      </c>
      <c r="AK995">
        <f t="shared" si="31"/>
        <v>0</v>
      </c>
      <c r="AL995">
        <f>IF(Table1[[#This Row],[Attrition]]="Yes", Table1[[#This Row],[MonthlyIncome]]*12*1.5, 0)</f>
        <v>0</v>
      </c>
      <c r="AM995" t="str" cm="1">
        <f t="array" ref="AM995">_xlfn.IFS(
Table1[[#This Row],[MonthlyIncome]]&lt;3000,"Under 3K",
Table1[[#This Row],[MonthlyIncome]]&lt;6000,"3K-6K",
Table1[[#This Row],[MonthlyIncome]]&lt;9000,"6K-9K",
Table1[[#This Row],[MonthlyIncome]]&lt;12000,"9K-12K",
TRUE,"12K+")</f>
        <v>6K-9K</v>
      </c>
      <c r="AN995">
        <f>1</f>
        <v>1</v>
      </c>
      <c r="AO995" t="str" cm="1">
        <f t="array" ref="AO995">_xlfn.IFS(
Table1[[#This Row],[YearsAtCompany]]&lt;=2,"0-2 Years",
Table1[[#This Row],[YearsAtCompany]]&lt;=5,"3-5 Years",
Table1[[#This Row],[YearsAtCompany]]&lt;=10,"6-10 Years",
TRUE,"10+ Years")</f>
        <v>3-5 Years</v>
      </c>
    </row>
    <row r="996" spans="1:41"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tr">
        <f t="shared" si="30"/>
        <v>Operations</v>
      </c>
      <c r="AK996">
        <f t="shared" si="31"/>
        <v>0</v>
      </c>
      <c r="AL996">
        <f>IF(Table1[[#This Row],[Attrition]]="Yes", Table1[[#This Row],[MonthlyIncome]]*12*1.5, 0)</f>
        <v>0</v>
      </c>
      <c r="AM996" t="str" cm="1">
        <f t="array" ref="AM996">_xlfn.IFS(
Table1[[#This Row],[MonthlyIncome]]&lt;3000,"Under 3K",
Table1[[#This Row],[MonthlyIncome]]&lt;6000,"3K-6K",
Table1[[#This Row],[MonthlyIncome]]&lt;9000,"6K-9K",
Table1[[#This Row],[MonthlyIncome]]&lt;12000,"9K-12K",
TRUE,"12K+")</f>
        <v>12K+</v>
      </c>
      <c r="AN996">
        <f>1</f>
        <v>1</v>
      </c>
      <c r="AO996" t="str" cm="1">
        <f t="array" ref="AO996">_xlfn.IFS(
Table1[[#This Row],[YearsAtCompany]]&lt;=2,"0-2 Years",
Table1[[#This Row],[YearsAtCompany]]&lt;=5,"3-5 Years",
Table1[[#This Row],[YearsAtCompany]]&lt;=10,"6-10 Years",
TRUE,"10+ Years")</f>
        <v>3-5 Years</v>
      </c>
    </row>
    <row r="997" spans="1:41"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tr">
        <f t="shared" si="30"/>
        <v>Research</v>
      </c>
      <c r="AK997">
        <f t="shared" si="31"/>
        <v>0</v>
      </c>
      <c r="AL997">
        <f>IF(Table1[[#This Row],[Attrition]]="Yes", Table1[[#This Row],[MonthlyIncome]]*12*1.5, 0)</f>
        <v>0</v>
      </c>
      <c r="AM997" t="str" cm="1">
        <f t="array" ref="AM997">_xlfn.IFS(
Table1[[#This Row],[MonthlyIncome]]&lt;3000,"Under 3K",
Table1[[#This Row],[MonthlyIncome]]&lt;6000,"3K-6K",
Table1[[#This Row],[MonthlyIncome]]&lt;9000,"6K-9K",
Table1[[#This Row],[MonthlyIncome]]&lt;12000,"9K-12K",
TRUE,"12K+")</f>
        <v>3K-6K</v>
      </c>
      <c r="AN997">
        <f>1</f>
        <v>1</v>
      </c>
      <c r="AO997" t="str" cm="1">
        <f t="array" ref="AO997">_xlfn.IFS(
Table1[[#This Row],[YearsAtCompany]]&lt;=2,"0-2 Years",
Table1[[#This Row],[YearsAtCompany]]&lt;=5,"3-5 Years",
Table1[[#This Row],[YearsAtCompany]]&lt;=10,"6-10 Years",
TRUE,"10+ Years")</f>
        <v>10+ Years</v>
      </c>
    </row>
    <row r="998" spans="1:41"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tr">
        <f t="shared" si="30"/>
        <v>Sales</v>
      </c>
      <c r="AK998">
        <f t="shared" si="31"/>
        <v>0</v>
      </c>
      <c r="AL998">
        <f>IF(Table1[[#This Row],[Attrition]]="Yes", Table1[[#This Row],[MonthlyIncome]]*12*1.5, 0)</f>
        <v>0</v>
      </c>
      <c r="AM998" t="str" cm="1">
        <f t="array" ref="AM998">_xlfn.IFS(
Table1[[#This Row],[MonthlyIncome]]&lt;3000,"Under 3K",
Table1[[#This Row],[MonthlyIncome]]&lt;6000,"3K-6K",
Table1[[#This Row],[MonthlyIncome]]&lt;9000,"6K-9K",
Table1[[#This Row],[MonthlyIncome]]&lt;12000,"9K-12K",
TRUE,"12K+")</f>
        <v>3K-6K</v>
      </c>
      <c r="AN998">
        <f>1</f>
        <v>1</v>
      </c>
      <c r="AO998" t="str" cm="1">
        <f t="array" ref="AO998">_xlfn.IFS(
Table1[[#This Row],[YearsAtCompany]]&lt;=2,"0-2 Years",
Table1[[#This Row],[YearsAtCompany]]&lt;=5,"3-5 Years",
Table1[[#This Row],[YearsAtCompany]]&lt;=10,"6-10 Years",
TRUE,"10+ Years")</f>
        <v>6-10 Years</v>
      </c>
    </row>
    <row r="999" spans="1:41"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tr">
        <f t="shared" si="30"/>
        <v>Research</v>
      </c>
      <c r="AK999">
        <f t="shared" si="31"/>
        <v>1</v>
      </c>
      <c r="AL999">
        <f>IF(Table1[[#This Row],[Attrition]]="Yes", Table1[[#This Row],[MonthlyIncome]]*12*1.5, 0)</f>
        <v>43092</v>
      </c>
      <c r="AM999" t="str" cm="1">
        <f t="array" ref="AM999">_xlfn.IFS(
Table1[[#This Row],[MonthlyIncome]]&lt;3000,"Under 3K",
Table1[[#This Row],[MonthlyIncome]]&lt;6000,"3K-6K",
Table1[[#This Row],[MonthlyIncome]]&lt;9000,"6K-9K",
Table1[[#This Row],[MonthlyIncome]]&lt;12000,"9K-12K",
TRUE,"12K+")</f>
        <v>Under 3K</v>
      </c>
      <c r="AN999">
        <f>1</f>
        <v>1</v>
      </c>
      <c r="AO999" t="str" cm="1">
        <f t="array" ref="AO999">_xlfn.IFS(
Table1[[#This Row],[YearsAtCompany]]&lt;=2,"0-2 Years",
Table1[[#This Row],[YearsAtCompany]]&lt;=5,"3-5 Years",
Table1[[#This Row],[YearsAtCompany]]&lt;=10,"6-10 Years",
TRUE,"10+ Years")</f>
        <v>6-10 Years</v>
      </c>
    </row>
    <row r="1000" spans="1:41"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tr">
        <f t="shared" si="30"/>
        <v>Research</v>
      </c>
      <c r="AK1000">
        <f t="shared" si="31"/>
        <v>0</v>
      </c>
      <c r="AL1000">
        <f>IF(Table1[[#This Row],[Attrition]]="Yes", Table1[[#This Row],[MonthlyIncome]]*12*1.5, 0)</f>
        <v>0</v>
      </c>
      <c r="AM1000" t="str" cm="1">
        <f t="array" ref="AM1000">_xlfn.IFS(
Table1[[#This Row],[MonthlyIncome]]&lt;3000,"Under 3K",
Table1[[#This Row],[MonthlyIncome]]&lt;6000,"3K-6K",
Table1[[#This Row],[MonthlyIncome]]&lt;9000,"6K-9K",
Table1[[#This Row],[MonthlyIncome]]&lt;12000,"9K-12K",
TRUE,"12K+")</f>
        <v>3K-6K</v>
      </c>
      <c r="AN1000">
        <f>1</f>
        <v>1</v>
      </c>
      <c r="AO1000" t="str" cm="1">
        <f t="array" ref="AO1000">_xlfn.IFS(
Table1[[#This Row],[YearsAtCompany]]&lt;=2,"0-2 Years",
Table1[[#This Row],[YearsAtCompany]]&lt;=5,"3-5 Years",
Table1[[#This Row],[YearsAtCompany]]&lt;=10,"6-10 Years",
TRUE,"10+ Years")</f>
        <v>3-5 Years</v>
      </c>
    </row>
    <row r="1001" spans="1:41"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tr">
        <f t="shared" si="30"/>
        <v>Management</v>
      </c>
      <c r="AK1001">
        <f t="shared" si="31"/>
        <v>0</v>
      </c>
      <c r="AL1001">
        <f>IF(Table1[[#This Row],[Attrition]]="Yes", Table1[[#This Row],[MonthlyIncome]]*12*1.5, 0)</f>
        <v>0</v>
      </c>
      <c r="AM1001" t="str" cm="1">
        <f t="array" ref="AM1001">_xlfn.IFS(
Table1[[#This Row],[MonthlyIncome]]&lt;3000,"Under 3K",
Table1[[#This Row],[MonthlyIncome]]&lt;6000,"3K-6K",
Table1[[#This Row],[MonthlyIncome]]&lt;9000,"6K-9K",
Table1[[#This Row],[MonthlyIncome]]&lt;12000,"9K-12K",
TRUE,"12K+")</f>
        <v>12K+</v>
      </c>
      <c r="AN1001">
        <f>1</f>
        <v>1</v>
      </c>
      <c r="AO1001" t="str" cm="1">
        <f t="array" ref="AO1001">_xlfn.IFS(
Table1[[#This Row],[YearsAtCompany]]&lt;=2,"0-2 Years",
Table1[[#This Row],[YearsAtCompany]]&lt;=5,"3-5 Years",
Table1[[#This Row],[YearsAtCompany]]&lt;=10,"6-10 Years",
TRUE,"10+ Years")</f>
        <v>10+ Years</v>
      </c>
    </row>
    <row r="1002" spans="1:41"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tr">
        <f t="shared" si="30"/>
        <v>Research</v>
      </c>
      <c r="AK1002">
        <f t="shared" si="31"/>
        <v>0</v>
      </c>
      <c r="AL1002">
        <f>IF(Table1[[#This Row],[Attrition]]="Yes", Table1[[#This Row],[MonthlyIncome]]*12*1.5, 0)</f>
        <v>0</v>
      </c>
      <c r="AM1002" t="str" cm="1">
        <f t="array" ref="AM1002">_xlfn.IFS(
Table1[[#This Row],[MonthlyIncome]]&lt;3000,"Under 3K",
Table1[[#This Row],[MonthlyIncome]]&lt;6000,"3K-6K",
Table1[[#This Row],[MonthlyIncome]]&lt;9000,"6K-9K",
Table1[[#This Row],[MonthlyIncome]]&lt;12000,"9K-12K",
TRUE,"12K+")</f>
        <v>Under 3K</v>
      </c>
      <c r="AN1002">
        <f>1</f>
        <v>1</v>
      </c>
      <c r="AO1002" t="str" cm="1">
        <f t="array" ref="AO1002">_xlfn.IFS(
Table1[[#This Row],[YearsAtCompany]]&lt;=2,"0-2 Years",
Table1[[#This Row],[YearsAtCompany]]&lt;=5,"3-5 Years",
Table1[[#This Row],[YearsAtCompany]]&lt;=10,"6-10 Years",
TRUE,"10+ Years")</f>
        <v>3-5 Years</v>
      </c>
    </row>
    <row r="1003" spans="1:41"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tr">
        <f t="shared" si="30"/>
        <v>Research</v>
      </c>
      <c r="AK1003">
        <f t="shared" si="31"/>
        <v>0</v>
      </c>
      <c r="AL1003">
        <f>IF(Table1[[#This Row],[Attrition]]="Yes", Table1[[#This Row],[MonthlyIncome]]*12*1.5, 0)</f>
        <v>0</v>
      </c>
      <c r="AM1003" t="str" cm="1">
        <f t="array" ref="AM1003">_xlfn.IFS(
Table1[[#This Row],[MonthlyIncome]]&lt;3000,"Under 3K",
Table1[[#This Row],[MonthlyIncome]]&lt;6000,"3K-6K",
Table1[[#This Row],[MonthlyIncome]]&lt;9000,"6K-9K",
Table1[[#This Row],[MonthlyIncome]]&lt;12000,"9K-12K",
TRUE,"12K+")</f>
        <v>3K-6K</v>
      </c>
      <c r="AN1003">
        <f>1</f>
        <v>1</v>
      </c>
      <c r="AO1003" t="str" cm="1">
        <f t="array" ref="AO1003">_xlfn.IFS(
Table1[[#This Row],[YearsAtCompany]]&lt;=2,"0-2 Years",
Table1[[#This Row],[YearsAtCompany]]&lt;=5,"3-5 Years",
Table1[[#This Row],[YearsAtCompany]]&lt;=10,"6-10 Years",
TRUE,"10+ Years")</f>
        <v>3-5 Years</v>
      </c>
    </row>
    <row r="1004" spans="1:41"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tr">
        <f t="shared" si="30"/>
        <v>Operations</v>
      </c>
      <c r="AK1004">
        <f t="shared" si="31"/>
        <v>0</v>
      </c>
      <c r="AL1004">
        <f>IF(Table1[[#This Row],[Attrition]]="Yes", Table1[[#This Row],[MonthlyIncome]]*12*1.5, 0)</f>
        <v>0</v>
      </c>
      <c r="AM1004" t="str" cm="1">
        <f t="array" ref="AM1004">_xlfn.IFS(
Table1[[#This Row],[MonthlyIncome]]&lt;3000,"Under 3K",
Table1[[#This Row],[MonthlyIncome]]&lt;6000,"3K-6K",
Table1[[#This Row],[MonthlyIncome]]&lt;9000,"6K-9K",
Table1[[#This Row],[MonthlyIncome]]&lt;12000,"9K-12K",
TRUE,"12K+")</f>
        <v>9K-12K</v>
      </c>
      <c r="AN1004">
        <f>1</f>
        <v>1</v>
      </c>
      <c r="AO1004" t="str" cm="1">
        <f t="array" ref="AO1004">_xlfn.IFS(
Table1[[#This Row],[YearsAtCompany]]&lt;=2,"0-2 Years",
Table1[[#This Row],[YearsAtCompany]]&lt;=5,"3-5 Years",
Table1[[#This Row],[YearsAtCompany]]&lt;=10,"6-10 Years",
TRUE,"10+ Years")</f>
        <v>0-2 Years</v>
      </c>
    </row>
    <row r="1005" spans="1:41"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tr">
        <f t="shared" si="30"/>
        <v>Research</v>
      </c>
      <c r="AK1005">
        <f t="shared" si="31"/>
        <v>0</v>
      </c>
      <c r="AL1005">
        <f>IF(Table1[[#This Row],[Attrition]]="Yes", Table1[[#This Row],[MonthlyIncome]]*12*1.5, 0)</f>
        <v>0</v>
      </c>
      <c r="AM1005" t="str" cm="1">
        <f t="array" ref="AM1005">_xlfn.IFS(
Table1[[#This Row],[MonthlyIncome]]&lt;3000,"Under 3K",
Table1[[#This Row],[MonthlyIncome]]&lt;6000,"3K-6K",
Table1[[#This Row],[MonthlyIncome]]&lt;9000,"6K-9K",
Table1[[#This Row],[MonthlyIncome]]&lt;12000,"9K-12K",
TRUE,"12K+")</f>
        <v>3K-6K</v>
      </c>
      <c r="AN1005">
        <f>1</f>
        <v>1</v>
      </c>
      <c r="AO1005" t="str" cm="1">
        <f t="array" ref="AO1005">_xlfn.IFS(
Table1[[#This Row],[YearsAtCompany]]&lt;=2,"0-2 Years",
Table1[[#This Row],[YearsAtCompany]]&lt;=5,"3-5 Years",
Table1[[#This Row],[YearsAtCompany]]&lt;=10,"6-10 Years",
TRUE,"10+ Years")</f>
        <v>3-5 Years</v>
      </c>
    </row>
    <row r="1006" spans="1:41"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tr">
        <f t="shared" si="30"/>
        <v>Research</v>
      </c>
      <c r="AK1006">
        <f t="shared" si="31"/>
        <v>0</v>
      </c>
      <c r="AL1006">
        <f>IF(Table1[[#This Row],[Attrition]]="Yes", Table1[[#This Row],[MonthlyIncome]]*12*1.5, 0)</f>
        <v>0</v>
      </c>
      <c r="AM1006" t="str" cm="1">
        <f t="array" ref="AM1006">_xlfn.IFS(
Table1[[#This Row],[MonthlyIncome]]&lt;3000,"Under 3K",
Table1[[#This Row],[MonthlyIncome]]&lt;6000,"3K-6K",
Table1[[#This Row],[MonthlyIncome]]&lt;9000,"6K-9K",
Table1[[#This Row],[MonthlyIncome]]&lt;12000,"9K-12K",
TRUE,"12K+")</f>
        <v>3K-6K</v>
      </c>
      <c r="AN1006">
        <f>1</f>
        <v>1</v>
      </c>
      <c r="AO1006" t="str" cm="1">
        <f t="array" ref="AO1006">_xlfn.IFS(
Table1[[#This Row],[YearsAtCompany]]&lt;=2,"0-2 Years",
Table1[[#This Row],[YearsAtCompany]]&lt;=5,"3-5 Years",
Table1[[#This Row],[YearsAtCompany]]&lt;=10,"6-10 Years",
TRUE,"10+ Years")</f>
        <v>6-10 Years</v>
      </c>
    </row>
    <row r="1007" spans="1:41"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tr">
        <f t="shared" si="30"/>
        <v>Human Resources</v>
      </c>
      <c r="AK1007">
        <f t="shared" si="31"/>
        <v>0</v>
      </c>
      <c r="AL1007">
        <f>IF(Table1[[#This Row],[Attrition]]="Yes", Table1[[#This Row],[MonthlyIncome]]*12*1.5, 0)</f>
        <v>0</v>
      </c>
      <c r="AM1007" t="str" cm="1">
        <f t="array" ref="AM1007">_xlfn.IFS(
Table1[[#This Row],[MonthlyIncome]]&lt;3000,"Under 3K",
Table1[[#This Row],[MonthlyIncome]]&lt;6000,"3K-6K",
Table1[[#This Row],[MonthlyIncome]]&lt;9000,"6K-9K",
Table1[[#This Row],[MonthlyIncome]]&lt;12000,"9K-12K",
TRUE,"12K+")</f>
        <v>6K-9K</v>
      </c>
      <c r="AN1007">
        <f>1</f>
        <v>1</v>
      </c>
      <c r="AO1007" t="str" cm="1">
        <f t="array" ref="AO1007">_xlfn.IFS(
Table1[[#This Row],[YearsAtCompany]]&lt;=2,"0-2 Years",
Table1[[#This Row],[YearsAtCompany]]&lt;=5,"3-5 Years",
Table1[[#This Row],[YearsAtCompany]]&lt;=10,"6-10 Years",
TRUE,"10+ Years")</f>
        <v>6-10 Years</v>
      </c>
    </row>
    <row r="1008" spans="1:41"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tr">
        <f t="shared" si="30"/>
        <v>Research</v>
      </c>
      <c r="AK1008">
        <f t="shared" si="31"/>
        <v>1</v>
      </c>
      <c r="AL1008">
        <f>IF(Table1[[#This Row],[Attrition]]="Yes", Table1[[#This Row],[MonthlyIncome]]*12*1.5, 0)</f>
        <v>77112</v>
      </c>
      <c r="AM1008" t="str" cm="1">
        <f t="array" ref="AM1008">_xlfn.IFS(
Table1[[#This Row],[MonthlyIncome]]&lt;3000,"Under 3K",
Table1[[#This Row],[MonthlyIncome]]&lt;6000,"3K-6K",
Table1[[#This Row],[MonthlyIncome]]&lt;9000,"6K-9K",
Table1[[#This Row],[MonthlyIncome]]&lt;12000,"9K-12K",
TRUE,"12K+")</f>
        <v>3K-6K</v>
      </c>
      <c r="AN1008">
        <f>1</f>
        <v>1</v>
      </c>
      <c r="AO1008" t="str" cm="1">
        <f t="array" ref="AO1008">_xlfn.IFS(
Table1[[#This Row],[YearsAtCompany]]&lt;=2,"0-2 Years",
Table1[[#This Row],[YearsAtCompany]]&lt;=5,"3-5 Years",
Table1[[#This Row],[YearsAtCompany]]&lt;=10,"6-10 Years",
TRUE,"10+ Years")</f>
        <v>3-5 Years</v>
      </c>
    </row>
    <row r="1009" spans="1:41"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tr">
        <f t="shared" si="30"/>
        <v>Healthcare</v>
      </c>
      <c r="AK1009">
        <f t="shared" si="31"/>
        <v>1</v>
      </c>
      <c r="AL1009">
        <f>IF(Table1[[#This Row],[Attrition]]="Yes", Table1[[#This Row],[MonthlyIncome]]*12*1.5, 0)</f>
        <v>135954</v>
      </c>
      <c r="AM1009" t="str" cm="1">
        <f t="array" ref="AM1009">_xlfn.IFS(
Table1[[#This Row],[MonthlyIncome]]&lt;3000,"Under 3K",
Table1[[#This Row],[MonthlyIncome]]&lt;6000,"3K-6K",
Table1[[#This Row],[MonthlyIncome]]&lt;9000,"6K-9K",
Table1[[#This Row],[MonthlyIncome]]&lt;12000,"9K-12K",
TRUE,"12K+")</f>
        <v>6K-9K</v>
      </c>
      <c r="AN1009">
        <f>1</f>
        <v>1</v>
      </c>
      <c r="AO1009" t="str" cm="1">
        <f t="array" ref="AO1009">_xlfn.IFS(
Table1[[#This Row],[YearsAtCompany]]&lt;=2,"0-2 Years",
Table1[[#This Row],[YearsAtCompany]]&lt;=5,"3-5 Years",
Table1[[#This Row],[YearsAtCompany]]&lt;=10,"6-10 Years",
TRUE,"10+ Years")</f>
        <v>6-10 Years</v>
      </c>
    </row>
    <row r="1010" spans="1:41"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tr">
        <f t="shared" si="30"/>
        <v>Research</v>
      </c>
      <c r="AK1010">
        <f t="shared" si="31"/>
        <v>0</v>
      </c>
      <c r="AL1010">
        <f>IF(Table1[[#This Row],[Attrition]]="Yes", Table1[[#This Row],[MonthlyIncome]]*12*1.5, 0)</f>
        <v>0</v>
      </c>
      <c r="AM1010" t="str" cm="1">
        <f t="array" ref="AM1010">_xlfn.IFS(
Table1[[#This Row],[MonthlyIncome]]&lt;3000,"Under 3K",
Table1[[#This Row],[MonthlyIncome]]&lt;6000,"3K-6K",
Table1[[#This Row],[MonthlyIncome]]&lt;9000,"6K-9K",
Table1[[#This Row],[MonthlyIncome]]&lt;12000,"9K-12K",
TRUE,"12K+")</f>
        <v>12K+</v>
      </c>
      <c r="AN1010">
        <f>1</f>
        <v>1</v>
      </c>
      <c r="AO1010" t="str" cm="1">
        <f t="array" ref="AO1010">_xlfn.IFS(
Table1[[#This Row],[YearsAtCompany]]&lt;=2,"0-2 Years",
Table1[[#This Row],[YearsAtCompany]]&lt;=5,"3-5 Years",
Table1[[#This Row],[YearsAtCompany]]&lt;=10,"6-10 Years",
TRUE,"10+ Years")</f>
        <v>10+ Years</v>
      </c>
    </row>
    <row r="1011" spans="1:41"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tr">
        <f t="shared" si="30"/>
        <v>Research</v>
      </c>
      <c r="AK1011">
        <f t="shared" si="31"/>
        <v>0</v>
      </c>
      <c r="AL1011">
        <f>IF(Table1[[#This Row],[Attrition]]="Yes", Table1[[#This Row],[MonthlyIncome]]*12*1.5, 0)</f>
        <v>0</v>
      </c>
      <c r="AM1011" t="str" cm="1">
        <f t="array" ref="AM1011">_xlfn.IFS(
Table1[[#This Row],[MonthlyIncome]]&lt;3000,"Under 3K",
Table1[[#This Row],[MonthlyIncome]]&lt;6000,"3K-6K",
Table1[[#This Row],[MonthlyIncome]]&lt;9000,"6K-9K",
Table1[[#This Row],[MonthlyIncome]]&lt;12000,"9K-12K",
TRUE,"12K+")</f>
        <v>12K+</v>
      </c>
      <c r="AN1011">
        <f>1</f>
        <v>1</v>
      </c>
      <c r="AO1011" t="str" cm="1">
        <f t="array" ref="AO1011">_xlfn.IFS(
Table1[[#This Row],[YearsAtCompany]]&lt;=2,"0-2 Years",
Table1[[#This Row],[YearsAtCompany]]&lt;=5,"3-5 Years",
Table1[[#This Row],[YearsAtCompany]]&lt;=10,"6-10 Years",
TRUE,"10+ Years")</f>
        <v>6-10 Years</v>
      </c>
    </row>
    <row r="1012" spans="1:41"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tr">
        <f t="shared" si="30"/>
        <v>Research</v>
      </c>
      <c r="AK1012">
        <f t="shared" si="31"/>
        <v>0</v>
      </c>
      <c r="AL1012">
        <f>IF(Table1[[#This Row],[Attrition]]="Yes", Table1[[#This Row],[MonthlyIncome]]*12*1.5, 0)</f>
        <v>0</v>
      </c>
      <c r="AM1012" t="str" cm="1">
        <f t="array" ref="AM1012">_xlfn.IFS(
Table1[[#This Row],[MonthlyIncome]]&lt;3000,"Under 3K",
Table1[[#This Row],[MonthlyIncome]]&lt;6000,"3K-6K",
Table1[[#This Row],[MonthlyIncome]]&lt;9000,"6K-9K",
Table1[[#This Row],[MonthlyIncome]]&lt;12000,"9K-12K",
TRUE,"12K+")</f>
        <v>12K+</v>
      </c>
      <c r="AN1012">
        <f>1</f>
        <v>1</v>
      </c>
      <c r="AO1012" t="str" cm="1">
        <f t="array" ref="AO1012">_xlfn.IFS(
Table1[[#This Row],[YearsAtCompany]]&lt;=2,"0-2 Years",
Table1[[#This Row],[YearsAtCompany]]&lt;=5,"3-5 Years",
Table1[[#This Row],[YearsAtCompany]]&lt;=10,"6-10 Years",
TRUE,"10+ Years")</f>
        <v>6-10 Years</v>
      </c>
    </row>
    <row r="1013" spans="1:41"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tr">
        <f t="shared" si="30"/>
        <v>Sales</v>
      </c>
      <c r="AK1013">
        <f t="shared" si="31"/>
        <v>0</v>
      </c>
      <c r="AL1013">
        <f>IF(Table1[[#This Row],[Attrition]]="Yes", Table1[[#This Row],[MonthlyIncome]]*12*1.5, 0)</f>
        <v>0</v>
      </c>
      <c r="AM1013" t="str" cm="1">
        <f t="array" ref="AM1013">_xlfn.IFS(
Table1[[#This Row],[MonthlyIncome]]&lt;3000,"Under 3K",
Table1[[#This Row],[MonthlyIncome]]&lt;6000,"3K-6K",
Table1[[#This Row],[MonthlyIncome]]&lt;9000,"6K-9K",
Table1[[#This Row],[MonthlyIncome]]&lt;12000,"9K-12K",
TRUE,"12K+")</f>
        <v>9K-12K</v>
      </c>
      <c r="AN1013">
        <f>1</f>
        <v>1</v>
      </c>
      <c r="AO1013" t="str" cm="1">
        <f t="array" ref="AO1013">_xlfn.IFS(
Table1[[#This Row],[YearsAtCompany]]&lt;=2,"0-2 Years",
Table1[[#This Row],[YearsAtCompany]]&lt;=5,"3-5 Years",
Table1[[#This Row],[YearsAtCompany]]&lt;=10,"6-10 Years",
TRUE,"10+ Years")</f>
        <v>3-5 Years</v>
      </c>
    </row>
    <row r="1014" spans="1:41"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tr">
        <f t="shared" si="30"/>
        <v>Sales</v>
      </c>
      <c r="AK1014">
        <f t="shared" si="31"/>
        <v>1</v>
      </c>
      <c r="AL1014">
        <f>IF(Table1[[#This Row],[Attrition]]="Yes", Table1[[#This Row],[MonthlyIncome]]*12*1.5, 0)</f>
        <v>24462</v>
      </c>
      <c r="AM1014" t="str" cm="1">
        <f t="array" ref="AM1014">_xlfn.IFS(
Table1[[#This Row],[MonthlyIncome]]&lt;3000,"Under 3K",
Table1[[#This Row],[MonthlyIncome]]&lt;6000,"3K-6K",
Table1[[#This Row],[MonthlyIncome]]&lt;9000,"6K-9K",
Table1[[#This Row],[MonthlyIncome]]&lt;12000,"9K-12K",
TRUE,"12K+")</f>
        <v>Under 3K</v>
      </c>
      <c r="AN1014">
        <f>1</f>
        <v>1</v>
      </c>
      <c r="AO1014" t="str" cm="1">
        <f t="array" ref="AO1014">_xlfn.IFS(
Table1[[#This Row],[YearsAtCompany]]&lt;=2,"0-2 Years",
Table1[[#This Row],[YearsAtCompany]]&lt;=5,"3-5 Years",
Table1[[#This Row],[YearsAtCompany]]&lt;=10,"6-10 Years",
TRUE,"10+ Years")</f>
        <v>0-2 Years</v>
      </c>
    </row>
    <row r="1015" spans="1:41"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tr">
        <f t="shared" si="30"/>
        <v>Sales</v>
      </c>
      <c r="AK1015">
        <f t="shared" si="31"/>
        <v>0</v>
      </c>
      <c r="AL1015">
        <f>IF(Table1[[#This Row],[Attrition]]="Yes", Table1[[#This Row],[MonthlyIncome]]*12*1.5, 0)</f>
        <v>0</v>
      </c>
      <c r="AM1015" t="str" cm="1">
        <f t="array" ref="AM1015">_xlfn.IFS(
Table1[[#This Row],[MonthlyIncome]]&lt;3000,"Under 3K",
Table1[[#This Row],[MonthlyIncome]]&lt;6000,"3K-6K",
Table1[[#This Row],[MonthlyIncome]]&lt;9000,"6K-9K",
Table1[[#This Row],[MonthlyIncome]]&lt;12000,"9K-12K",
TRUE,"12K+")</f>
        <v>3K-6K</v>
      </c>
      <c r="AN1015">
        <f>1</f>
        <v>1</v>
      </c>
      <c r="AO1015" t="str" cm="1">
        <f t="array" ref="AO1015">_xlfn.IFS(
Table1[[#This Row],[YearsAtCompany]]&lt;=2,"0-2 Years",
Table1[[#This Row],[YearsAtCompany]]&lt;=5,"3-5 Years",
Table1[[#This Row],[YearsAtCompany]]&lt;=10,"6-10 Years",
TRUE,"10+ Years")</f>
        <v>3-5 Years</v>
      </c>
    </row>
    <row r="1016" spans="1:41"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tr">
        <f t="shared" si="30"/>
        <v>Research</v>
      </c>
      <c r="AK1016">
        <f t="shared" si="31"/>
        <v>0</v>
      </c>
      <c r="AL1016">
        <f>IF(Table1[[#This Row],[Attrition]]="Yes", Table1[[#This Row],[MonthlyIncome]]*12*1.5, 0)</f>
        <v>0</v>
      </c>
      <c r="AM1016" t="str" cm="1">
        <f t="array" ref="AM1016">_xlfn.IFS(
Table1[[#This Row],[MonthlyIncome]]&lt;3000,"Under 3K",
Table1[[#This Row],[MonthlyIncome]]&lt;6000,"3K-6K",
Table1[[#This Row],[MonthlyIncome]]&lt;9000,"6K-9K",
Table1[[#This Row],[MonthlyIncome]]&lt;12000,"9K-12K",
TRUE,"12K+")</f>
        <v>12K+</v>
      </c>
      <c r="AN1016">
        <f>1</f>
        <v>1</v>
      </c>
      <c r="AO1016" t="str" cm="1">
        <f t="array" ref="AO1016">_xlfn.IFS(
Table1[[#This Row],[YearsAtCompany]]&lt;=2,"0-2 Years",
Table1[[#This Row],[YearsAtCompany]]&lt;=5,"3-5 Years",
Table1[[#This Row],[YearsAtCompany]]&lt;=10,"6-10 Years",
TRUE,"10+ Years")</f>
        <v>3-5 Years</v>
      </c>
    </row>
    <row r="1017" spans="1:41"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tr">
        <f t="shared" si="30"/>
        <v>Research</v>
      </c>
      <c r="AK1017">
        <f t="shared" si="31"/>
        <v>0</v>
      </c>
      <c r="AL1017">
        <f>IF(Table1[[#This Row],[Attrition]]="Yes", Table1[[#This Row],[MonthlyIncome]]*12*1.5, 0)</f>
        <v>0</v>
      </c>
      <c r="AM1017" t="str" cm="1">
        <f t="array" ref="AM1017">_xlfn.IFS(
Table1[[#This Row],[MonthlyIncome]]&lt;3000,"Under 3K",
Table1[[#This Row],[MonthlyIncome]]&lt;6000,"3K-6K",
Table1[[#This Row],[MonthlyIncome]]&lt;9000,"6K-9K",
Table1[[#This Row],[MonthlyIncome]]&lt;12000,"9K-12K",
TRUE,"12K+")</f>
        <v>Under 3K</v>
      </c>
      <c r="AN1017">
        <f>1</f>
        <v>1</v>
      </c>
      <c r="AO1017" t="str" cm="1">
        <f t="array" ref="AO1017">_xlfn.IFS(
Table1[[#This Row],[YearsAtCompany]]&lt;=2,"0-2 Years",
Table1[[#This Row],[YearsAtCompany]]&lt;=5,"3-5 Years",
Table1[[#This Row],[YearsAtCompany]]&lt;=10,"6-10 Years",
TRUE,"10+ Years")</f>
        <v>3-5 Years</v>
      </c>
    </row>
    <row r="1018" spans="1:41"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tr">
        <f t="shared" si="30"/>
        <v>Research</v>
      </c>
      <c r="AK1018">
        <f t="shared" si="31"/>
        <v>1</v>
      </c>
      <c r="AL1018">
        <f>IF(Table1[[#This Row],[Attrition]]="Yes", Table1[[#This Row],[MonthlyIncome]]*12*1.5, 0)</f>
        <v>22698</v>
      </c>
      <c r="AM1018" t="str" cm="1">
        <f t="array" ref="AM1018">_xlfn.IFS(
Table1[[#This Row],[MonthlyIncome]]&lt;3000,"Under 3K",
Table1[[#This Row],[MonthlyIncome]]&lt;6000,"3K-6K",
Table1[[#This Row],[MonthlyIncome]]&lt;9000,"6K-9K",
Table1[[#This Row],[MonthlyIncome]]&lt;12000,"9K-12K",
TRUE,"12K+")</f>
        <v>Under 3K</v>
      </c>
      <c r="AN1018">
        <f>1</f>
        <v>1</v>
      </c>
      <c r="AO1018" t="str" cm="1">
        <f t="array" ref="AO1018">_xlfn.IFS(
Table1[[#This Row],[YearsAtCompany]]&lt;=2,"0-2 Years",
Table1[[#This Row],[YearsAtCompany]]&lt;=5,"3-5 Years",
Table1[[#This Row],[YearsAtCompany]]&lt;=10,"6-10 Years",
TRUE,"10+ Years")</f>
        <v>0-2 Years</v>
      </c>
    </row>
    <row r="1019" spans="1:41"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tr">
        <f t="shared" si="30"/>
        <v>Research</v>
      </c>
      <c r="AK1019">
        <f t="shared" si="31"/>
        <v>0</v>
      </c>
      <c r="AL1019">
        <f>IF(Table1[[#This Row],[Attrition]]="Yes", Table1[[#This Row],[MonthlyIncome]]*12*1.5, 0)</f>
        <v>0</v>
      </c>
      <c r="AM1019" t="str" cm="1">
        <f t="array" ref="AM1019">_xlfn.IFS(
Table1[[#This Row],[MonthlyIncome]]&lt;3000,"Under 3K",
Table1[[#This Row],[MonthlyIncome]]&lt;6000,"3K-6K",
Table1[[#This Row],[MonthlyIncome]]&lt;9000,"6K-9K",
Table1[[#This Row],[MonthlyIncome]]&lt;12000,"9K-12K",
TRUE,"12K+")</f>
        <v>Under 3K</v>
      </c>
      <c r="AN1019">
        <f>1</f>
        <v>1</v>
      </c>
      <c r="AO1019" t="str" cm="1">
        <f t="array" ref="AO1019">_xlfn.IFS(
Table1[[#This Row],[YearsAtCompany]]&lt;=2,"0-2 Years",
Table1[[#This Row],[YearsAtCompany]]&lt;=5,"3-5 Years",
Table1[[#This Row],[YearsAtCompany]]&lt;=10,"6-10 Years",
TRUE,"10+ Years")</f>
        <v>3-5 Years</v>
      </c>
    </row>
    <row r="1020" spans="1:41"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tr">
        <f t="shared" si="30"/>
        <v>Research</v>
      </c>
      <c r="AK1020">
        <f t="shared" si="31"/>
        <v>0</v>
      </c>
      <c r="AL1020">
        <f>IF(Table1[[#This Row],[Attrition]]="Yes", Table1[[#This Row],[MonthlyIncome]]*12*1.5, 0)</f>
        <v>0</v>
      </c>
      <c r="AM1020" t="str" cm="1">
        <f t="array" ref="AM1020">_xlfn.IFS(
Table1[[#This Row],[MonthlyIncome]]&lt;3000,"Under 3K",
Table1[[#This Row],[MonthlyIncome]]&lt;6000,"3K-6K",
Table1[[#This Row],[MonthlyIncome]]&lt;9000,"6K-9K",
Table1[[#This Row],[MonthlyIncome]]&lt;12000,"9K-12K",
TRUE,"12K+")</f>
        <v>3K-6K</v>
      </c>
      <c r="AN1020">
        <f>1</f>
        <v>1</v>
      </c>
      <c r="AO1020" t="str" cm="1">
        <f t="array" ref="AO1020">_xlfn.IFS(
Table1[[#This Row],[YearsAtCompany]]&lt;=2,"0-2 Years",
Table1[[#This Row],[YearsAtCompany]]&lt;=5,"3-5 Years",
Table1[[#This Row],[YearsAtCompany]]&lt;=10,"6-10 Years",
TRUE,"10+ Years")</f>
        <v>6-10 Years</v>
      </c>
    </row>
    <row r="1021" spans="1:41"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tr">
        <f t="shared" si="30"/>
        <v>Sales</v>
      </c>
      <c r="AK1021">
        <f t="shared" si="31"/>
        <v>0</v>
      </c>
      <c r="AL1021">
        <f>IF(Table1[[#This Row],[Attrition]]="Yes", Table1[[#This Row],[MonthlyIncome]]*12*1.5, 0)</f>
        <v>0</v>
      </c>
      <c r="AM1021" t="str" cm="1">
        <f t="array" ref="AM1021">_xlfn.IFS(
Table1[[#This Row],[MonthlyIncome]]&lt;3000,"Under 3K",
Table1[[#This Row],[MonthlyIncome]]&lt;6000,"3K-6K",
Table1[[#This Row],[MonthlyIncome]]&lt;9000,"6K-9K",
Table1[[#This Row],[MonthlyIncome]]&lt;12000,"9K-12K",
TRUE,"12K+")</f>
        <v>3K-6K</v>
      </c>
      <c r="AN1021">
        <f>1</f>
        <v>1</v>
      </c>
      <c r="AO1021" t="str" cm="1">
        <f t="array" ref="AO1021">_xlfn.IFS(
Table1[[#This Row],[YearsAtCompany]]&lt;=2,"0-2 Years",
Table1[[#This Row],[YearsAtCompany]]&lt;=5,"3-5 Years",
Table1[[#This Row],[YearsAtCompany]]&lt;=10,"6-10 Years",
TRUE,"10+ Years")</f>
        <v>3-5 Years</v>
      </c>
    </row>
    <row r="1022" spans="1:41"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tr">
        <f t="shared" si="30"/>
        <v>Research</v>
      </c>
      <c r="AK1022">
        <f t="shared" si="31"/>
        <v>0</v>
      </c>
      <c r="AL1022">
        <f>IF(Table1[[#This Row],[Attrition]]="Yes", Table1[[#This Row],[MonthlyIncome]]*12*1.5, 0)</f>
        <v>0</v>
      </c>
      <c r="AM1022" t="str" cm="1">
        <f t="array" ref="AM1022">_xlfn.IFS(
Table1[[#This Row],[MonthlyIncome]]&lt;3000,"Under 3K",
Table1[[#This Row],[MonthlyIncome]]&lt;6000,"3K-6K",
Table1[[#This Row],[MonthlyIncome]]&lt;9000,"6K-9K",
Table1[[#This Row],[MonthlyIncome]]&lt;12000,"9K-12K",
TRUE,"12K+")</f>
        <v>3K-6K</v>
      </c>
      <c r="AN1022">
        <f>1</f>
        <v>1</v>
      </c>
      <c r="AO1022" t="str" cm="1">
        <f t="array" ref="AO1022">_xlfn.IFS(
Table1[[#This Row],[YearsAtCompany]]&lt;=2,"0-2 Years",
Table1[[#This Row],[YearsAtCompany]]&lt;=5,"3-5 Years",
Table1[[#This Row],[YearsAtCompany]]&lt;=10,"6-10 Years",
TRUE,"10+ Years")</f>
        <v>6-10 Years</v>
      </c>
    </row>
    <row r="1023" spans="1:41"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tr">
        <f t="shared" si="30"/>
        <v>Sales</v>
      </c>
      <c r="AK1023">
        <f t="shared" si="31"/>
        <v>1</v>
      </c>
      <c r="AL1023">
        <f>IF(Table1[[#This Row],[Attrition]]="Yes", Table1[[#This Row],[MonthlyIncome]]*12*1.5, 0)</f>
        <v>79200</v>
      </c>
      <c r="AM1023" t="str" cm="1">
        <f t="array" ref="AM1023">_xlfn.IFS(
Table1[[#This Row],[MonthlyIncome]]&lt;3000,"Under 3K",
Table1[[#This Row],[MonthlyIncome]]&lt;6000,"3K-6K",
Table1[[#This Row],[MonthlyIncome]]&lt;9000,"6K-9K",
Table1[[#This Row],[MonthlyIncome]]&lt;12000,"9K-12K",
TRUE,"12K+")</f>
        <v>3K-6K</v>
      </c>
      <c r="AN1023">
        <f>1</f>
        <v>1</v>
      </c>
      <c r="AO1023" t="str" cm="1">
        <f t="array" ref="AO1023">_xlfn.IFS(
Table1[[#This Row],[YearsAtCompany]]&lt;=2,"0-2 Years",
Table1[[#This Row],[YearsAtCompany]]&lt;=5,"3-5 Years",
Table1[[#This Row],[YearsAtCompany]]&lt;=10,"6-10 Years",
TRUE,"10+ Years")</f>
        <v>3-5 Years</v>
      </c>
    </row>
    <row r="1024" spans="1:41"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tr">
        <f t="shared" si="30"/>
        <v>Research</v>
      </c>
      <c r="AK1024">
        <f t="shared" si="31"/>
        <v>0</v>
      </c>
      <c r="AL1024">
        <f>IF(Table1[[#This Row],[Attrition]]="Yes", Table1[[#This Row],[MonthlyIncome]]*12*1.5, 0)</f>
        <v>0</v>
      </c>
      <c r="AM1024" t="str" cm="1">
        <f t="array" ref="AM1024">_xlfn.IFS(
Table1[[#This Row],[MonthlyIncome]]&lt;3000,"Under 3K",
Table1[[#This Row],[MonthlyIncome]]&lt;6000,"3K-6K",
Table1[[#This Row],[MonthlyIncome]]&lt;9000,"6K-9K",
Table1[[#This Row],[MonthlyIncome]]&lt;12000,"9K-12K",
TRUE,"12K+")</f>
        <v>3K-6K</v>
      </c>
      <c r="AN1024">
        <f>1</f>
        <v>1</v>
      </c>
      <c r="AO1024" t="str" cm="1">
        <f t="array" ref="AO1024">_xlfn.IFS(
Table1[[#This Row],[YearsAtCompany]]&lt;=2,"0-2 Years",
Table1[[#This Row],[YearsAtCompany]]&lt;=5,"3-5 Years",
Table1[[#This Row],[YearsAtCompany]]&lt;=10,"6-10 Years",
TRUE,"10+ Years")</f>
        <v>6-10 Years</v>
      </c>
    </row>
    <row r="1025" spans="1:41"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tr">
        <f t="shared" si="30"/>
        <v>Research</v>
      </c>
      <c r="AK1025">
        <f t="shared" si="31"/>
        <v>0</v>
      </c>
      <c r="AL1025">
        <f>IF(Table1[[#This Row],[Attrition]]="Yes", Table1[[#This Row],[MonthlyIncome]]*12*1.5, 0)</f>
        <v>0</v>
      </c>
      <c r="AM1025" t="str" cm="1">
        <f t="array" ref="AM1025">_xlfn.IFS(
Table1[[#This Row],[MonthlyIncome]]&lt;3000,"Under 3K",
Table1[[#This Row],[MonthlyIncome]]&lt;6000,"3K-6K",
Table1[[#This Row],[MonthlyIncome]]&lt;9000,"6K-9K",
Table1[[#This Row],[MonthlyIncome]]&lt;12000,"9K-12K",
TRUE,"12K+")</f>
        <v>Under 3K</v>
      </c>
      <c r="AN1025">
        <f>1</f>
        <v>1</v>
      </c>
      <c r="AO1025" t="str" cm="1">
        <f t="array" ref="AO1025">_xlfn.IFS(
Table1[[#This Row],[YearsAtCompany]]&lt;=2,"0-2 Years",
Table1[[#This Row],[YearsAtCompany]]&lt;=5,"3-5 Years",
Table1[[#This Row],[YearsAtCompany]]&lt;=10,"6-10 Years",
TRUE,"10+ Years")</f>
        <v>3-5 Years</v>
      </c>
    </row>
    <row r="1026" spans="1:41"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tr">
        <f t="shared" si="30"/>
        <v>Research</v>
      </c>
      <c r="AK1026">
        <f t="shared" si="31"/>
        <v>0</v>
      </c>
      <c r="AL1026">
        <f>IF(Table1[[#This Row],[Attrition]]="Yes", Table1[[#This Row],[MonthlyIncome]]*12*1.5, 0)</f>
        <v>0</v>
      </c>
      <c r="AM1026" t="str" cm="1">
        <f t="array" ref="AM1026">_xlfn.IFS(
Table1[[#This Row],[MonthlyIncome]]&lt;3000,"Under 3K",
Table1[[#This Row],[MonthlyIncome]]&lt;6000,"3K-6K",
Table1[[#This Row],[MonthlyIncome]]&lt;9000,"6K-9K",
Table1[[#This Row],[MonthlyIncome]]&lt;12000,"9K-12K",
TRUE,"12K+")</f>
        <v>12K+</v>
      </c>
      <c r="AN1026">
        <f>1</f>
        <v>1</v>
      </c>
      <c r="AO1026" t="str" cm="1">
        <f t="array" ref="AO1026">_xlfn.IFS(
Table1[[#This Row],[YearsAtCompany]]&lt;=2,"0-2 Years",
Table1[[#This Row],[YearsAtCompany]]&lt;=5,"3-5 Years",
Table1[[#This Row],[YearsAtCompany]]&lt;=10,"6-10 Years",
TRUE,"10+ Years")</f>
        <v>10+ Years</v>
      </c>
    </row>
    <row r="1027" spans="1:41"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tr">
        <f t="shared" ref="AJ1027:AJ1090" si="32">_xlfn.XLOOKUP(P1027, $AP$2:$AP$10,$AQ$2:$AQ$10)</f>
        <v>Sales</v>
      </c>
      <c r="AK1027">
        <f t="shared" ref="AK1027:AK1090" si="33">IF(B1027 ="Yes",1,0)</f>
        <v>0</v>
      </c>
      <c r="AL1027">
        <f>IF(Table1[[#This Row],[Attrition]]="Yes", Table1[[#This Row],[MonthlyIncome]]*12*1.5, 0)</f>
        <v>0</v>
      </c>
      <c r="AM1027" t="str" cm="1">
        <f t="array" ref="AM1027">_xlfn.IFS(
Table1[[#This Row],[MonthlyIncome]]&lt;3000,"Under 3K",
Table1[[#This Row],[MonthlyIncome]]&lt;6000,"3K-6K",
Table1[[#This Row],[MonthlyIncome]]&lt;9000,"6K-9K",
Table1[[#This Row],[MonthlyIncome]]&lt;12000,"9K-12K",
TRUE,"12K+")</f>
        <v>3K-6K</v>
      </c>
      <c r="AN1027">
        <f>1</f>
        <v>1</v>
      </c>
      <c r="AO1027" t="str" cm="1">
        <f t="array" ref="AO1027">_xlfn.IFS(
Table1[[#This Row],[YearsAtCompany]]&lt;=2,"0-2 Years",
Table1[[#This Row],[YearsAtCompany]]&lt;=5,"3-5 Years",
Table1[[#This Row],[YearsAtCompany]]&lt;=10,"6-10 Years",
TRUE,"10+ Years")</f>
        <v>3-5 Years</v>
      </c>
    </row>
    <row r="1028" spans="1:41"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tr">
        <f t="shared" si="32"/>
        <v>Sales</v>
      </c>
      <c r="AK1028">
        <f t="shared" si="33"/>
        <v>0</v>
      </c>
      <c r="AL1028">
        <f>IF(Table1[[#This Row],[Attrition]]="Yes", Table1[[#This Row],[MonthlyIncome]]*12*1.5, 0)</f>
        <v>0</v>
      </c>
      <c r="AM1028" t="str" cm="1">
        <f t="array" ref="AM1028">_xlfn.IFS(
Table1[[#This Row],[MonthlyIncome]]&lt;3000,"Under 3K",
Table1[[#This Row],[MonthlyIncome]]&lt;6000,"3K-6K",
Table1[[#This Row],[MonthlyIncome]]&lt;9000,"6K-9K",
Table1[[#This Row],[MonthlyIncome]]&lt;12000,"9K-12K",
TRUE,"12K+")</f>
        <v>9K-12K</v>
      </c>
      <c r="AN1028">
        <f>1</f>
        <v>1</v>
      </c>
      <c r="AO1028" t="str" cm="1">
        <f t="array" ref="AO1028">_xlfn.IFS(
Table1[[#This Row],[YearsAtCompany]]&lt;=2,"0-2 Years",
Table1[[#This Row],[YearsAtCompany]]&lt;=5,"3-5 Years",
Table1[[#This Row],[YearsAtCompany]]&lt;=10,"6-10 Years",
TRUE,"10+ Years")</f>
        <v>3-5 Years</v>
      </c>
    </row>
    <row r="1029" spans="1:41"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tr">
        <f t="shared" si="32"/>
        <v>Research</v>
      </c>
      <c r="AK1029">
        <f t="shared" si="33"/>
        <v>0</v>
      </c>
      <c r="AL1029">
        <f>IF(Table1[[#This Row],[Attrition]]="Yes", Table1[[#This Row],[MonthlyIncome]]*12*1.5, 0)</f>
        <v>0</v>
      </c>
      <c r="AM1029" t="str" cm="1">
        <f t="array" ref="AM1029">_xlfn.IFS(
Table1[[#This Row],[MonthlyIncome]]&lt;3000,"Under 3K",
Table1[[#This Row],[MonthlyIncome]]&lt;6000,"3K-6K",
Table1[[#This Row],[MonthlyIncome]]&lt;9000,"6K-9K",
Table1[[#This Row],[MonthlyIncome]]&lt;12000,"9K-12K",
TRUE,"12K+")</f>
        <v>3K-6K</v>
      </c>
      <c r="AN1029">
        <f>1</f>
        <v>1</v>
      </c>
      <c r="AO1029" t="str" cm="1">
        <f t="array" ref="AO1029">_xlfn.IFS(
Table1[[#This Row],[YearsAtCompany]]&lt;=2,"0-2 Years",
Table1[[#This Row],[YearsAtCompany]]&lt;=5,"3-5 Years",
Table1[[#This Row],[YearsAtCompany]]&lt;=10,"6-10 Years",
TRUE,"10+ Years")</f>
        <v>3-5 Years</v>
      </c>
    </row>
    <row r="1030" spans="1:41"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tr">
        <f t="shared" si="32"/>
        <v>Research</v>
      </c>
      <c r="AK1030">
        <f t="shared" si="33"/>
        <v>0</v>
      </c>
      <c r="AL1030">
        <f>IF(Table1[[#This Row],[Attrition]]="Yes", Table1[[#This Row],[MonthlyIncome]]*12*1.5, 0)</f>
        <v>0</v>
      </c>
      <c r="AM1030" t="str" cm="1">
        <f t="array" ref="AM1030">_xlfn.IFS(
Table1[[#This Row],[MonthlyIncome]]&lt;3000,"Under 3K",
Table1[[#This Row],[MonthlyIncome]]&lt;6000,"3K-6K",
Table1[[#This Row],[MonthlyIncome]]&lt;9000,"6K-9K",
Table1[[#This Row],[MonthlyIncome]]&lt;12000,"9K-12K",
TRUE,"12K+")</f>
        <v>Under 3K</v>
      </c>
      <c r="AN1030">
        <f>1</f>
        <v>1</v>
      </c>
      <c r="AO1030" t="str" cm="1">
        <f t="array" ref="AO1030">_xlfn.IFS(
Table1[[#This Row],[YearsAtCompany]]&lt;=2,"0-2 Years",
Table1[[#This Row],[YearsAtCompany]]&lt;=5,"3-5 Years",
Table1[[#This Row],[YearsAtCompany]]&lt;=10,"6-10 Years",
TRUE,"10+ Years")</f>
        <v>3-5 Years</v>
      </c>
    </row>
    <row r="1031" spans="1:41"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tr">
        <f t="shared" si="32"/>
        <v>Research</v>
      </c>
      <c r="AK1031">
        <f t="shared" si="33"/>
        <v>0</v>
      </c>
      <c r="AL1031">
        <f>IF(Table1[[#This Row],[Attrition]]="Yes", Table1[[#This Row],[MonthlyIncome]]*12*1.5, 0)</f>
        <v>0</v>
      </c>
      <c r="AM1031" t="str" cm="1">
        <f t="array" ref="AM1031">_xlfn.IFS(
Table1[[#This Row],[MonthlyIncome]]&lt;3000,"Under 3K",
Table1[[#This Row],[MonthlyIncome]]&lt;6000,"3K-6K",
Table1[[#This Row],[MonthlyIncome]]&lt;9000,"6K-9K",
Table1[[#This Row],[MonthlyIncome]]&lt;12000,"9K-12K",
TRUE,"12K+")</f>
        <v>3K-6K</v>
      </c>
      <c r="AN1031">
        <f>1</f>
        <v>1</v>
      </c>
      <c r="AO1031" t="str" cm="1">
        <f t="array" ref="AO1031">_xlfn.IFS(
Table1[[#This Row],[YearsAtCompany]]&lt;=2,"0-2 Years",
Table1[[#This Row],[YearsAtCompany]]&lt;=5,"3-5 Years",
Table1[[#This Row],[YearsAtCompany]]&lt;=10,"6-10 Years",
TRUE,"10+ Years")</f>
        <v>6-10 Years</v>
      </c>
    </row>
    <row r="1032" spans="1:41"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tr">
        <f t="shared" si="32"/>
        <v>Sales</v>
      </c>
      <c r="AK1032">
        <f t="shared" si="33"/>
        <v>0</v>
      </c>
      <c r="AL1032">
        <f>IF(Table1[[#This Row],[Attrition]]="Yes", Table1[[#This Row],[MonthlyIncome]]*12*1.5, 0)</f>
        <v>0</v>
      </c>
      <c r="AM1032" t="str" cm="1">
        <f t="array" ref="AM1032">_xlfn.IFS(
Table1[[#This Row],[MonthlyIncome]]&lt;3000,"Under 3K",
Table1[[#This Row],[MonthlyIncome]]&lt;6000,"3K-6K",
Table1[[#This Row],[MonthlyIncome]]&lt;9000,"6K-9K",
Table1[[#This Row],[MonthlyIncome]]&lt;12000,"9K-12K",
TRUE,"12K+")</f>
        <v>9K-12K</v>
      </c>
      <c r="AN1032">
        <f>1</f>
        <v>1</v>
      </c>
      <c r="AO1032" t="str" cm="1">
        <f t="array" ref="AO1032">_xlfn.IFS(
Table1[[#This Row],[YearsAtCompany]]&lt;=2,"0-2 Years",
Table1[[#This Row],[YearsAtCompany]]&lt;=5,"3-5 Years",
Table1[[#This Row],[YearsAtCompany]]&lt;=10,"6-10 Years",
TRUE,"10+ Years")</f>
        <v>10+ Years</v>
      </c>
    </row>
    <row r="1033" spans="1:41"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tr">
        <f t="shared" si="32"/>
        <v>Sales</v>
      </c>
      <c r="AK1033">
        <f t="shared" si="33"/>
        <v>1</v>
      </c>
      <c r="AL1033">
        <f>IF(Table1[[#This Row],[Attrition]]="Yes", Table1[[#This Row],[MonthlyIncome]]*12*1.5, 0)</f>
        <v>181728</v>
      </c>
      <c r="AM1033" t="str" cm="1">
        <f t="array" ref="AM1033">_xlfn.IFS(
Table1[[#This Row],[MonthlyIncome]]&lt;3000,"Under 3K",
Table1[[#This Row],[MonthlyIncome]]&lt;6000,"3K-6K",
Table1[[#This Row],[MonthlyIncome]]&lt;9000,"6K-9K",
Table1[[#This Row],[MonthlyIncome]]&lt;12000,"9K-12K",
TRUE,"12K+")</f>
        <v>9K-12K</v>
      </c>
      <c r="AN1033">
        <f>1</f>
        <v>1</v>
      </c>
      <c r="AO1033" t="str" cm="1">
        <f t="array" ref="AO1033">_xlfn.IFS(
Table1[[#This Row],[YearsAtCompany]]&lt;=2,"0-2 Years",
Table1[[#This Row],[YearsAtCompany]]&lt;=5,"3-5 Years",
Table1[[#This Row],[YearsAtCompany]]&lt;=10,"6-10 Years",
TRUE,"10+ Years")</f>
        <v>6-10 Years</v>
      </c>
    </row>
    <row r="1034" spans="1:41"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tr">
        <f t="shared" si="32"/>
        <v>Research</v>
      </c>
      <c r="AK1034">
        <f t="shared" si="33"/>
        <v>1</v>
      </c>
      <c r="AL1034">
        <f>IF(Table1[[#This Row],[Attrition]]="Yes", Table1[[#This Row],[MonthlyIncome]]*12*1.5, 0)</f>
        <v>65628</v>
      </c>
      <c r="AM1034" t="str" cm="1">
        <f t="array" ref="AM1034">_xlfn.IFS(
Table1[[#This Row],[MonthlyIncome]]&lt;3000,"Under 3K",
Table1[[#This Row],[MonthlyIncome]]&lt;6000,"3K-6K",
Table1[[#This Row],[MonthlyIncome]]&lt;9000,"6K-9K",
Table1[[#This Row],[MonthlyIncome]]&lt;12000,"9K-12K",
TRUE,"12K+")</f>
        <v>3K-6K</v>
      </c>
      <c r="AN1034">
        <f>1</f>
        <v>1</v>
      </c>
      <c r="AO1034" t="str" cm="1">
        <f t="array" ref="AO1034">_xlfn.IFS(
Table1[[#This Row],[YearsAtCompany]]&lt;=2,"0-2 Years",
Table1[[#This Row],[YearsAtCompany]]&lt;=5,"3-5 Years",
Table1[[#This Row],[YearsAtCompany]]&lt;=10,"6-10 Years",
TRUE,"10+ Years")</f>
        <v>0-2 Years</v>
      </c>
    </row>
    <row r="1035" spans="1:41"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tr">
        <f t="shared" si="32"/>
        <v>Operations</v>
      </c>
      <c r="AK1035">
        <f t="shared" si="33"/>
        <v>1</v>
      </c>
      <c r="AL1035">
        <f>IF(Table1[[#This Row],[Attrition]]="Yes", Table1[[#This Row],[MonthlyIncome]]*12*1.5, 0)</f>
        <v>134028</v>
      </c>
      <c r="AM1035" t="str" cm="1">
        <f t="array" ref="AM1035">_xlfn.IFS(
Table1[[#This Row],[MonthlyIncome]]&lt;3000,"Under 3K",
Table1[[#This Row],[MonthlyIncome]]&lt;6000,"3K-6K",
Table1[[#This Row],[MonthlyIncome]]&lt;9000,"6K-9K",
Table1[[#This Row],[MonthlyIncome]]&lt;12000,"9K-12K",
TRUE,"12K+")</f>
        <v>6K-9K</v>
      </c>
      <c r="AN1035">
        <f>1</f>
        <v>1</v>
      </c>
      <c r="AO1035" t="str" cm="1">
        <f t="array" ref="AO1035">_xlfn.IFS(
Table1[[#This Row],[YearsAtCompany]]&lt;=2,"0-2 Years",
Table1[[#This Row],[YearsAtCompany]]&lt;=5,"3-5 Years",
Table1[[#This Row],[YearsAtCompany]]&lt;=10,"6-10 Years",
TRUE,"10+ Years")</f>
        <v>6-10 Years</v>
      </c>
    </row>
    <row r="1036" spans="1:41"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tr">
        <f t="shared" si="32"/>
        <v>Healthcare</v>
      </c>
      <c r="AK1036">
        <f t="shared" si="33"/>
        <v>0</v>
      </c>
      <c r="AL1036">
        <f>IF(Table1[[#This Row],[Attrition]]="Yes", Table1[[#This Row],[MonthlyIncome]]*12*1.5, 0)</f>
        <v>0</v>
      </c>
      <c r="AM1036" t="str" cm="1">
        <f t="array" ref="AM1036">_xlfn.IFS(
Table1[[#This Row],[MonthlyIncome]]&lt;3000,"Under 3K",
Table1[[#This Row],[MonthlyIncome]]&lt;6000,"3K-6K",
Table1[[#This Row],[MonthlyIncome]]&lt;9000,"6K-9K",
Table1[[#This Row],[MonthlyIncome]]&lt;12000,"9K-12K",
TRUE,"12K+")</f>
        <v>9K-12K</v>
      </c>
      <c r="AN1036">
        <f>1</f>
        <v>1</v>
      </c>
      <c r="AO1036" t="str" cm="1">
        <f t="array" ref="AO1036">_xlfn.IFS(
Table1[[#This Row],[YearsAtCompany]]&lt;=2,"0-2 Years",
Table1[[#This Row],[YearsAtCompany]]&lt;=5,"3-5 Years",
Table1[[#This Row],[YearsAtCompany]]&lt;=10,"6-10 Years",
TRUE,"10+ Years")</f>
        <v>6-10 Years</v>
      </c>
    </row>
    <row r="1037" spans="1:41"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tr">
        <f t="shared" si="32"/>
        <v>Human Resources</v>
      </c>
      <c r="AK1037">
        <f t="shared" si="33"/>
        <v>0</v>
      </c>
      <c r="AL1037">
        <f>IF(Table1[[#This Row],[Attrition]]="Yes", Table1[[#This Row],[MonthlyIncome]]*12*1.5, 0)</f>
        <v>0</v>
      </c>
      <c r="AM1037" t="str" cm="1">
        <f t="array" ref="AM1037">_xlfn.IFS(
Table1[[#This Row],[MonthlyIncome]]&lt;3000,"Under 3K",
Table1[[#This Row],[MonthlyIncome]]&lt;6000,"3K-6K",
Table1[[#This Row],[MonthlyIncome]]&lt;9000,"6K-9K",
Table1[[#This Row],[MonthlyIncome]]&lt;12000,"9K-12K",
TRUE,"12K+")</f>
        <v>Under 3K</v>
      </c>
      <c r="AN1037">
        <f>1</f>
        <v>1</v>
      </c>
      <c r="AO1037" t="str" cm="1">
        <f t="array" ref="AO1037">_xlfn.IFS(
Table1[[#This Row],[YearsAtCompany]]&lt;=2,"0-2 Years",
Table1[[#This Row],[YearsAtCompany]]&lt;=5,"3-5 Years",
Table1[[#This Row],[YearsAtCompany]]&lt;=10,"6-10 Years",
TRUE,"10+ Years")</f>
        <v>3-5 Years</v>
      </c>
    </row>
    <row r="1038" spans="1:41"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tr">
        <f t="shared" si="32"/>
        <v>Research</v>
      </c>
      <c r="AK1038">
        <f t="shared" si="33"/>
        <v>1</v>
      </c>
      <c r="AL1038">
        <f>IF(Table1[[#This Row],[Attrition]]="Yes", Table1[[#This Row],[MonthlyIncome]]*12*1.5, 0)</f>
        <v>66996</v>
      </c>
      <c r="AM1038" t="str" cm="1">
        <f t="array" ref="AM1038">_xlfn.IFS(
Table1[[#This Row],[MonthlyIncome]]&lt;3000,"Under 3K",
Table1[[#This Row],[MonthlyIncome]]&lt;6000,"3K-6K",
Table1[[#This Row],[MonthlyIncome]]&lt;9000,"6K-9K",
Table1[[#This Row],[MonthlyIncome]]&lt;12000,"9K-12K",
TRUE,"12K+")</f>
        <v>3K-6K</v>
      </c>
      <c r="AN1038">
        <f>1</f>
        <v>1</v>
      </c>
      <c r="AO1038" t="str" cm="1">
        <f t="array" ref="AO1038">_xlfn.IFS(
Table1[[#This Row],[YearsAtCompany]]&lt;=2,"0-2 Years",
Table1[[#This Row],[YearsAtCompany]]&lt;=5,"3-5 Years",
Table1[[#This Row],[YearsAtCompany]]&lt;=10,"6-10 Years",
TRUE,"10+ Years")</f>
        <v>0-2 Years</v>
      </c>
    </row>
    <row r="1039" spans="1:41"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tr">
        <f t="shared" si="32"/>
        <v>Operations</v>
      </c>
      <c r="AK1039">
        <f t="shared" si="33"/>
        <v>0</v>
      </c>
      <c r="AL1039">
        <f>IF(Table1[[#This Row],[Attrition]]="Yes", Table1[[#This Row],[MonthlyIncome]]*12*1.5, 0)</f>
        <v>0</v>
      </c>
      <c r="AM1039" t="str" cm="1">
        <f t="array" ref="AM1039">_xlfn.IFS(
Table1[[#This Row],[MonthlyIncome]]&lt;3000,"Under 3K",
Table1[[#This Row],[MonthlyIncome]]&lt;6000,"3K-6K",
Table1[[#This Row],[MonthlyIncome]]&lt;9000,"6K-9K",
Table1[[#This Row],[MonthlyIncome]]&lt;12000,"9K-12K",
TRUE,"12K+")</f>
        <v>9K-12K</v>
      </c>
      <c r="AN1039">
        <f>1</f>
        <v>1</v>
      </c>
      <c r="AO1039" t="str" cm="1">
        <f t="array" ref="AO1039">_xlfn.IFS(
Table1[[#This Row],[YearsAtCompany]]&lt;=2,"0-2 Years",
Table1[[#This Row],[YearsAtCompany]]&lt;=5,"3-5 Years",
Table1[[#This Row],[YearsAtCompany]]&lt;=10,"6-10 Years",
TRUE,"10+ Years")</f>
        <v>3-5 Years</v>
      </c>
    </row>
    <row r="1040" spans="1:41"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tr">
        <f t="shared" si="32"/>
        <v>Sales</v>
      </c>
      <c r="AK1040">
        <f t="shared" si="33"/>
        <v>0</v>
      </c>
      <c r="AL1040">
        <f>IF(Table1[[#This Row],[Attrition]]="Yes", Table1[[#This Row],[MonthlyIncome]]*12*1.5, 0)</f>
        <v>0</v>
      </c>
      <c r="AM1040" t="str" cm="1">
        <f t="array" ref="AM1040">_xlfn.IFS(
Table1[[#This Row],[MonthlyIncome]]&lt;3000,"Under 3K",
Table1[[#This Row],[MonthlyIncome]]&lt;6000,"3K-6K",
Table1[[#This Row],[MonthlyIncome]]&lt;9000,"6K-9K",
Table1[[#This Row],[MonthlyIncome]]&lt;12000,"9K-12K",
TRUE,"12K+")</f>
        <v>3K-6K</v>
      </c>
      <c r="AN1040">
        <f>1</f>
        <v>1</v>
      </c>
      <c r="AO1040" t="str" cm="1">
        <f t="array" ref="AO1040">_xlfn.IFS(
Table1[[#This Row],[YearsAtCompany]]&lt;=2,"0-2 Years",
Table1[[#This Row],[YearsAtCompany]]&lt;=5,"3-5 Years",
Table1[[#This Row],[YearsAtCompany]]&lt;=10,"6-10 Years",
TRUE,"10+ Years")</f>
        <v>0-2 Years</v>
      </c>
    </row>
    <row r="1041" spans="1:41"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tr">
        <f t="shared" si="32"/>
        <v>Human Resources</v>
      </c>
      <c r="AK1041">
        <f t="shared" si="33"/>
        <v>1</v>
      </c>
      <c r="AL1041">
        <f>IF(Table1[[#This Row],[Attrition]]="Yes", Table1[[#This Row],[MonthlyIncome]]*12*1.5, 0)</f>
        <v>49356</v>
      </c>
      <c r="AM1041" t="str" cm="1">
        <f t="array" ref="AM1041">_xlfn.IFS(
Table1[[#This Row],[MonthlyIncome]]&lt;3000,"Under 3K",
Table1[[#This Row],[MonthlyIncome]]&lt;6000,"3K-6K",
Table1[[#This Row],[MonthlyIncome]]&lt;9000,"6K-9K",
Table1[[#This Row],[MonthlyIncome]]&lt;12000,"9K-12K",
TRUE,"12K+")</f>
        <v>Under 3K</v>
      </c>
      <c r="AN1041">
        <f>1</f>
        <v>1</v>
      </c>
      <c r="AO1041" t="str" cm="1">
        <f t="array" ref="AO1041">_xlfn.IFS(
Table1[[#This Row],[YearsAtCompany]]&lt;=2,"0-2 Years",
Table1[[#This Row],[YearsAtCompany]]&lt;=5,"3-5 Years",
Table1[[#This Row],[YearsAtCompany]]&lt;=10,"6-10 Years",
TRUE,"10+ Years")</f>
        <v>0-2 Years</v>
      </c>
    </row>
    <row r="1042" spans="1:41"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tr">
        <f t="shared" si="32"/>
        <v>Research</v>
      </c>
      <c r="AK1042">
        <f t="shared" si="33"/>
        <v>0</v>
      </c>
      <c r="AL1042">
        <f>IF(Table1[[#This Row],[Attrition]]="Yes", Table1[[#This Row],[MonthlyIncome]]*12*1.5, 0)</f>
        <v>0</v>
      </c>
      <c r="AM1042" t="str" cm="1">
        <f t="array" ref="AM1042">_xlfn.IFS(
Table1[[#This Row],[MonthlyIncome]]&lt;3000,"Under 3K",
Table1[[#This Row],[MonthlyIncome]]&lt;6000,"3K-6K",
Table1[[#This Row],[MonthlyIncome]]&lt;9000,"6K-9K",
Table1[[#This Row],[MonthlyIncome]]&lt;12000,"9K-12K",
TRUE,"12K+")</f>
        <v>12K+</v>
      </c>
      <c r="AN1042">
        <f>1</f>
        <v>1</v>
      </c>
      <c r="AO1042" t="str" cm="1">
        <f t="array" ref="AO1042">_xlfn.IFS(
Table1[[#This Row],[YearsAtCompany]]&lt;=2,"0-2 Years",
Table1[[#This Row],[YearsAtCompany]]&lt;=5,"3-5 Years",
Table1[[#This Row],[YearsAtCompany]]&lt;=10,"6-10 Years",
TRUE,"10+ Years")</f>
        <v>6-10 Years</v>
      </c>
    </row>
    <row r="1043" spans="1:41"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tr">
        <f t="shared" si="32"/>
        <v>Sales</v>
      </c>
      <c r="AK1043">
        <f t="shared" si="33"/>
        <v>0</v>
      </c>
      <c r="AL1043">
        <f>IF(Table1[[#This Row],[Attrition]]="Yes", Table1[[#This Row],[MonthlyIncome]]*12*1.5, 0)</f>
        <v>0</v>
      </c>
      <c r="AM1043" t="str" cm="1">
        <f t="array" ref="AM1043">_xlfn.IFS(
Table1[[#This Row],[MonthlyIncome]]&lt;3000,"Under 3K",
Table1[[#This Row],[MonthlyIncome]]&lt;6000,"3K-6K",
Table1[[#This Row],[MonthlyIncome]]&lt;9000,"6K-9K",
Table1[[#This Row],[MonthlyIncome]]&lt;12000,"9K-12K",
TRUE,"12K+")</f>
        <v>6K-9K</v>
      </c>
      <c r="AN1043">
        <f>1</f>
        <v>1</v>
      </c>
      <c r="AO1043" t="str" cm="1">
        <f t="array" ref="AO1043">_xlfn.IFS(
Table1[[#This Row],[YearsAtCompany]]&lt;=2,"0-2 Years",
Table1[[#This Row],[YearsAtCompany]]&lt;=5,"3-5 Years",
Table1[[#This Row],[YearsAtCompany]]&lt;=10,"6-10 Years",
TRUE,"10+ Years")</f>
        <v>3-5 Years</v>
      </c>
    </row>
    <row r="1044" spans="1:41"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tr">
        <f t="shared" si="32"/>
        <v>Research</v>
      </c>
      <c r="AK1044">
        <f t="shared" si="33"/>
        <v>0</v>
      </c>
      <c r="AL1044">
        <f>IF(Table1[[#This Row],[Attrition]]="Yes", Table1[[#This Row],[MonthlyIncome]]*12*1.5, 0)</f>
        <v>0</v>
      </c>
      <c r="AM1044" t="str" cm="1">
        <f t="array" ref="AM1044">_xlfn.IFS(
Table1[[#This Row],[MonthlyIncome]]&lt;3000,"Under 3K",
Table1[[#This Row],[MonthlyIncome]]&lt;6000,"3K-6K",
Table1[[#This Row],[MonthlyIncome]]&lt;9000,"6K-9K",
Table1[[#This Row],[MonthlyIncome]]&lt;12000,"9K-12K",
TRUE,"12K+")</f>
        <v>3K-6K</v>
      </c>
      <c r="AN1044">
        <f>1</f>
        <v>1</v>
      </c>
      <c r="AO1044" t="str" cm="1">
        <f t="array" ref="AO1044">_xlfn.IFS(
Table1[[#This Row],[YearsAtCompany]]&lt;=2,"0-2 Years",
Table1[[#This Row],[YearsAtCompany]]&lt;=5,"3-5 Years",
Table1[[#This Row],[YearsAtCompany]]&lt;=10,"6-10 Years",
TRUE,"10+ Years")</f>
        <v>3-5 Years</v>
      </c>
    </row>
    <row r="1045" spans="1:41"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tr">
        <f t="shared" si="32"/>
        <v>Research</v>
      </c>
      <c r="AK1045">
        <f t="shared" si="33"/>
        <v>0</v>
      </c>
      <c r="AL1045">
        <f>IF(Table1[[#This Row],[Attrition]]="Yes", Table1[[#This Row],[MonthlyIncome]]*12*1.5, 0)</f>
        <v>0</v>
      </c>
      <c r="AM1045" t="str" cm="1">
        <f t="array" ref="AM1045">_xlfn.IFS(
Table1[[#This Row],[MonthlyIncome]]&lt;3000,"Under 3K",
Table1[[#This Row],[MonthlyIncome]]&lt;6000,"3K-6K",
Table1[[#This Row],[MonthlyIncome]]&lt;9000,"6K-9K",
Table1[[#This Row],[MonthlyIncome]]&lt;12000,"9K-12K",
TRUE,"12K+")</f>
        <v>12K+</v>
      </c>
      <c r="AN1045">
        <f>1</f>
        <v>1</v>
      </c>
      <c r="AO1045" t="str" cm="1">
        <f t="array" ref="AO1045">_xlfn.IFS(
Table1[[#This Row],[YearsAtCompany]]&lt;=2,"0-2 Years",
Table1[[#This Row],[YearsAtCompany]]&lt;=5,"3-5 Years",
Table1[[#This Row],[YearsAtCompany]]&lt;=10,"6-10 Years",
TRUE,"10+ Years")</f>
        <v>6-10 Years</v>
      </c>
    </row>
    <row r="1046" spans="1:41"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tr">
        <f t="shared" si="32"/>
        <v>Healthcare</v>
      </c>
      <c r="AK1046">
        <f t="shared" si="33"/>
        <v>0</v>
      </c>
      <c r="AL1046">
        <f>IF(Table1[[#This Row],[Attrition]]="Yes", Table1[[#This Row],[MonthlyIncome]]*12*1.5, 0)</f>
        <v>0</v>
      </c>
      <c r="AM1046" t="str" cm="1">
        <f t="array" ref="AM1046">_xlfn.IFS(
Table1[[#This Row],[MonthlyIncome]]&lt;3000,"Under 3K",
Table1[[#This Row],[MonthlyIncome]]&lt;6000,"3K-6K",
Table1[[#This Row],[MonthlyIncome]]&lt;9000,"6K-9K",
Table1[[#This Row],[MonthlyIncome]]&lt;12000,"9K-12K",
TRUE,"12K+")</f>
        <v>6K-9K</v>
      </c>
      <c r="AN1046">
        <f>1</f>
        <v>1</v>
      </c>
      <c r="AO1046" t="str" cm="1">
        <f t="array" ref="AO1046">_xlfn.IFS(
Table1[[#This Row],[YearsAtCompany]]&lt;=2,"0-2 Years",
Table1[[#This Row],[YearsAtCompany]]&lt;=5,"3-5 Years",
Table1[[#This Row],[YearsAtCompany]]&lt;=10,"6-10 Years",
TRUE,"10+ Years")</f>
        <v>3-5 Years</v>
      </c>
    </row>
    <row r="1047" spans="1:41"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tr">
        <f t="shared" si="32"/>
        <v>Research</v>
      </c>
      <c r="AK1047">
        <f t="shared" si="33"/>
        <v>0</v>
      </c>
      <c r="AL1047">
        <f>IF(Table1[[#This Row],[Attrition]]="Yes", Table1[[#This Row],[MonthlyIncome]]*12*1.5, 0)</f>
        <v>0</v>
      </c>
      <c r="AM1047" t="str" cm="1">
        <f t="array" ref="AM1047">_xlfn.IFS(
Table1[[#This Row],[MonthlyIncome]]&lt;3000,"Under 3K",
Table1[[#This Row],[MonthlyIncome]]&lt;6000,"3K-6K",
Table1[[#This Row],[MonthlyIncome]]&lt;9000,"6K-9K",
Table1[[#This Row],[MonthlyIncome]]&lt;12000,"9K-12K",
TRUE,"12K+")</f>
        <v>Under 3K</v>
      </c>
      <c r="AN1047">
        <f>1</f>
        <v>1</v>
      </c>
      <c r="AO1047" t="str" cm="1">
        <f t="array" ref="AO1047">_xlfn.IFS(
Table1[[#This Row],[YearsAtCompany]]&lt;=2,"0-2 Years",
Table1[[#This Row],[YearsAtCompany]]&lt;=5,"3-5 Years",
Table1[[#This Row],[YearsAtCompany]]&lt;=10,"6-10 Years",
TRUE,"10+ Years")</f>
        <v>3-5 Years</v>
      </c>
    </row>
    <row r="1048" spans="1:41"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tr">
        <f t="shared" si="32"/>
        <v>Research</v>
      </c>
      <c r="AK1048">
        <f t="shared" si="33"/>
        <v>0</v>
      </c>
      <c r="AL1048">
        <f>IF(Table1[[#This Row],[Attrition]]="Yes", Table1[[#This Row],[MonthlyIncome]]*12*1.5, 0)</f>
        <v>0</v>
      </c>
      <c r="AM1048" t="str" cm="1">
        <f t="array" ref="AM1048">_xlfn.IFS(
Table1[[#This Row],[MonthlyIncome]]&lt;3000,"Under 3K",
Table1[[#This Row],[MonthlyIncome]]&lt;6000,"3K-6K",
Table1[[#This Row],[MonthlyIncome]]&lt;9000,"6K-9K",
Table1[[#This Row],[MonthlyIncome]]&lt;12000,"9K-12K",
TRUE,"12K+")</f>
        <v>3K-6K</v>
      </c>
      <c r="AN1048">
        <f>1</f>
        <v>1</v>
      </c>
      <c r="AO1048" t="str" cm="1">
        <f t="array" ref="AO1048">_xlfn.IFS(
Table1[[#This Row],[YearsAtCompany]]&lt;=2,"0-2 Years",
Table1[[#This Row],[YearsAtCompany]]&lt;=5,"3-5 Years",
Table1[[#This Row],[YearsAtCompany]]&lt;=10,"6-10 Years",
TRUE,"10+ Years")</f>
        <v>3-5 Years</v>
      </c>
    </row>
    <row r="1049" spans="1:41"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tr">
        <f t="shared" si="32"/>
        <v>Sales</v>
      </c>
      <c r="AK1049">
        <f t="shared" si="33"/>
        <v>0</v>
      </c>
      <c r="AL1049">
        <f>IF(Table1[[#This Row],[Attrition]]="Yes", Table1[[#This Row],[MonthlyIncome]]*12*1.5, 0)</f>
        <v>0</v>
      </c>
      <c r="AM1049" t="str" cm="1">
        <f t="array" ref="AM1049">_xlfn.IFS(
Table1[[#This Row],[MonthlyIncome]]&lt;3000,"Under 3K",
Table1[[#This Row],[MonthlyIncome]]&lt;6000,"3K-6K",
Table1[[#This Row],[MonthlyIncome]]&lt;9000,"6K-9K",
Table1[[#This Row],[MonthlyIncome]]&lt;12000,"9K-12K",
TRUE,"12K+")</f>
        <v>3K-6K</v>
      </c>
      <c r="AN1049">
        <f>1</f>
        <v>1</v>
      </c>
      <c r="AO1049" t="str" cm="1">
        <f t="array" ref="AO1049">_xlfn.IFS(
Table1[[#This Row],[YearsAtCompany]]&lt;=2,"0-2 Years",
Table1[[#This Row],[YearsAtCompany]]&lt;=5,"3-5 Years",
Table1[[#This Row],[YearsAtCompany]]&lt;=10,"6-10 Years",
TRUE,"10+ Years")</f>
        <v>3-5 Years</v>
      </c>
    </row>
    <row r="1050" spans="1:41"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tr">
        <f t="shared" si="32"/>
        <v>Sales</v>
      </c>
      <c r="AK1050">
        <f t="shared" si="33"/>
        <v>0</v>
      </c>
      <c r="AL1050">
        <f>IF(Table1[[#This Row],[Attrition]]="Yes", Table1[[#This Row],[MonthlyIncome]]*12*1.5, 0)</f>
        <v>0</v>
      </c>
      <c r="AM1050" t="str" cm="1">
        <f t="array" ref="AM1050">_xlfn.IFS(
Table1[[#This Row],[MonthlyIncome]]&lt;3000,"Under 3K",
Table1[[#This Row],[MonthlyIncome]]&lt;6000,"3K-6K",
Table1[[#This Row],[MonthlyIncome]]&lt;9000,"6K-9K",
Table1[[#This Row],[MonthlyIncome]]&lt;12000,"9K-12K",
TRUE,"12K+")</f>
        <v>3K-6K</v>
      </c>
      <c r="AN1050">
        <f>1</f>
        <v>1</v>
      </c>
      <c r="AO1050" t="str" cm="1">
        <f t="array" ref="AO1050">_xlfn.IFS(
Table1[[#This Row],[YearsAtCompany]]&lt;=2,"0-2 Years",
Table1[[#This Row],[YearsAtCompany]]&lt;=5,"3-5 Years",
Table1[[#This Row],[YearsAtCompany]]&lt;=10,"6-10 Years",
TRUE,"10+ Years")</f>
        <v>10+ Years</v>
      </c>
    </row>
    <row r="1051" spans="1:41"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tr">
        <f t="shared" si="32"/>
        <v>Sales</v>
      </c>
      <c r="AK1051">
        <f t="shared" si="33"/>
        <v>0</v>
      </c>
      <c r="AL1051">
        <f>IF(Table1[[#This Row],[Attrition]]="Yes", Table1[[#This Row],[MonthlyIncome]]*12*1.5, 0)</f>
        <v>0</v>
      </c>
      <c r="AM1051" t="str" cm="1">
        <f t="array" ref="AM1051">_xlfn.IFS(
Table1[[#This Row],[MonthlyIncome]]&lt;3000,"Under 3K",
Table1[[#This Row],[MonthlyIncome]]&lt;6000,"3K-6K",
Table1[[#This Row],[MonthlyIncome]]&lt;9000,"6K-9K",
Table1[[#This Row],[MonthlyIncome]]&lt;12000,"9K-12K",
TRUE,"12K+")</f>
        <v>3K-6K</v>
      </c>
      <c r="AN1051">
        <f>1</f>
        <v>1</v>
      </c>
      <c r="AO1051" t="str" cm="1">
        <f t="array" ref="AO1051">_xlfn.IFS(
Table1[[#This Row],[YearsAtCompany]]&lt;=2,"0-2 Years",
Table1[[#This Row],[YearsAtCompany]]&lt;=5,"3-5 Years",
Table1[[#This Row],[YearsAtCompany]]&lt;=10,"6-10 Years",
TRUE,"10+ Years")</f>
        <v>0-2 Years</v>
      </c>
    </row>
    <row r="1052" spans="1:41"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tr">
        <f t="shared" si="32"/>
        <v>Research</v>
      </c>
      <c r="AK1052">
        <f t="shared" si="33"/>
        <v>0</v>
      </c>
      <c r="AL1052">
        <f>IF(Table1[[#This Row],[Attrition]]="Yes", Table1[[#This Row],[MonthlyIncome]]*12*1.5, 0)</f>
        <v>0</v>
      </c>
      <c r="AM1052" t="str" cm="1">
        <f t="array" ref="AM1052">_xlfn.IFS(
Table1[[#This Row],[MonthlyIncome]]&lt;3000,"Under 3K",
Table1[[#This Row],[MonthlyIncome]]&lt;6000,"3K-6K",
Table1[[#This Row],[MonthlyIncome]]&lt;9000,"6K-9K",
Table1[[#This Row],[MonthlyIncome]]&lt;12000,"9K-12K",
TRUE,"12K+")</f>
        <v>3K-6K</v>
      </c>
      <c r="AN1052">
        <f>1</f>
        <v>1</v>
      </c>
      <c r="AO1052" t="str" cm="1">
        <f t="array" ref="AO1052">_xlfn.IFS(
Table1[[#This Row],[YearsAtCompany]]&lt;=2,"0-2 Years",
Table1[[#This Row],[YearsAtCompany]]&lt;=5,"3-5 Years",
Table1[[#This Row],[YearsAtCompany]]&lt;=10,"6-10 Years",
TRUE,"10+ Years")</f>
        <v>10+ Years</v>
      </c>
    </row>
    <row r="1053" spans="1:41"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tr">
        <f t="shared" si="32"/>
        <v>Sales</v>
      </c>
      <c r="AK1053">
        <f t="shared" si="33"/>
        <v>0</v>
      </c>
      <c r="AL1053">
        <f>IF(Table1[[#This Row],[Attrition]]="Yes", Table1[[#This Row],[MonthlyIncome]]*12*1.5, 0)</f>
        <v>0</v>
      </c>
      <c r="AM1053" t="str" cm="1">
        <f t="array" ref="AM1053">_xlfn.IFS(
Table1[[#This Row],[MonthlyIncome]]&lt;3000,"Under 3K",
Table1[[#This Row],[MonthlyIncome]]&lt;6000,"3K-6K",
Table1[[#This Row],[MonthlyIncome]]&lt;9000,"6K-9K",
Table1[[#This Row],[MonthlyIncome]]&lt;12000,"9K-12K",
TRUE,"12K+")</f>
        <v>3K-6K</v>
      </c>
      <c r="AN1053">
        <f>1</f>
        <v>1</v>
      </c>
      <c r="AO1053" t="str" cm="1">
        <f t="array" ref="AO1053">_xlfn.IFS(
Table1[[#This Row],[YearsAtCompany]]&lt;=2,"0-2 Years",
Table1[[#This Row],[YearsAtCompany]]&lt;=5,"3-5 Years",
Table1[[#This Row],[YearsAtCompany]]&lt;=10,"6-10 Years",
TRUE,"10+ Years")</f>
        <v>0-2 Years</v>
      </c>
    </row>
    <row r="1054" spans="1:41"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tr">
        <f t="shared" si="32"/>
        <v>Research</v>
      </c>
      <c r="AK1054">
        <f t="shared" si="33"/>
        <v>0</v>
      </c>
      <c r="AL1054">
        <f>IF(Table1[[#This Row],[Attrition]]="Yes", Table1[[#This Row],[MonthlyIncome]]*12*1.5, 0)</f>
        <v>0</v>
      </c>
      <c r="AM1054" t="str" cm="1">
        <f t="array" ref="AM1054">_xlfn.IFS(
Table1[[#This Row],[MonthlyIncome]]&lt;3000,"Under 3K",
Table1[[#This Row],[MonthlyIncome]]&lt;6000,"3K-6K",
Table1[[#This Row],[MonthlyIncome]]&lt;9000,"6K-9K",
Table1[[#This Row],[MonthlyIncome]]&lt;12000,"9K-12K",
TRUE,"12K+")</f>
        <v>Under 3K</v>
      </c>
      <c r="AN1054">
        <f>1</f>
        <v>1</v>
      </c>
      <c r="AO1054" t="str" cm="1">
        <f t="array" ref="AO1054">_xlfn.IFS(
Table1[[#This Row],[YearsAtCompany]]&lt;=2,"0-2 Years",
Table1[[#This Row],[YearsAtCompany]]&lt;=5,"3-5 Years",
Table1[[#This Row],[YearsAtCompany]]&lt;=10,"6-10 Years",
TRUE,"10+ Years")</f>
        <v>0-2 Years</v>
      </c>
    </row>
    <row r="1055" spans="1:41"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tr">
        <f t="shared" si="32"/>
        <v>Research</v>
      </c>
      <c r="AK1055">
        <f t="shared" si="33"/>
        <v>0</v>
      </c>
      <c r="AL1055">
        <f>IF(Table1[[#This Row],[Attrition]]="Yes", Table1[[#This Row],[MonthlyIncome]]*12*1.5, 0)</f>
        <v>0</v>
      </c>
      <c r="AM1055" t="str" cm="1">
        <f t="array" ref="AM1055">_xlfn.IFS(
Table1[[#This Row],[MonthlyIncome]]&lt;3000,"Under 3K",
Table1[[#This Row],[MonthlyIncome]]&lt;6000,"3K-6K",
Table1[[#This Row],[MonthlyIncome]]&lt;9000,"6K-9K",
Table1[[#This Row],[MonthlyIncome]]&lt;12000,"9K-12K",
TRUE,"12K+")</f>
        <v>3K-6K</v>
      </c>
      <c r="AN1055">
        <f>1</f>
        <v>1</v>
      </c>
      <c r="AO1055" t="str" cm="1">
        <f t="array" ref="AO1055">_xlfn.IFS(
Table1[[#This Row],[YearsAtCompany]]&lt;=2,"0-2 Years",
Table1[[#This Row],[YearsAtCompany]]&lt;=5,"3-5 Years",
Table1[[#This Row],[YearsAtCompany]]&lt;=10,"6-10 Years",
TRUE,"10+ Years")</f>
        <v>10+ Years</v>
      </c>
    </row>
    <row r="1056" spans="1:41"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tr">
        <f t="shared" si="32"/>
        <v>Healthcare</v>
      </c>
      <c r="AK1056">
        <f t="shared" si="33"/>
        <v>0</v>
      </c>
      <c r="AL1056">
        <f>IF(Table1[[#This Row],[Attrition]]="Yes", Table1[[#This Row],[MonthlyIncome]]*12*1.5, 0)</f>
        <v>0</v>
      </c>
      <c r="AM1056" t="str" cm="1">
        <f t="array" ref="AM1056">_xlfn.IFS(
Table1[[#This Row],[MonthlyIncome]]&lt;3000,"Under 3K",
Table1[[#This Row],[MonthlyIncome]]&lt;6000,"3K-6K",
Table1[[#This Row],[MonthlyIncome]]&lt;9000,"6K-9K",
Table1[[#This Row],[MonthlyIncome]]&lt;12000,"9K-12K",
TRUE,"12K+")</f>
        <v>9K-12K</v>
      </c>
      <c r="AN1056">
        <f>1</f>
        <v>1</v>
      </c>
      <c r="AO1056" t="str" cm="1">
        <f t="array" ref="AO1056">_xlfn.IFS(
Table1[[#This Row],[YearsAtCompany]]&lt;=2,"0-2 Years",
Table1[[#This Row],[YearsAtCompany]]&lt;=5,"3-5 Years",
Table1[[#This Row],[YearsAtCompany]]&lt;=10,"6-10 Years",
TRUE,"10+ Years")</f>
        <v>6-10 Years</v>
      </c>
    </row>
    <row r="1057" spans="1:41"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tr">
        <f t="shared" si="32"/>
        <v>Research</v>
      </c>
      <c r="AK1057">
        <f t="shared" si="33"/>
        <v>0</v>
      </c>
      <c r="AL1057">
        <f>IF(Table1[[#This Row],[Attrition]]="Yes", Table1[[#This Row],[MonthlyIncome]]*12*1.5, 0)</f>
        <v>0</v>
      </c>
      <c r="AM1057" t="str" cm="1">
        <f t="array" ref="AM1057">_xlfn.IFS(
Table1[[#This Row],[MonthlyIncome]]&lt;3000,"Under 3K",
Table1[[#This Row],[MonthlyIncome]]&lt;6000,"3K-6K",
Table1[[#This Row],[MonthlyIncome]]&lt;9000,"6K-9K",
Table1[[#This Row],[MonthlyIncome]]&lt;12000,"9K-12K",
TRUE,"12K+")</f>
        <v>12K+</v>
      </c>
      <c r="AN1057">
        <f>1</f>
        <v>1</v>
      </c>
      <c r="AO1057" t="str" cm="1">
        <f t="array" ref="AO1057">_xlfn.IFS(
Table1[[#This Row],[YearsAtCompany]]&lt;=2,"0-2 Years",
Table1[[#This Row],[YearsAtCompany]]&lt;=5,"3-5 Years",
Table1[[#This Row],[YearsAtCompany]]&lt;=10,"6-10 Years",
TRUE,"10+ Years")</f>
        <v>10+ Years</v>
      </c>
    </row>
    <row r="1058" spans="1:41"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tr">
        <f t="shared" si="32"/>
        <v>Sales</v>
      </c>
      <c r="AK1058">
        <f t="shared" si="33"/>
        <v>1</v>
      </c>
      <c r="AL1058">
        <f>IF(Table1[[#This Row],[Attrition]]="Yes", Table1[[#This Row],[MonthlyIncome]]*12*1.5, 0)</f>
        <v>52362</v>
      </c>
      <c r="AM1058" t="str" cm="1">
        <f t="array" ref="AM1058">_xlfn.IFS(
Table1[[#This Row],[MonthlyIncome]]&lt;3000,"Under 3K",
Table1[[#This Row],[MonthlyIncome]]&lt;6000,"3K-6K",
Table1[[#This Row],[MonthlyIncome]]&lt;9000,"6K-9K",
Table1[[#This Row],[MonthlyIncome]]&lt;12000,"9K-12K",
TRUE,"12K+")</f>
        <v>Under 3K</v>
      </c>
      <c r="AN1058">
        <f>1</f>
        <v>1</v>
      </c>
      <c r="AO1058" t="str" cm="1">
        <f t="array" ref="AO1058">_xlfn.IFS(
Table1[[#This Row],[YearsAtCompany]]&lt;=2,"0-2 Years",
Table1[[#This Row],[YearsAtCompany]]&lt;=5,"3-5 Years",
Table1[[#This Row],[YearsAtCompany]]&lt;=10,"6-10 Years",
TRUE,"10+ Years")</f>
        <v>3-5 Years</v>
      </c>
    </row>
    <row r="1059" spans="1:41"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tr">
        <f t="shared" si="32"/>
        <v>Sales</v>
      </c>
      <c r="AK1059">
        <f t="shared" si="33"/>
        <v>1</v>
      </c>
      <c r="AL1059">
        <f>IF(Table1[[#This Row],[Attrition]]="Yes", Table1[[#This Row],[MonthlyIncome]]*12*1.5, 0)</f>
        <v>103770</v>
      </c>
      <c r="AM1059" t="str" cm="1">
        <f t="array" ref="AM1059">_xlfn.IFS(
Table1[[#This Row],[MonthlyIncome]]&lt;3000,"Under 3K",
Table1[[#This Row],[MonthlyIncome]]&lt;6000,"3K-6K",
Table1[[#This Row],[MonthlyIncome]]&lt;9000,"6K-9K",
Table1[[#This Row],[MonthlyIncome]]&lt;12000,"9K-12K",
TRUE,"12K+")</f>
        <v>3K-6K</v>
      </c>
      <c r="AN1059">
        <f>1</f>
        <v>1</v>
      </c>
      <c r="AO1059" t="str" cm="1">
        <f t="array" ref="AO1059">_xlfn.IFS(
Table1[[#This Row],[YearsAtCompany]]&lt;=2,"0-2 Years",
Table1[[#This Row],[YearsAtCompany]]&lt;=5,"3-5 Years",
Table1[[#This Row],[YearsAtCompany]]&lt;=10,"6-10 Years",
TRUE,"10+ Years")</f>
        <v>3-5 Years</v>
      </c>
    </row>
    <row r="1060" spans="1:41"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tr">
        <f t="shared" si="32"/>
        <v>Sales</v>
      </c>
      <c r="AK1060">
        <f t="shared" si="33"/>
        <v>1</v>
      </c>
      <c r="AL1060">
        <f>IF(Table1[[#This Row],[Attrition]]="Yes", Table1[[#This Row],[MonthlyIncome]]*12*1.5, 0)</f>
        <v>82782</v>
      </c>
      <c r="AM1060" t="str" cm="1">
        <f t="array" ref="AM1060">_xlfn.IFS(
Table1[[#This Row],[MonthlyIncome]]&lt;3000,"Under 3K",
Table1[[#This Row],[MonthlyIncome]]&lt;6000,"3K-6K",
Table1[[#This Row],[MonthlyIncome]]&lt;9000,"6K-9K",
Table1[[#This Row],[MonthlyIncome]]&lt;12000,"9K-12K",
TRUE,"12K+")</f>
        <v>3K-6K</v>
      </c>
      <c r="AN1060">
        <f>1</f>
        <v>1</v>
      </c>
      <c r="AO1060" t="str" cm="1">
        <f t="array" ref="AO1060">_xlfn.IFS(
Table1[[#This Row],[YearsAtCompany]]&lt;=2,"0-2 Years",
Table1[[#This Row],[YearsAtCompany]]&lt;=5,"3-5 Years",
Table1[[#This Row],[YearsAtCompany]]&lt;=10,"6-10 Years",
TRUE,"10+ Years")</f>
        <v>10+ Years</v>
      </c>
    </row>
    <row r="1061" spans="1:41"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tr">
        <f t="shared" si="32"/>
        <v>Sales</v>
      </c>
      <c r="AK1061">
        <f t="shared" si="33"/>
        <v>0</v>
      </c>
      <c r="AL1061">
        <f>IF(Table1[[#This Row],[Attrition]]="Yes", Table1[[#This Row],[MonthlyIncome]]*12*1.5, 0)</f>
        <v>0</v>
      </c>
      <c r="AM1061" t="str" cm="1">
        <f t="array" ref="AM1061">_xlfn.IFS(
Table1[[#This Row],[MonthlyIncome]]&lt;3000,"Under 3K",
Table1[[#This Row],[MonthlyIncome]]&lt;6000,"3K-6K",
Table1[[#This Row],[MonthlyIncome]]&lt;9000,"6K-9K",
Table1[[#This Row],[MonthlyIncome]]&lt;12000,"9K-12K",
TRUE,"12K+")</f>
        <v>Under 3K</v>
      </c>
      <c r="AN1061">
        <f>1</f>
        <v>1</v>
      </c>
      <c r="AO1061" t="str" cm="1">
        <f t="array" ref="AO1061">_xlfn.IFS(
Table1[[#This Row],[YearsAtCompany]]&lt;=2,"0-2 Years",
Table1[[#This Row],[YearsAtCompany]]&lt;=5,"3-5 Years",
Table1[[#This Row],[YearsAtCompany]]&lt;=10,"6-10 Years",
TRUE,"10+ Years")</f>
        <v>0-2 Years</v>
      </c>
    </row>
    <row r="1062" spans="1:41"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tr">
        <f t="shared" si="32"/>
        <v>Research</v>
      </c>
      <c r="AK1062">
        <f t="shared" si="33"/>
        <v>1</v>
      </c>
      <c r="AL1062">
        <f>IF(Table1[[#This Row],[Attrition]]="Yes", Table1[[#This Row],[MonthlyIncome]]*12*1.5, 0)</f>
        <v>57096</v>
      </c>
      <c r="AM1062" t="str" cm="1">
        <f t="array" ref="AM1062">_xlfn.IFS(
Table1[[#This Row],[MonthlyIncome]]&lt;3000,"Under 3K",
Table1[[#This Row],[MonthlyIncome]]&lt;6000,"3K-6K",
Table1[[#This Row],[MonthlyIncome]]&lt;9000,"6K-9K",
Table1[[#This Row],[MonthlyIncome]]&lt;12000,"9K-12K",
TRUE,"12K+")</f>
        <v>3K-6K</v>
      </c>
      <c r="AN1062">
        <f>1</f>
        <v>1</v>
      </c>
      <c r="AO1062" t="str" cm="1">
        <f t="array" ref="AO1062">_xlfn.IFS(
Table1[[#This Row],[YearsAtCompany]]&lt;=2,"0-2 Years",
Table1[[#This Row],[YearsAtCompany]]&lt;=5,"3-5 Years",
Table1[[#This Row],[YearsAtCompany]]&lt;=10,"6-10 Years",
TRUE,"10+ Years")</f>
        <v>0-2 Years</v>
      </c>
    </row>
    <row r="1063" spans="1:41"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tr">
        <f t="shared" si="32"/>
        <v>Sales</v>
      </c>
      <c r="AK1063">
        <f t="shared" si="33"/>
        <v>0</v>
      </c>
      <c r="AL1063">
        <f>IF(Table1[[#This Row],[Attrition]]="Yes", Table1[[#This Row],[MonthlyIncome]]*12*1.5, 0)</f>
        <v>0</v>
      </c>
      <c r="AM1063" t="str" cm="1">
        <f t="array" ref="AM1063">_xlfn.IFS(
Table1[[#This Row],[MonthlyIncome]]&lt;3000,"Under 3K",
Table1[[#This Row],[MonthlyIncome]]&lt;6000,"3K-6K",
Table1[[#This Row],[MonthlyIncome]]&lt;9000,"6K-9K",
Table1[[#This Row],[MonthlyIncome]]&lt;12000,"9K-12K",
TRUE,"12K+")</f>
        <v>Under 3K</v>
      </c>
      <c r="AN1063">
        <f>1</f>
        <v>1</v>
      </c>
      <c r="AO1063" t="str" cm="1">
        <f t="array" ref="AO1063">_xlfn.IFS(
Table1[[#This Row],[YearsAtCompany]]&lt;=2,"0-2 Years",
Table1[[#This Row],[YearsAtCompany]]&lt;=5,"3-5 Years",
Table1[[#This Row],[YearsAtCompany]]&lt;=10,"6-10 Years",
TRUE,"10+ Years")</f>
        <v>0-2 Years</v>
      </c>
    </row>
    <row r="1064" spans="1:41"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tr">
        <f t="shared" si="32"/>
        <v>Operations</v>
      </c>
      <c r="AK1064">
        <f t="shared" si="33"/>
        <v>0</v>
      </c>
      <c r="AL1064">
        <f>IF(Table1[[#This Row],[Attrition]]="Yes", Table1[[#This Row],[MonthlyIncome]]*12*1.5, 0)</f>
        <v>0</v>
      </c>
      <c r="AM1064" t="str" cm="1">
        <f t="array" ref="AM1064">_xlfn.IFS(
Table1[[#This Row],[MonthlyIncome]]&lt;3000,"Under 3K",
Table1[[#This Row],[MonthlyIncome]]&lt;6000,"3K-6K",
Table1[[#This Row],[MonthlyIncome]]&lt;9000,"6K-9K",
Table1[[#This Row],[MonthlyIncome]]&lt;12000,"9K-12K",
TRUE,"12K+")</f>
        <v>9K-12K</v>
      </c>
      <c r="AN1064">
        <f>1</f>
        <v>1</v>
      </c>
      <c r="AO1064" t="str" cm="1">
        <f t="array" ref="AO1064">_xlfn.IFS(
Table1[[#This Row],[YearsAtCompany]]&lt;=2,"0-2 Years",
Table1[[#This Row],[YearsAtCompany]]&lt;=5,"3-5 Years",
Table1[[#This Row],[YearsAtCompany]]&lt;=10,"6-10 Years",
TRUE,"10+ Years")</f>
        <v>0-2 Years</v>
      </c>
    </row>
    <row r="1065" spans="1:41"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tr">
        <f t="shared" si="32"/>
        <v>Sales</v>
      </c>
      <c r="AK1065">
        <f t="shared" si="33"/>
        <v>0</v>
      </c>
      <c r="AL1065">
        <f>IF(Table1[[#This Row],[Attrition]]="Yes", Table1[[#This Row],[MonthlyIncome]]*12*1.5, 0)</f>
        <v>0</v>
      </c>
      <c r="AM1065" t="str" cm="1">
        <f t="array" ref="AM1065">_xlfn.IFS(
Table1[[#This Row],[MonthlyIncome]]&lt;3000,"Under 3K",
Table1[[#This Row],[MonthlyIncome]]&lt;6000,"3K-6K",
Table1[[#This Row],[MonthlyIncome]]&lt;9000,"6K-9K",
Table1[[#This Row],[MonthlyIncome]]&lt;12000,"9K-12K",
TRUE,"12K+")</f>
        <v>6K-9K</v>
      </c>
      <c r="AN1065">
        <f>1</f>
        <v>1</v>
      </c>
      <c r="AO1065" t="str" cm="1">
        <f t="array" ref="AO1065">_xlfn.IFS(
Table1[[#This Row],[YearsAtCompany]]&lt;=2,"0-2 Years",
Table1[[#This Row],[YearsAtCompany]]&lt;=5,"3-5 Years",
Table1[[#This Row],[YearsAtCompany]]&lt;=10,"6-10 Years",
TRUE,"10+ Years")</f>
        <v>6-10 Years</v>
      </c>
    </row>
    <row r="1066" spans="1:41"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tr">
        <f t="shared" si="32"/>
        <v>Human Resources</v>
      </c>
      <c r="AK1066">
        <f t="shared" si="33"/>
        <v>0</v>
      </c>
      <c r="AL1066">
        <f>IF(Table1[[#This Row],[Attrition]]="Yes", Table1[[#This Row],[MonthlyIncome]]*12*1.5, 0)</f>
        <v>0</v>
      </c>
      <c r="AM1066" t="str" cm="1">
        <f t="array" ref="AM1066">_xlfn.IFS(
Table1[[#This Row],[MonthlyIncome]]&lt;3000,"Under 3K",
Table1[[#This Row],[MonthlyIncome]]&lt;6000,"3K-6K",
Table1[[#This Row],[MonthlyIncome]]&lt;9000,"6K-9K",
Table1[[#This Row],[MonthlyIncome]]&lt;12000,"9K-12K",
TRUE,"12K+")</f>
        <v>Under 3K</v>
      </c>
      <c r="AN1066">
        <f>1</f>
        <v>1</v>
      </c>
      <c r="AO1066" t="str" cm="1">
        <f t="array" ref="AO1066">_xlfn.IFS(
Table1[[#This Row],[YearsAtCompany]]&lt;=2,"0-2 Years",
Table1[[#This Row],[YearsAtCompany]]&lt;=5,"3-5 Years",
Table1[[#This Row],[YearsAtCompany]]&lt;=10,"6-10 Years",
TRUE,"10+ Years")</f>
        <v>3-5 Years</v>
      </c>
    </row>
    <row r="1067" spans="1:41"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tr">
        <f t="shared" si="32"/>
        <v>Healthcare</v>
      </c>
      <c r="AK1067">
        <f t="shared" si="33"/>
        <v>0</v>
      </c>
      <c r="AL1067">
        <f>IF(Table1[[#This Row],[Attrition]]="Yes", Table1[[#This Row],[MonthlyIncome]]*12*1.5, 0)</f>
        <v>0</v>
      </c>
      <c r="AM1067" t="str" cm="1">
        <f t="array" ref="AM1067">_xlfn.IFS(
Table1[[#This Row],[MonthlyIncome]]&lt;3000,"Under 3K",
Table1[[#This Row],[MonthlyIncome]]&lt;6000,"3K-6K",
Table1[[#This Row],[MonthlyIncome]]&lt;9000,"6K-9K",
Table1[[#This Row],[MonthlyIncome]]&lt;12000,"9K-12K",
TRUE,"12K+")</f>
        <v>3K-6K</v>
      </c>
      <c r="AN1067">
        <f>1</f>
        <v>1</v>
      </c>
      <c r="AO1067" t="str" cm="1">
        <f t="array" ref="AO1067">_xlfn.IFS(
Table1[[#This Row],[YearsAtCompany]]&lt;=2,"0-2 Years",
Table1[[#This Row],[YearsAtCompany]]&lt;=5,"3-5 Years",
Table1[[#This Row],[YearsAtCompany]]&lt;=10,"6-10 Years",
TRUE,"10+ Years")</f>
        <v>3-5 Years</v>
      </c>
    </row>
    <row r="1068" spans="1:41"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tr">
        <f t="shared" si="32"/>
        <v>Research</v>
      </c>
      <c r="AK1068">
        <f t="shared" si="33"/>
        <v>0</v>
      </c>
      <c r="AL1068">
        <f>IF(Table1[[#This Row],[Attrition]]="Yes", Table1[[#This Row],[MonthlyIncome]]*12*1.5, 0)</f>
        <v>0</v>
      </c>
      <c r="AM1068" t="str" cm="1">
        <f t="array" ref="AM1068">_xlfn.IFS(
Table1[[#This Row],[MonthlyIncome]]&lt;3000,"Under 3K",
Table1[[#This Row],[MonthlyIncome]]&lt;6000,"3K-6K",
Table1[[#This Row],[MonthlyIncome]]&lt;9000,"6K-9K",
Table1[[#This Row],[MonthlyIncome]]&lt;12000,"9K-12K",
TRUE,"12K+")</f>
        <v>3K-6K</v>
      </c>
      <c r="AN1068">
        <f>1</f>
        <v>1</v>
      </c>
      <c r="AO1068" t="str" cm="1">
        <f t="array" ref="AO1068">_xlfn.IFS(
Table1[[#This Row],[YearsAtCompany]]&lt;=2,"0-2 Years",
Table1[[#This Row],[YearsAtCompany]]&lt;=5,"3-5 Years",
Table1[[#This Row],[YearsAtCompany]]&lt;=10,"6-10 Years",
TRUE,"10+ Years")</f>
        <v>3-5 Years</v>
      </c>
    </row>
    <row r="1069" spans="1:41"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tr">
        <f t="shared" si="32"/>
        <v>Sales</v>
      </c>
      <c r="AK1069">
        <f t="shared" si="33"/>
        <v>0</v>
      </c>
      <c r="AL1069">
        <f>IF(Table1[[#This Row],[Attrition]]="Yes", Table1[[#This Row],[MonthlyIncome]]*12*1.5, 0)</f>
        <v>0</v>
      </c>
      <c r="AM1069" t="str" cm="1">
        <f t="array" ref="AM1069">_xlfn.IFS(
Table1[[#This Row],[MonthlyIncome]]&lt;3000,"Under 3K",
Table1[[#This Row],[MonthlyIncome]]&lt;6000,"3K-6K",
Table1[[#This Row],[MonthlyIncome]]&lt;9000,"6K-9K",
Table1[[#This Row],[MonthlyIncome]]&lt;12000,"9K-12K",
TRUE,"12K+")</f>
        <v>3K-6K</v>
      </c>
      <c r="AN1069">
        <f>1</f>
        <v>1</v>
      </c>
      <c r="AO1069" t="str" cm="1">
        <f t="array" ref="AO1069">_xlfn.IFS(
Table1[[#This Row],[YearsAtCompany]]&lt;=2,"0-2 Years",
Table1[[#This Row],[YearsAtCompany]]&lt;=5,"3-5 Years",
Table1[[#This Row],[YearsAtCompany]]&lt;=10,"6-10 Years",
TRUE,"10+ Years")</f>
        <v>3-5 Years</v>
      </c>
    </row>
    <row r="1070" spans="1:41"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tr">
        <f t="shared" si="32"/>
        <v>Research</v>
      </c>
      <c r="AK1070">
        <f t="shared" si="33"/>
        <v>1</v>
      </c>
      <c r="AL1070">
        <f>IF(Table1[[#This Row],[Attrition]]="Yes", Table1[[#This Row],[MonthlyIncome]]*12*1.5, 0)</f>
        <v>46098</v>
      </c>
      <c r="AM1070" t="str" cm="1">
        <f t="array" ref="AM1070">_xlfn.IFS(
Table1[[#This Row],[MonthlyIncome]]&lt;3000,"Under 3K",
Table1[[#This Row],[MonthlyIncome]]&lt;6000,"3K-6K",
Table1[[#This Row],[MonthlyIncome]]&lt;9000,"6K-9K",
Table1[[#This Row],[MonthlyIncome]]&lt;12000,"9K-12K",
TRUE,"12K+")</f>
        <v>Under 3K</v>
      </c>
      <c r="AN1070">
        <f>1</f>
        <v>1</v>
      </c>
      <c r="AO1070" t="str" cm="1">
        <f t="array" ref="AO1070">_xlfn.IFS(
Table1[[#This Row],[YearsAtCompany]]&lt;=2,"0-2 Years",
Table1[[#This Row],[YearsAtCompany]]&lt;=5,"3-5 Years",
Table1[[#This Row],[YearsAtCompany]]&lt;=10,"6-10 Years",
TRUE,"10+ Years")</f>
        <v>0-2 Years</v>
      </c>
    </row>
    <row r="1071" spans="1:41"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tr">
        <f t="shared" si="32"/>
        <v>Research</v>
      </c>
      <c r="AK1071">
        <f t="shared" si="33"/>
        <v>0</v>
      </c>
      <c r="AL1071">
        <f>IF(Table1[[#This Row],[Attrition]]="Yes", Table1[[#This Row],[MonthlyIncome]]*12*1.5, 0)</f>
        <v>0</v>
      </c>
      <c r="AM1071" t="str" cm="1">
        <f t="array" ref="AM1071">_xlfn.IFS(
Table1[[#This Row],[MonthlyIncome]]&lt;3000,"Under 3K",
Table1[[#This Row],[MonthlyIncome]]&lt;6000,"3K-6K",
Table1[[#This Row],[MonthlyIncome]]&lt;9000,"6K-9K",
Table1[[#This Row],[MonthlyIncome]]&lt;12000,"9K-12K",
TRUE,"12K+")</f>
        <v>Under 3K</v>
      </c>
      <c r="AN1071">
        <f>1</f>
        <v>1</v>
      </c>
      <c r="AO1071" t="str" cm="1">
        <f t="array" ref="AO1071">_xlfn.IFS(
Table1[[#This Row],[YearsAtCompany]]&lt;=2,"0-2 Years",
Table1[[#This Row],[YearsAtCompany]]&lt;=5,"3-5 Years",
Table1[[#This Row],[YearsAtCompany]]&lt;=10,"6-10 Years",
TRUE,"10+ Years")</f>
        <v>0-2 Years</v>
      </c>
    </row>
    <row r="1072" spans="1:41"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tr">
        <f t="shared" si="32"/>
        <v>Sales</v>
      </c>
      <c r="AK1072">
        <f t="shared" si="33"/>
        <v>0</v>
      </c>
      <c r="AL1072">
        <f>IF(Table1[[#This Row],[Attrition]]="Yes", Table1[[#This Row],[MonthlyIncome]]*12*1.5, 0)</f>
        <v>0</v>
      </c>
      <c r="AM1072" t="str" cm="1">
        <f t="array" ref="AM1072">_xlfn.IFS(
Table1[[#This Row],[MonthlyIncome]]&lt;3000,"Under 3K",
Table1[[#This Row],[MonthlyIncome]]&lt;6000,"3K-6K",
Table1[[#This Row],[MonthlyIncome]]&lt;9000,"6K-9K",
Table1[[#This Row],[MonthlyIncome]]&lt;12000,"9K-12K",
TRUE,"12K+")</f>
        <v>3K-6K</v>
      </c>
      <c r="AN1072">
        <f>1</f>
        <v>1</v>
      </c>
      <c r="AO1072" t="str" cm="1">
        <f t="array" ref="AO1072">_xlfn.IFS(
Table1[[#This Row],[YearsAtCompany]]&lt;=2,"0-2 Years",
Table1[[#This Row],[YearsAtCompany]]&lt;=5,"3-5 Years",
Table1[[#This Row],[YearsAtCompany]]&lt;=10,"6-10 Years",
TRUE,"10+ Years")</f>
        <v>3-5 Years</v>
      </c>
    </row>
    <row r="1073" spans="1:41"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tr">
        <f t="shared" si="32"/>
        <v>Research</v>
      </c>
      <c r="AK1073">
        <f t="shared" si="33"/>
        <v>0</v>
      </c>
      <c r="AL1073">
        <f>IF(Table1[[#This Row],[Attrition]]="Yes", Table1[[#This Row],[MonthlyIncome]]*12*1.5, 0)</f>
        <v>0</v>
      </c>
      <c r="AM1073" t="str" cm="1">
        <f t="array" ref="AM1073">_xlfn.IFS(
Table1[[#This Row],[MonthlyIncome]]&lt;3000,"Under 3K",
Table1[[#This Row],[MonthlyIncome]]&lt;6000,"3K-6K",
Table1[[#This Row],[MonthlyIncome]]&lt;9000,"6K-9K",
Table1[[#This Row],[MonthlyIncome]]&lt;12000,"9K-12K",
TRUE,"12K+")</f>
        <v>3K-6K</v>
      </c>
      <c r="AN1073">
        <f>1</f>
        <v>1</v>
      </c>
      <c r="AO1073" t="str" cm="1">
        <f t="array" ref="AO1073">_xlfn.IFS(
Table1[[#This Row],[YearsAtCompany]]&lt;=2,"0-2 Years",
Table1[[#This Row],[YearsAtCompany]]&lt;=5,"3-5 Years",
Table1[[#This Row],[YearsAtCompany]]&lt;=10,"6-10 Years",
TRUE,"10+ Years")</f>
        <v>3-5 Years</v>
      </c>
    </row>
    <row r="1074" spans="1:41"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tr">
        <f t="shared" si="32"/>
        <v>Research</v>
      </c>
      <c r="AK1074">
        <f t="shared" si="33"/>
        <v>0</v>
      </c>
      <c r="AL1074">
        <f>IF(Table1[[#This Row],[Attrition]]="Yes", Table1[[#This Row],[MonthlyIncome]]*12*1.5, 0)</f>
        <v>0</v>
      </c>
      <c r="AM1074" t="str" cm="1">
        <f t="array" ref="AM1074">_xlfn.IFS(
Table1[[#This Row],[MonthlyIncome]]&lt;3000,"Under 3K",
Table1[[#This Row],[MonthlyIncome]]&lt;6000,"3K-6K",
Table1[[#This Row],[MonthlyIncome]]&lt;9000,"6K-9K",
Table1[[#This Row],[MonthlyIncome]]&lt;12000,"9K-12K",
TRUE,"12K+")</f>
        <v>3K-6K</v>
      </c>
      <c r="AN1074">
        <f>1</f>
        <v>1</v>
      </c>
      <c r="AO1074" t="str" cm="1">
        <f t="array" ref="AO1074">_xlfn.IFS(
Table1[[#This Row],[YearsAtCompany]]&lt;=2,"0-2 Years",
Table1[[#This Row],[YearsAtCompany]]&lt;=5,"3-5 Years",
Table1[[#This Row],[YearsAtCompany]]&lt;=10,"6-10 Years",
TRUE,"10+ Years")</f>
        <v>3-5 Years</v>
      </c>
    </row>
    <row r="1075" spans="1:41"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tr">
        <f t="shared" si="32"/>
        <v>Operations</v>
      </c>
      <c r="AK1075">
        <f t="shared" si="33"/>
        <v>0</v>
      </c>
      <c r="AL1075">
        <f>IF(Table1[[#This Row],[Attrition]]="Yes", Table1[[#This Row],[MonthlyIncome]]*12*1.5, 0)</f>
        <v>0</v>
      </c>
      <c r="AM1075" t="str" cm="1">
        <f t="array" ref="AM1075">_xlfn.IFS(
Table1[[#This Row],[MonthlyIncome]]&lt;3000,"Under 3K",
Table1[[#This Row],[MonthlyIncome]]&lt;6000,"3K-6K",
Table1[[#This Row],[MonthlyIncome]]&lt;9000,"6K-9K",
Table1[[#This Row],[MonthlyIncome]]&lt;12000,"9K-12K",
TRUE,"12K+")</f>
        <v>6K-9K</v>
      </c>
      <c r="AN1075">
        <f>1</f>
        <v>1</v>
      </c>
      <c r="AO1075" t="str" cm="1">
        <f t="array" ref="AO1075">_xlfn.IFS(
Table1[[#This Row],[YearsAtCompany]]&lt;=2,"0-2 Years",
Table1[[#This Row],[YearsAtCompany]]&lt;=5,"3-5 Years",
Table1[[#This Row],[YearsAtCompany]]&lt;=10,"6-10 Years",
TRUE,"10+ Years")</f>
        <v>6-10 Years</v>
      </c>
    </row>
    <row r="1076" spans="1:41"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tr">
        <f t="shared" si="32"/>
        <v>Healthcare</v>
      </c>
      <c r="AK1076">
        <f t="shared" si="33"/>
        <v>0</v>
      </c>
      <c r="AL1076">
        <f>IF(Table1[[#This Row],[Attrition]]="Yes", Table1[[#This Row],[MonthlyIncome]]*12*1.5, 0)</f>
        <v>0</v>
      </c>
      <c r="AM1076" t="str" cm="1">
        <f t="array" ref="AM1076">_xlfn.IFS(
Table1[[#This Row],[MonthlyIncome]]&lt;3000,"Under 3K",
Table1[[#This Row],[MonthlyIncome]]&lt;6000,"3K-6K",
Table1[[#This Row],[MonthlyIncome]]&lt;9000,"6K-9K",
Table1[[#This Row],[MonthlyIncome]]&lt;12000,"9K-12K",
TRUE,"12K+")</f>
        <v>6K-9K</v>
      </c>
      <c r="AN1076">
        <f>1</f>
        <v>1</v>
      </c>
      <c r="AO1076" t="str" cm="1">
        <f t="array" ref="AO1076">_xlfn.IFS(
Table1[[#This Row],[YearsAtCompany]]&lt;=2,"0-2 Years",
Table1[[#This Row],[YearsAtCompany]]&lt;=5,"3-5 Years",
Table1[[#This Row],[YearsAtCompany]]&lt;=10,"6-10 Years",
TRUE,"10+ Years")</f>
        <v>0-2 Years</v>
      </c>
    </row>
    <row r="1077" spans="1:41"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tr">
        <f t="shared" si="32"/>
        <v>Management</v>
      </c>
      <c r="AK1077">
        <f t="shared" si="33"/>
        <v>0</v>
      </c>
      <c r="AL1077">
        <f>IF(Table1[[#This Row],[Attrition]]="Yes", Table1[[#This Row],[MonthlyIncome]]*12*1.5, 0)</f>
        <v>0</v>
      </c>
      <c r="AM1077" t="str" cm="1">
        <f t="array" ref="AM1077">_xlfn.IFS(
Table1[[#This Row],[MonthlyIncome]]&lt;3000,"Under 3K",
Table1[[#This Row],[MonthlyIncome]]&lt;6000,"3K-6K",
Table1[[#This Row],[MonthlyIncome]]&lt;9000,"6K-9K",
Table1[[#This Row],[MonthlyIncome]]&lt;12000,"9K-12K",
TRUE,"12K+")</f>
        <v>9K-12K</v>
      </c>
      <c r="AN1077">
        <f>1</f>
        <v>1</v>
      </c>
      <c r="AO1077" t="str" cm="1">
        <f t="array" ref="AO1077">_xlfn.IFS(
Table1[[#This Row],[YearsAtCompany]]&lt;=2,"0-2 Years",
Table1[[#This Row],[YearsAtCompany]]&lt;=5,"3-5 Years",
Table1[[#This Row],[YearsAtCompany]]&lt;=10,"6-10 Years",
TRUE,"10+ Years")</f>
        <v>3-5 Years</v>
      </c>
    </row>
    <row r="1078" spans="1:41"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tr">
        <f t="shared" si="32"/>
        <v>Management</v>
      </c>
      <c r="AK1078">
        <f t="shared" si="33"/>
        <v>0</v>
      </c>
      <c r="AL1078">
        <f>IF(Table1[[#This Row],[Attrition]]="Yes", Table1[[#This Row],[MonthlyIncome]]*12*1.5, 0)</f>
        <v>0</v>
      </c>
      <c r="AM1078" t="str" cm="1">
        <f t="array" ref="AM1078">_xlfn.IFS(
Table1[[#This Row],[MonthlyIncome]]&lt;3000,"Under 3K",
Table1[[#This Row],[MonthlyIncome]]&lt;6000,"3K-6K",
Table1[[#This Row],[MonthlyIncome]]&lt;9000,"6K-9K",
Table1[[#This Row],[MonthlyIncome]]&lt;12000,"9K-12K",
TRUE,"12K+")</f>
        <v>12K+</v>
      </c>
      <c r="AN1078">
        <f>1</f>
        <v>1</v>
      </c>
      <c r="AO1078" t="str" cm="1">
        <f t="array" ref="AO1078">_xlfn.IFS(
Table1[[#This Row],[YearsAtCompany]]&lt;=2,"0-2 Years",
Table1[[#This Row],[YearsAtCompany]]&lt;=5,"3-5 Years",
Table1[[#This Row],[YearsAtCompany]]&lt;=10,"6-10 Years",
TRUE,"10+ Years")</f>
        <v>10+ Years</v>
      </c>
    </row>
    <row r="1079" spans="1:41"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tr">
        <f t="shared" si="32"/>
        <v>Research</v>
      </c>
      <c r="AK1079">
        <f t="shared" si="33"/>
        <v>1</v>
      </c>
      <c r="AL1079">
        <f>IF(Table1[[#This Row],[Attrition]]="Yes", Table1[[#This Row],[MonthlyIncome]]*12*1.5, 0)</f>
        <v>42516</v>
      </c>
      <c r="AM1079" t="str" cm="1">
        <f t="array" ref="AM1079">_xlfn.IFS(
Table1[[#This Row],[MonthlyIncome]]&lt;3000,"Under 3K",
Table1[[#This Row],[MonthlyIncome]]&lt;6000,"3K-6K",
Table1[[#This Row],[MonthlyIncome]]&lt;9000,"6K-9K",
Table1[[#This Row],[MonthlyIncome]]&lt;12000,"9K-12K",
TRUE,"12K+")</f>
        <v>Under 3K</v>
      </c>
      <c r="AN1079">
        <f>1</f>
        <v>1</v>
      </c>
      <c r="AO1079" t="str" cm="1">
        <f t="array" ref="AO1079">_xlfn.IFS(
Table1[[#This Row],[YearsAtCompany]]&lt;=2,"0-2 Years",
Table1[[#This Row],[YearsAtCompany]]&lt;=5,"3-5 Years",
Table1[[#This Row],[YearsAtCompany]]&lt;=10,"6-10 Years",
TRUE,"10+ Years")</f>
        <v>6-10 Years</v>
      </c>
    </row>
    <row r="1080" spans="1:41"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tr">
        <f t="shared" si="32"/>
        <v>Research</v>
      </c>
      <c r="AK1080">
        <f t="shared" si="33"/>
        <v>0</v>
      </c>
      <c r="AL1080">
        <f>IF(Table1[[#This Row],[Attrition]]="Yes", Table1[[#This Row],[MonthlyIncome]]*12*1.5, 0)</f>
        <v>0</v>
      </c>
      <c r="AM1080" t="str" cm="1">
        <f t="array" ref="AM1080">_xlfn.IFS(
Table1[[#This Row],[MonthlyIncome]]&lt;3000,"Under 3K",
Table1[[#This Row],[MonthlyIncome]]&lt;6000,"3K-6K",
Table1[[#This Row],[MonthlyIncome]]&lt;9000,"6K-9K",
Table1[[#This Row],[MonthlyIncome]]&lt;12000,"9K-12K",
TRUE,"12K+")</f>
        <v>12K+</v>
      </c>
      <c r="AN1080">
        <f>1</f>
        <v>1</v>
      </c>
      <c r="AO1080" t="str" cm="1">
        <f t="array" ref="AO1080">_xlfn.IFS(
Table1[[#This Row],[YearsAtCompany]]&lt;=2,"0-2 Years",
Table1[[#This Row],[YearsAtCompany]]&lt;=5,"3-5 Years",
Table1[[#This Row],[YearsAtCompany]]&lt;=10,"6-10 Years",
TRUE,"10+ Years")</f>
        <v>10+ Years</v>
      </c>
    </row>
    <row r="1081" spans="1:41"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tr">
        <f t="shared" si="32"/>
        <v>Operations</v>
      </c>
      <c r="AK1081">
        <f t="shared" si="33"/>
        <v>0</v>
      </c>
      <c r="AL1081">
        <f>IF(Table1[[#This Row],[Attrition]]="Yes", Table1[[#This Row],[MonthlyIncome]]*12*1.5, 0)</f>
        <v>0</v>
      </c>
      <c r="AM1081" t="str" cm="1">
        <f t="array" ref="AM1081">_xlfn.IFS(
Table1[[#This Row],[MonthlyIncome]]&lt;3000,"Under 3K",
Table1[[#This Row],[MonthlyIncome]]&lt;6000,"3K-6K",
Table1[[#This Row],[MonthlyIncome]]&lt;9000,"6K-9K",
Table1[[#This Row],[MonthlyIncome]]&lt;12000,"9K-12K",
TRUE,"12K+")</f>
        <v>6K-9K</v>
      </c>
      <c r="AN1081">
        <f>1</f>
        <v>1</v>
      </c>
      <c r="AO1081" t="str" cm="1">
        <f t="array" ref="AO1081">_xlfn.IFS(
Table1[[#This Row],[YearsAtCompany]]&lt;=2,"0-2 Years",
Table1[[#This Row],[YearsAtCompany]]&lt;=5,"3-5 Years",
Table1[[#This Row],[YearsAtCompany]]&lt;=10,"6-10 Years",
TRUE,"10+ Years")</f>
        <v>0-2 Years</v>
      </c>
    </row>
    <row r="1082" spans="1:41"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tr">
        <f t="shared" si="32"/>
        <v>Management</v>
      </c>
      <c r="AK1082">
        <f t="shared" si="33"/>
        <v>0</v>
      </c>
      <c r="AL1082">
        <f>IF(Table1[[#This Row],[Attrition]]="Yes", Table1[[#This Row],[MonthlyIncome]]*12*1.5, 0)</f>
        <v>0</v>
      </c>
      <c r="AM1082" t="str" cm="1">
        <f t="array" ref="AM1082">_xlfn.IFS(
Table1[[#This Row],[MonthlyIncome]]&lt;3000,"Under 3K",
Table1[[#This Row],[MonthlyIncome]]&lt;6000,"3K-6K",
Table1[[#This Row],[MonthlyIncome]]&lt;9000,"6K-9K",
Table1[[#This Row],[MonthlyIncome]]&lt;12000,"9K-12K",
TRUE,"12K+")</f>
        <v>12K+</v>
      </c>
      <c r="AN1082">
        <f>1</f>
        <v>1</v>
      </c>
      <c r="AO1082" t="str" cm="1">
        <f t="array" ref="AO1082">_xlfn.IFS(
Table1[[#This Row],[YearsAtCompany]]&lt;=2,"0-2 Years",
Table1[[#This Row],[YearsAtCompany]]&lt;=5,"3-5 Years",
Table1[[#This Row],[YearsAtCompany]]&lt;=10,"6-10 Years",
TRUE,"10+ Years")</f>
        <v>10+ Years</v>
      </c>
    </row>
    <row r="1083" spans="1:41"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tr">
        <f t="shared" si="32"/>
        <v>Healthcare</v>
      </c>
      <c r="AK1083">
        <f t="shared" si="33"/>
        <v>0</v>
      </c>
      <c r="AL1083">
        <f>IF(Table1[[#This Row],[Attrition]]="Yes", Table1[[#This Row],[MonthlyIncome]]*12*1.5, 0)</f>
        <v>0</v>
      </c>
      <c r="AM1083" t="str" cm="1">
        <f t="array" ref="AM1083">_xlfn.IFS(
Table1[[#This Row],[MonthlyIncome]]&lt;3000,"Under 3K",
Table1[[#This Row],[MonthlyIncome]]&lt;6000,"3K-6K",
Table1[[#This Row],[MonthlyIncome]]&lt;9000,"6K-9K",
Table1[[#This Row],[MonthlyIncome]]&lt;12000,"9K-12K",
TRUE,"12K+")</f>
        <v>6K-9K</v>
      </c>
      <c r="AN1083">
        <f>1</f>
        <v>1</v>
      </c>
      <c r="AO1083" t="str" cm="1">
        <f t="array" ref="AO1083">_xlfn.IFS(
Table1[[#This Row],[YearsAtCompany]]&lt;=2,"0-2 Years",
Table1[[#This Row],[YearsAtCompany]]&lt;=5,"3-5 Years",
Table1[[#This Row],[YearsAtCompany]]&lt;=10,"6-10 Years",
TRUE,"10+ Years")</f>
        <v>10+ Years</v>
      </c>
    </row>
    <row r="1084" spans="1:41"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tr">
        <f t="shared" si="32"/>
        <v>Research</v>
      </c>
      <c r="AK1084">
        <f t="shared" si="33"/>
        <v>0</v>
      </c>
      <c r="AL1084">
        <f>IF(Table1[[#This Row],[Attrition]]="Yes", Table1[[#This Row],[MonthlyIncome]]*12*1.5, 0)</f>
        <v>0</v>
      </c>
      <c r="AM1084" t="str" cm="1">
        <f t="array" ref="AM1084">_xlfn.IFS(
Table1[[#This Row],[MonthlyIncome]]&lt;3000,"Under 3K",
Table1[[#This Row],[MonthlyIncome]]&lt;6000,"3K-6K",
Table1[[#This Row],[MonthlyIncome]]&lt;9000,"6K-9K",
Table1[[#This Row],[MonthlyIncome]]&lt;12000,"9K-12K",
TRUE,"12K+")</f>
        <v>Under 3K</v>
      </c>
      <c r="AN1084">
        <f>1</f>
        <v>1</v>
      </c>
      <c r="AO1084" t="str" cm="1">
        <f t="array" ref="AO1084">_xlfn.IFS(
Table1[[#This Row],[YearsAtCompany]]&lt;=2,"0-2 Years",
Table1[[#This Row],[YearsAtCompany]]&lt;=5,"3-5 Years",
Table1[[#This Row],[YearsAtCompany]]&lt;=10,"6-10 Years",
TRUE,"10+ Years")</f>
        <v>3-5 Years</v>
      </c>
    </row>
    <row r="1085" spans="1:41"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tr">
        <f t="shared" si="32"/>
        <v>Research</v>
      </c>
      <c r="AK1085">
        <f t="shared" si="33"/>
        <v>1</v>
      </c>
      <c r="AL1085">
        <f>IF(Table1[[#This Row],[Attrition]]="Yes", Table1[[#This Row],[MonthlyIncome]]*12*1.5, 0)</f>
        <v>36324</v>
      </c>
      <c r="AM1085" t="str" cm="1">
        <f t="array" ref="AM1085">_xlfn.IFS(
Table1[[#This Row],[MonthlyIncome]]&lt;3000,"Under 3K",
Table1[[#This Row],[MonthlyIncome]]&lt;6000,"3K-6K",
Table1[[#This Row],[MonthlyIncome]]&lt;9000,"6K-9K",
Table1[[#This Row],[MonthlyIncome]]&lt;12000,"9K-12K",
TRUE,"12K+")</f>
        <v>Under 3K</v>
      </c>
      <c r="AN1085">
        <f>1</f>
        <v>1</v>
      </c>
      <c r="AO1085" t="str" cm="1">
        <f t="array" ref="AO1085">_xlfn.IFS(
Table1[[#This Row],[YearsAtCompany]]&lt;=2,"0-2 Years",
Table1[[#This Row],[YearsAtCompany]]&lt;=5,"3-5 Years",
Table1[[#This Row],[YearsAtCompany]]&lt;=10,"6-10 Years",
TRUE,"10+ Years")</f>
        <v>3-5 Years</v>
      </c>
    </row>
    <row r="1086" spans="1:41"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tr">
        <f t="shared" si="32"/>
        <v>Sales</v>
      </c>
      <c r="AK1086">
        <f t="shared" si="33"/>
        <v>0</v>
      </c>
      <c r="AL1086">
        <f>IF(Table1[[#This Row],[Attrition]]="Yes", Table1[[#This Row],[MonthlyIncome]]*12*1.5, 0)</f>
        <v>0</v>
      </c>
      <c r="AM1086" t="str" cm="1">
        <f t="array" ref="AM1086">_xlfn.IFS(
Table1[[#This Row],[MonthlyIncome]]&lt;3000,"Under 3K",
Table1[[#This Row],[MonthlyIncome]]&lt;6000,"3K-6K",
Table1[[#This Row],[MonthlyIncome]]&lt;9000,"6K-9K",
Table1[[#This Row],[MonthlyIncome]]&lt;12000,"9K-12K",
TRUE,"12K+")</f>
        <v>6K-9K</v>
      </c>
      <c r="AN1086">
        <f>1</f>
        <v>1</v>
      </c>
      <c r="AO1086" t="str" cm="1">
        <f t="array" ref="AO1086">_xlfn.IFS(
Table1[[#This Row],[YearsAtCompany]]&lt;=2,"0-2 Years",
Table1[[#This Row],[YearsAtCompany]]&lt;=5,"3-5 Years",
Table1[[#This Row],[YearsAtCompany]]&lt;=10,"6-10 Years",
TRUE,"10+ Years")</f>
        <v>6-10 Years</v>
      </c>
    </row>
    <row r="1087" spans="1:41"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tr">
        <f t="shared" si="32"/>
        <v>Research</v>
      </c>
      <c r="AK1087">
        <f t="shared" si="33"/>
        <v>1</v>
      </c>
      <c r="AL1087">
        <f>IF(Table1[[#This Row],[Attrition]]="Yes", Table1[[#This Row],[MonthlyIncome]]*12*1.5, 0)</f>
        <v>73512</v>
      </c>
      <c r="AM1087" t="str" cm="1">
        <f t="array" ref="AM1087">_xlfn.IFS(
Table1[[#This Row],[MonthlyIncome]]&lt;3000,"Under 3K",
Table1[[#This Row],[MonthlyIncome]]&lt;6000,"3K-6K",
Table1[[#This Row],[MonthlyIncome]]&lt;9000,"6K-9K",
Table1[[#This Row],[MonthlyIncome]]&lt;12000,"9K-12K",
TRUE,"12K+")</f>
        <v>3K-6K</v>
      </c>
      <c r="AN1087">
        <f>1</f>
        <v>1</v>
      </c>
      <c r="AO1087" t="str" cm="1">
        <f t="array" ref="AO1087">_xlfn.IFS(
Table1[[#This Row],[YearsAtCompany]]&lt;=2,"0-2 Years",
Table1[[#This Row],[YearsAtCompany]]&lt;=5,"3-5 Years",
Table1[[#This Row],[YearsAtCompany]]&lt;=10,"6-10 Years",
TRUE,"10+ Years")</f>
        <v>6-10 Years</v>
      </c>
    </row>
    <row r="1088" spans="1:41"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tr">
        <f t="shared" si="32"/>
        <v>Research</v>
      </c>
      <c r="AK1088">
        <f t="shared" si="33"/>
        <v>0</v>
      </c>
      <c r="AL1088">
        <f>IF(Table1[[#This Row],[Attrition]]="Yes", Table1[[#This Row],[MonthlyIncome]]*12*1.5, 0)</f>
        <v>0</v>
      </c>
      <c r="AM1088" t="str" cm="1">
        <f t="array" ref="AM1088">_xlfn.IFS(
Table1[[#This Row],[MonthlyIncome]]&lt;3000,"Under 3K",
Table1[[#This Row],[MonthlyIncome]]&lt;6000,"3K-6K",
Table1[[#This Row],[MonthlyIncome]]&lt;9000,"6K-9K",
Table1[[#This Row],[MonthlyIncome]]&lt;12000,"9K-12K",
TRUE,"12K+")</f>
        <v>12K+</v>
      </c>
      <c r="AN1088">
        <f>1</f>
        <v>1</v>
      </c>
      <c r="AO1088" t="str" cm="1">
        <f t="array" ref="AO1088">_xlfn.IFS(
Table1[[#This Row],[YearsAtCompany]]&lt;=2,"0-2 Years",
Table1[[#This Row],[YearsAtCompany]]&lt;=5,"3-5 Years",
Table1[[#This Row],[YearsAtCompany]]&lt;=10,"6-10 Years",
TRUE,"10+ Years")</f>
        <v>10+ Years</v>
      </c>
    </row>
    <row r="1089" spans="1:41"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tr">
        <f t="shared" si="32"/>
        <v>Sales</v>
      </c>
      <c r="AK1089">
        <f t="shared" si="33"/>
        <v>0</v>
      </c>
      <c r="AL1089">
        <f>IF(Table1[[#This Row],[Attrition]]="Yes", Table1[[#This Row],[MonthlyIncome]]*12*1.5, 0)</f>
        <v>0</v>
      </c>
      <c r="AM1089" t="str" cm="1">
        <f t="array" ref="AM1089">_xlfn.IFS(
Table1[[#This Row],[MonthlyIncome]]&lt;3000,"Under 3K",
Table1[[#This Row],[MonthlyIncome]]&lt;6000,"3K-6K",
Table1[[#This Row],[MonthlyIncome]]&lt;9000,"6K-9K",
Table1[[#This Row],[MonthlyIncome]]&lt;12000,"9K-12K",
TRUE,"12K+")</f>
        <v>Under 3K</v>
      </c>
      <c r="AN1089">
        <f>1</f>
        <v>1</v>
      </c>
      <c r="AO1089" t="str" cm="1">
        <f t="array" ref="AO1089">_xlfn.IFS(
Table1[[#This Row],[YearsAtCompany]]&lt;=2,"0-2 Years",
Table1[[#This Row],[YearsAtCompany]]&lt;=5,"3-5 Years",
Table1[[#This Row],[YearsAtCompany]]&lt;=10,"6-10 Years",
TRUE,"10+ Years")</f>
        <v>10+ Years</v>
      </c>
    </row>
    <row r="1090" spans="1:41"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tr">
        <f t="shared" si="32"/>
        <v>Research</v>
      </c>
      <c r="AK1090">
        <f t="shared" si="33"/>
        <v>0</v>
      </c>
      <c r="AL1090">
        <f>IF(Table1[[#This Row],[Attrition]]="Yes", Table1[[#This Row],[MonthlyIncome]]*12*1.5, 0)</f>
        <v>0</v>
      </c>
      <c r="AM1090" t="str" cm="1">
        <f t="array" ref="AM1090">_xlfn.IFS(
Table1[[#This Row],[MonthlyIncome]]&lt;3000,"Under 3K",
Table1[[#This Row],[MonthlyIncome]]&lt;6000,"3K-6K",
Table1[[#This Row],[MonthlyIncome]]&lt;9000,"6K-9K",
Table1[[#This Row],[MonthlyIncome]]&lt;12000,"9K-12K",
TRUE,"12K+")</f>
        <v>3K-6K</v>
      </c>
      <c r="AN1090">
        <f>1</f>
        <v>1</v>
      </c>
      <c r="AO1090" t="str" cm="1">
        <f t="array" ref="AO1090">_xlfn.IFS(
Table1[[#This Row],[YearsAtCompany]]&lt;=2,"0-2 Years",
Table1[[#This Row],[YearsAtCompany]]&lt;=5,"3-5 Years",
Table1[[#This Row],[YearsAtCompany]]&lt;=10,"6-10 Years",
TRUE,"10+ Years")</f>
        <v>0-2 Years</v>
      </c>
    </row>
    <row r="1091" spans="1:41"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tr">
        <f t="shared" ref="AJ1091:AJ1154" si="34">_xlfn.XLOOKUP(P1091, $AP$2:$AP$10,$AQ$2:$AQ$10)</f>
        <v>Research</v>
      </c>
      <c r="AK1091">
        <f t="shared" ref="AK1091:AK1154" si="35">IF(B1091 ="Yes",1,0)</f>
        <v>0</v>
      </c>
      <c r="AL1091">
        <f>IF(Table1[[#This Row],[Attrition]]="Yes", Table1[[#This Row],[MonthlyIncome]]*12*1.5, 0)</f>
        <v>0</v>
      </c>
      <c r="AM1091" t="str" cm="1">
        <f t="array" ref="AM1091">_xlfn.IFS(
Table1[[#This Row],[MonthlyIncome]]&lt;3000,"Under 3K",
Table1[[#This Row],[MonthlyIncome]]&lt;6000,"3K-6K",
Table1[[#This Row],[MonthlyIncome]]&lt;9000,"6K-9K",
Table1[[#This Row],[MonthlyIncome]]&lt;12000,"9K-12K",
TRUE,"12K+")</f>
        <v>3K-6K</v>
      </c>
      <c r="AN1091">
        <f>1</f>
        <v>1</v>
      </c>
      <c r="AO1091" t="str" cm="1">
        <f t="array" ref="AO1091">_xlfn.IFS(
Table1[[#This Row],[YearsAtCompany]]&lt;=2,"0-2 Years",
Table1[[#This Row],[YearsAtCompany]]&lt;=5,"3-5 Years",
Table1[[#This Row],[YearsAtCompany]]&lt;=10,"6-10 Years",
TRUE,"10+ Years")</f>
        <v>6-10 Years</v>
      </c>
    </row>
    <row r="1092" spans="1:41"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tr">
        <f t="shared" si="34"/>
        <v>Healthcare</v>
      </c>
      <c r="AK1092">
        <f t="shared" si="35"/>
        <v>0</v>
      </c>
      <c r="AL1092">
        <f>IF(Table1[[#This Row],[Attrition]]="Yes", Table1[[#This Row],[MonthlyIncome]]*12*1.5, 0)</f>
        <v>0</v>
      </c>
      <c r="AM1092" t="str" cm="1">
        <f t="array" ref="AM1092">_xlfn.IFS(
Table1[[#This Row],[MonthlyIncome]]&lt;3000,"Under 3K",
Table1[[#This Row],[MonthlyIncome]]&lt;6000,"3K-6K",
Table1[[#This Row],[MonthlyIncome]]&lt;9000,"6K-9K",
Table1[[#This Row],[MonthlyIncome]]&lt;12000,"9K-12K",
TRUE,"12K+")</f>
        <v>9K-12K</v>
      </c>
      <c r="AN1092">
        <f>1</f>
        <v>1</v>
      </c>
      <c r="AO1092" t="str" cm="1">
        <f t="array" ref="AO1092">_xlfn.IFS(
Table1[[#This Row],[YearsAtCompany]]&lt;=2,"0-2 Years",
Table1[[#This Row],[YearsAtCompany]]&lt;=5,"3-5 Years",
Table1[[#This Row],[YearsAtCompany]]&lt;=10,"6-10 Years",
TRUE,"10+ Years")</f>
        <v>6-10 Years</v>
      </c>
    </row>
    <row r="1093" spans="1:41"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tr">
        <f t="shared" si="34"/>
        <v>Operations</v>
      </c>
      <c r="AK1093">
        <f t="shared" si="35"/>
        <v>0</v>
      </c>
      <c r="AL1093">
        <f>IF(Table1[[#This Row],[Attrition]]="Yes", Table1[[#This Row],[MonthlyIncome]]*12*1.5, 0)</f>
        <v>0</v>
      </c>
      <c r="AM1093" t="str" cm="1">
        <f t="array" ref="AM1093">_xlfn.IFS(
Table1[[#This Row],[MonthlyIncome]]&lt;3000,"Under 3K",
Table1[[#This Row],[MonthlyIncome]]&lt;6000,"3K-6K",
Table1[[#This Row],[MonthlyIncome]]&lt;9000,"6K-9K",
Table1[[#This Row],[MonthlyIncome]]&lt;12000,"9K-12K",
TRUE,"12K+")</f>
        <v>3K-6K</v>
      </c>
      <c r="AN1093">
        <f>1</f>
        <v>1</v>
      </c>
      <c r="AO1093" t="str" cm="1">
        <f t="array" ref="AO1093">_xlfn.IFS(
Table1[[#This Row],[YearsAtCompany]]&lt;=2,"0-2 Years",
Table1[[#This Row],[YearsAtCompany]]&lt;=5,"3-5 Years",
Table1[[#This Row],[YearsAtCompany]]&lt;=10,"6-10 Years",
TRUE,"10+ Years")</f>
        <v>3-5 Years</v>
      </c>
    </row>
    <row r="1094" spans="1:41"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tr">
        <f t="shared" si="34"/>
        <v>Research</v>
      </c>
      <c r="AK1094">
        <f t="shared" si="35"/>
        <v>0</v>
      </c>
      <c r="AL1094">
        <f>IF(Table1[[#This Row],[Attrition]]="Yes", Table1[[#This Row],[MonthlyIncome]]*12*1.5, 0)</f>
        <v>0</v>
      </c>
      <c r="AM1094" t="str" cm="1">
        <f t="array" ref="AM1094">_xlfn.IFS(
Table1[[#This Row],[MonthlyIncome]]&lt;3000,"Under 3K",
Table1[[#This Row],[MonthlyIncome]]&lt;6000,"3K-6K",
Table1[[#This Row],[MonthlyIncome]]&lt;9000,"6K-9K",
Table1[[#This Row],[MonthlyIncome]]&lt;12000,"9K-12K",
TRUE,"12K+")</f>
        <v>Under 3K</v>
      </c>
      <c r="AN1094">
        <f>1</f>
        <v>1</v>
      </c>
      <c r="AO1094" t="str" cm="1">
        <f t="array" ref="AO1094">_xlfn.IFS(
Table1[[#This Row],[YearsAtCompany]]&lt;=2,"0-2 Years",
Table1[[#This Row],[YearsAtCompany]]&lt;=5,"3-5 Years",
Table1[[#This Row],[YearsAtCompany]]&lt;=10,"6-10 Years",
TRUE,"10+ Years")</f>
        <v>3-5 Years</v>
      </c>
    </row>
    <row r="1095" spans="1:41"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tr">
        <f t="shared" si="34"/>
        <v>Healthcare</v>
      </c>
      <c r="AK1095">
        <f t="shared" si="35"/>
        <v>0</v>
      </c>
      <c r="AL1095">
        <f>IF(Table1[[#This Row],[Attrition]]="Yes", Table1[[#This Row],[MonthlyIncome]]*12*1.5, 0)</f>
        <v>0</v>
      </c>
      <c r="AM1095" t="str" cm="1">
        <f t="array" ref="AM1095">_xlfn.IFS(
Table1[[#This Row],[MonthlyIncome]]&lt;3000,"Under 3K",
Table1[[#This Row],[MonthlyIncome]]&lt;6000,"3K-6K",
Table1[[#This Row],[MonthlyIncome]]&lt;9000,"6K-9K",
Table1[[#This Row],[MonthlyIncome]]&lt;12000,"9K-12K",
TRUE,"12K+")</f>
        <v>9K-12K</v>
      </c>
      <c r="AN1095">
        <f>1</f>
        <v>1</v>
      </c>
      <c r="AO1095" t="str" cm="1">
        <f t="array" ref="AO1095">_xlfn.IFS(
Table1[[#This Row],[YearsAtCompany]]&lt;=2,"0-2 Years",
Table1[[#This Row],[YearsAtCompany]]&lt;=5,"3-5 Years",
Table1[[#This Row],[YearsAtCompany]]&lt;=10,"6-10 Years",
TRUE,"10+ Years")</f>
        <v>10+ Years</v>
      </c>
    </row>
    <row r="1096" spans="1:41"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tr">
        <f t="shared" si="34"/>
        <v>Sales</v>
      </c>
      <c r="AK1096">
        <f t="shared" si="35"/>
        <v>0</v>
      </c>
      <c r="AL1096">
        <f>IF(Table1[[#This Row],[Attrition]]="Yes", Table1[[#This Row],[MonthlyIncome]]*12*1.5, 0)</f>
        <v>0</v>
      </c>
      <c r="AM1096" t="str" cm="1">
        <f t="array" ref="AM1096">_xlfn.IFS(
Table1[[#This Row],[MonthlyIncome]]&lt;3000,"Under 3K",
Table1[[#This Row],[MonthlyIncome]]&lt;6000,"3K-6K",
Table1[[#This Row],[MonthlyIncome]]&lt;9000,"6K-9K",
Table1[[#This Row],[MonthlyIncome]]&lt;12000,"9K-12K",
TRUE,"12K+")</f>
        <v>3K-6K</v>
      </c>
      <c r="AN1096">
        <f>1</f>
        <v>1</v>
      </c>
      <c r="AO1096" t="str" cm="1">
        <f t="array" ref="AO1096">_xlfn.IFS(
Table1[[#This Row],[YearsAtCompany]]&lt;=2,"0-2 Years",
Table1[[#This Row],[YearsAtCompany]]&lt;=5,"3-5 Years",
Table1[[#This Row],[YearsAtCompany]]&lt;=10,"6-10 Years",
TRUE,"10+ Years")</f>
        <v>6-10 Years</v>
      </c>
    </row>
    <row r="1097" spans="1:41"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tr">
        <f t="shared" si="34"/>
        <v>Research</v>
      </c>
      <c r="AK1097">
        <f t="shared" si="35"/>
        <v>0</v>
      </c>
      <c r="AL1097">
        <f>IF(Table1[[#This Row],[Attrition]]="Yes", Table1[[#This Row],[MonthlyIncome]]*12*1.5, 0)</f>
        <v>0</v>
      </c>
      <c r="AM1097" t="str" cm="1">
        <f t="array" ref="AM1097">_xlfn.IFS(
Table1[[#This Row],[MonthlyIncome]]&lt;3000,"Under 3K",
Table1[[#This Row],[MonthlyIncome]]&lt;6000,"3K-6K",
Table1[[#This Row],[MonthlyIncome]]&lt;9000,"6K-9K",
Table1[[#This Row],[MonthlyIncome]]&lt;12000,"9K-12K",
TRUE,"12K+")</f>
        <v>3K-6K</v>
      </c>
      <c r="AN1097">
        <f>1</f>
        <v>1</v>
      </c>
      <c r="AO1097" t="str" cm="1">
        <f t="array" ref="AO1097">_xlfn.IFS(
Table1[[#This Row],[YearsAtCompany]]&lt;=2,"0-2 Years",
Table1[[#This Row],[YearsAtCompany]]&lt;=5,"3-5 Years",
Table1[[#This Row],[YearsAtCompany]]&lt;=10,"6-10 Years",
TRUE,"10+ Years")</f>
        <v>10+ Years</v>
      </c>
    </row>
    <row r="1098" spans="1:41"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tr">
        <f t="shared" si="34"/>
        <v>Management</v>
      </c>
      <c r="AK1098">
        <f t="shared" si="35"/>
        <v>0</v>
      </c>
      <c r="AL1098">
        <f>IF(Table1[[#This Row],[Attrition]]="Yes", Table1[[#This Row],[MonthlyIncome]]*12*1.5, 0)</f>
        <v>0</v>
      </c>
      <c r="AM1098" t="str" cm="1">
        <f t="array" ref="AM1098">_xlfn.IFS(
Table1[[#This Row],[MonthlyIncome]]&lt;3000,"Under 3K",
Table1[[#This Row],[MonthlyIncome]]&lt;6000,"3K-6K",
Table1[[#This Row],[MonthlyIncome]]&lt;9000,"6K-9K",
Table1[[#This Row],[MonthlyIncome]]&lt;12000,"9K-12K",
TRUE,"12K+")</f>
        <v>12K+</v>
      </c>
      <c r="AN1098">
        <f>1</f>
        <v>1</v>
      </c>
      <c r="AO1098" t="str" cm="1">
        <f t="array" ref="AO1098">_xlfn.IFS(
Table1[[#This Row],[YearsAtCompany]]&lt;=2,"0-2 Years",
Table1[[#This Row],[YearsAtCompany]]&lt;=5,"3-5 Years",
Table1[[#This Row],[YearsAtCompany]]&lt;=10,"6-10 Years",
TRUE,"10+ Years")</f>
        <v>10+ Years</v>
      </c>
    </row>
    <row r="1099" spans="1:41"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tr">
        <f t="shared" si="34"/>
        <v>Research</v>
      </c>
      <c r="AK1099">
        <f t="shared" si="35"/>
        <v>0</v>
      </c>
      <c r="AL1099">
        <f>IF(Table1[[#This Row],[Attrition]]="Yes", Table1[[#This Row],[MonthlyIncome]]*12*1.5, 0)</f>
        <v>0</v>
      </c>
      <c r="AM1099" t="str" cm="1">
        <f t="array" ref="AM1099">_xlfn.IFS(
Table1[[#This Row],[MonthlyIncome]]&lt;3000,"Under 3K",
Table1[[#This Row],[MonthlyIncome]]&lt;6000,"3K-6K",
Table1[[#This Row],[MonthlyIncome]]&lt;9000,"6K-9K",
Table1[[#This Row],[MonthlyIncome]]&lt;12000,"9K-12K",
TRUE,"12K+")</f>
        <v>Under 3K</v>
      </c>
      <c r="AN1099">
        <f>1</f>
        <v>1</v>
      </c>
      <c r="AO1099" t="str" cm="1">
        <f t="array" ref="AO1099">_xlfn.IFS(
Table1[[#This Row],[YearsAtCompany]]&lt;=2,"0-2 Years",
Table1[[#This Row],[YearsAtCompany]]&lt;=5,"3-5 Years",
Table1[[#This Row],[YearsAtCompany]]&lt;=10,"6-10 Years",
TRUE,"10+ Years")</f>
        <v>0-2 Years</v>
      </c>
    </row>
    <row r="1100" spans="1:41"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tr">
        <f t="shared" si="34"/>
        <v>Healthcare</v>
      </c>
      <c r="AK1100">
        <f t="shared" si="35"/>
        <v>0</v>
      </c>
      <c r="AL1100">
        <f>IF(Table1[[#This Row],[Attrition]]="Yes", Table1[[#This Row],[MonthlyIncome]]*12*1.5, 0)</f>
        <v>0</v>
      </c>
      <c r="AM1100" t="str" cm="1">
        <f t="array" ref="AM1100">_xlfn.IFS(
Table1[[#This Row],[MonthlyIncome]]&lt;3000,"Under 3K",
Table1[[#This Row],[MonthlyIncome]]&lt;6000,"3K-6K",
Table1[[#This Row],[MonthlyIncome]]&lt;9000,"6K-9K",
Table1[[#This Row],[MonthlyIncome]]&lt;12000,"9K-12K",
TRUE,"12K+")</f>
        <v>3K-6K</v>
      </c>
      <c r="AN1100">
        <f>1</f>
        <v>1</v>
      </c>
      <c r="AO1100" t="str" cm="1">
        <f t="array" ref="AO1100">_xlfn.IFS(
Table1[[#This Row],[YearsAtCompany]]&lt;=2,"0-2 Years",
Table1[[#This Row],[YearsAtCompany]]&lt;=5,"3-5 Years",
Table1[[#This Row],[YearsAtCompany]]&lt;=10,"6-10 Years",
TRUE,"10+ Years")</f>
        <v>0-2 Years</v>
      </c>
    </row>
    <row r="1101" spans="1:41"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tr">
        <f t="shared" si="34"/>
        <v>Healthcare</v>
      </c>
      <c r="AK1101">
        <f t="shared" si="35"/>
        <v>0</v>
      </c>
      <c r="AL1101">
        <f>IF(Table1[[#This Row],[Attrition]]="Yes", Table1[[#This Row],[MonthlyIncome]]*12*1.5, 0)</f>
        <v>0</v>
      </c>
      <c r="AM1101" t="str" cm="1">
        <f t="array" ref="AM1101">_xlfn.IFS(
Table1[[#This Row],[MonthlyIncome]]&lt;3000,"Under 3K",
Table1[[#This Row],[MonthlyIncome]]&lt;6000,"3K-6K",
Table1[[#This Row],[MonthlyIncome]]&lt;9000,"6K-9K",
Table1[[#This Row],[MonthlyIncome]]&lt;12000,"9K-12K",
TRUE,"12K+")</f>
        <v>6K-9K</v>
      </c>
      <c r="AN1101">
        <f>1</f>
        <v>1</v>
      </c>
      <c r="AO1101" t="str" cm="1">
        <f t="array" ref="AO1101">_xlfn.IFS(
Table1[[#This Row],[YearsAtCompany]]&lt;=2,"0-2 Years",
Table1[[#This Row],[YearsAtCompany]]&lt;=5,"3-5 Years",
Table1[[#This Row],[YearsAtCompany]]&lt;=10,"6-10 Years",
TRUE,"10+ Years")</f>
        <v>6-10 Years</v>
      </c>
    </row>
    <row r="1102" spans="1:41"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tr">
        <f t="shared" si="34"/>
        <v>Sales</v>
      </c>
      <c r="AK1102">
        <f t="shared" si="35"/>
        <v>0</v>
      </c>
      <c r="AL1102">
        <f>IF(Table1[[#This Row],[Attrition]]="Yes", Table1[[#This Row],[MonthlyIncome]]*12*1.5, 0)</f>
        <v>0</v>
      </c>
      <c r="AM1102" t="str" cm="1">
        <f t="array" ref="AM1102">_xlfn.IFS(
Table1[[#This Row],[MonthlyIncome]]&lt;3000,"Under 3K",
Table1[[#This Row],[MonthlyIncome]]&lt;6000,"3K-6K",
Table1[[#This Row],[MonthlyIncome]]&lt;9000,"6K-9K",
Table1[[#This Row],[MonthlyIncome]]&lt;12000,"9K-12K",
TRUE,"12K+")</f>
        <v>Under 3K</v>
      </c>
      <c r="AN1102">
        <f>1</f>
        <v>1</v>
      </c>
      <c r="AO1102" t="str" cm="1">
        <f t="array" ref="AO1102">_xlfn.IFS(
Table1[[#This Row],[YearsAtCompany]]&lt;=2,"0-2 Years",
Table1[[#This Row],[YearsAtCompany]]&lt;=5,"3-5 Years",
Table1[[#This Row],[YearsAtCompany]]&lt;=10,"6-10 Years",
TRUE,"10+ Years")</f>
        <v>3-5 Years</v>
      </c>
    </row>
    <row r="1103" spans="1:41"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tr">
        <f t="shared" si="34"/>
        <v>Research</v>
      </c>
      <c r="AK1103">
        <f t="shared" si="35"/>
        <v>0</v>
      </c>
      <c r="AL1103">
        <f>IF(Table1[[#This Row],[Attrition]]="Yes", Table1[[#This Row],[MonthlyIncome]]*12*1.5, 0)</f>
        <v>0</v>
      </c>
      <c r="AM1103" t="str" cm="1">
        <f t="array" ref="AM1103">_xlfn.IFS(
Table1[[#This Row],[MonthlyIncome]]&lt;3000,"Under 3K",
Table1[[#This Row],[MonthlyIncome]]&lt;6000,"3K-6K",
Table1[[#This Row],[MonthlyIncome]]&lt;9000,"6K-9K",
Table1[[#This Row],[MonthlyIncome]]&lt;12000,"9K-12K",
TRUE,"12K+")</f>
        <v>3K-6K</v>
      </c>
      <c r="AN1103">
        <f>1</f>
        <v>1</v>
      </c>
      <c r="AO1103" t="str" cm="1">
        <f t="array" ref="AO1103">_xlfn.IFS(
Table1[[#This Row],[YearsAtCompany]]&lt;=2,"0-2 Years",
Table1[[#This Row],[YearsAtCompany]]&lt;=5,"3-5 Years",
Table1[[#This Row],[YearsAtCompany]]&lt;=10,"6-10 Years",
TRUE,"10+ Years")</f>
        <v>6-10 Years</v>
      </c>
    </row>
    <row r="1104" spans="1:41"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tr">
        <f t="shared" si="34"/>
        <v>Sales</v>
      </c>
      <c r="AK1104">
        <f t="shared" si="35"/>
        <v>0</v>
      </c>
      <c r="AL1104">
        <f>IF(Table1[[#This Row],[Attrition]]="Yes", Table1[[#This Row],[MonthlyIncome]]*12*1.5, 0)</f>
        <v>0</v>
      </c>
      <c r="AM1104" t="str" cm="1">
        <f t="array" ref="AM1104">_xlfn.IFS(
Table1[[#This Row],[MonthlyIncome]]&lt;3000,"Under 3K",
Table1[[#This Row],[MonthlyIncome]]&lt;6000,"3K-6K",
Table1[[#This Row],[MonthlyIncome]]&lt;9000,"6K-9K",
Table1[[#This Row],[MonthlyIncome]]&lt;12000,"9K-12K",
TRUE,"12K+")</f>
        <v>Under 3K</v>
      </c>
      <c r="AN1104">
        <f>1</f>
        <v>1</v>
      </c>
      <c r="AO1104" t="str" cm="1">
        <f t="array" ref="AO1104">_xlfn.IFS(
Table1[[#This Row],[YearsAtCompany]]&lt;=2,"0-2 Years",
Table1[[#This Row],[YearsAtCompany]]&lt;=5,"3-5 Years",
Table1[[#This Row],[YearsAtCompany]]&lt;=10,"6-10 Years",
TRUE,"10+ Years")</f>
        <v>3-5 Years</v>
      </c>
    </row>
    <row r="1105" spans="1:41"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tr">
        <f t="shared" si="34"/>
        <v>Sales</v>
      </c>
      <c r="AK1105">
        <f t="shared" si="35"/>
        <v>0</v>
      </c>
      <c r="AL1105">
        <f>IF(Table1[[#This Row],[Attrition]]="Yes", Table1[[#This Row],[MonthlyIncome]]*12*1.5, 0)</f>
        <v>0</v>
      </c>
      <c r="AM1105" t="str" cm="1">
        <f t="array" ref="AM1105">_xlfn.IFS(
Table1[[#This Row],[MonthlyIncome]]&lt;3000,"Under 3K",
Table1[[#This Row],[MonthlyIncome]]&lt;6000,"3K-6K",
Table1[[#This Row],[MonthlyIncome]]&lt;9000,"6K-9K",
Table1[[#This Row],[MonthlyIncome]]&lt;12000,"9K-12K",
TRUE,"12K+")</f>
        <v>6K-9K</v>
      </c>
      <c r="AN1105">
        <f>1</f>
        <v>1</v>
      </c>
      <c r="AO1105" t="str" cm="1">
        <f t="array" ref="AO1105">_xlfn.IFS(
Table1[[#This Row],[YearsAtCompany]]&lt;=2,"0-2 Years",
Table1[[#This Row],[YearsAtCompany]]&lt;=5,"3-5 Years",
Table1[[#This Row],[YearsAtCompany]]&lt;=10,"6-10 Years",
TRUE,"10+ Years")</f>
        <v>6-10 Years</v>
      </c>
    </row>
    <row r="1106" spans="1:41"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tr">
        <f t="shared" si="34"/>
        <v>Research</v>
      </c>
      <c r="AK1106">
        <f t="shared" si="35"/>
        <v>0</v>
      </c>
      <c r="AL1106">
        <f>IF(Table1[[#This Row],[Attrition]]="Yes", Table1[[#This Row],[MonthlyIncome]]*12*1.5, 0)</f>
        <v>0</v>
      </c>
      <c r="AM1106" t="str" cm="1">
        <f t="array" ref="AM1106">_xlfn.IFS(
Table1[[#This Row],[MonthlyIncome]]&lt;3000,"Under 3K",
Table1[[#This Row],[MonthlyIncome]]&lt;6000,"3K-6K",
Table1[[#This Row],[MonthlyIncome]]&lt;9000,"6K-9K",
Table1[[#This Row],[MonthlyIncome]]&lt;12000,"9K-12K",
TRUE,"12K+")</f>
        <v>Under 3K</v>
      </c>
      <c r="AN1106">
        <f>1</f>
        <v>1</v>
      </c>
      <c r="AO1106" t="str" cm="1">
        <f t="array" ref="AO1106">_xlfn.IFS(
Table1[[#This Row],[YearsAtCompany]]&lt;=2,"0-2 Years",
Table1[[#This Row],[YearsAtCompany]]&lt;=5,"3-5 Years",
Table1[[#This Row],[YearsAtCompany]]&lt;=10,"6-10 Years",
TRUE,"10+ Years")</f>
        <v>0-2 Years</v>
      </c>
    </row>
    <row r="1107" spans="1:41"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tr">
        <f t="shared" si="34"/>
        <v>Sales</v>
      </c>
      <c r="AK1107">
        <f t="shared" si="35"/>
        <v>0</v>
      </c>
      <c r="AL1107">
        <f>IF(Table1[[#This Row],[Attrition]]="Yes", Table1[[#This Row],[MonthlyIncome]]*12*1.5, 0)</f>
        <v>0</v>
      </c>
      <c r="AM1107" t="str" cm="1">
        <f t="array" ref="AM1107">_xlfn.IFS(
Table1[[#This Row],[MonthlyIncome]]&lt;3000,"Under 3K",
Table1[[#This Row],[MonthlyIncome]]&lt;6000,"3K-6K",
Table1[[#This Row],[MonthlyIncome]]&lt;9000,"6K-9K",
Table1[[#This Row],[MonthlyIncome]]&lt;12000,"9K-12K",
TRUE,"12K+")</f>
        <v>6K-9K</v>
      </c>
      <c r="AN1107">
        <f>1</f>
        <v>1</v>
      </c>
      <c r="AO1107" t="str" cm="1">
        <f t="array" ref="AO1107">_xlfn.IFS(
Table1[[#This Row],[YearsAtCompany]]&lt;=2,"0-2 Years",
Table1[[#This Row],[YearsAtCompany]]&lt;=5,"3-5 Years",
Table1[[#This Row],[YearsAtCompany]]&lt;=10,"6-10 Years",
TRUE,"10+ Years")</f>
        <v>0-2 Years</v>
      </c>
    </row>
    <row r="1108" spans="1:41"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tr">
        <f t="shared" si="34"/>
        <v>Sales</v>
      </c>
      <c r="AK1108">
        <f t="shared" si="35"/>
        <v>1</v>
      </c>
      <c r="AL1108">
        <f>IF(Table1[[#This Row],[Attrition]]="Yes", Table1[[#This Row],[MonthlyIncome]]*12*1.5, 0)</f>
        <v>174852</v>
      </c>
      <c r="AM1108" t="str" cm="1">
        <f t="array" ref="AM1108">_xlfn.IFS(
Table1[[#This Row],[MonthlyIncome]]&lt;3000,"Under 3K",
Table1[[#This Row],[MonthlyIncome]]&lt;6000,"3K-6K",
Table1[[#This Row],[MonthlyIncome]]&lt;9000,"6K-9K",
Table1[[#This Row],[MonthlyIncome]]&lt;12000,"9K-12K",
TRUE,"12K+")</f>
        <v>9K-12K</v>
      </c>
      <c r="AN1108">
        <f>1</f>
        <v>1</v>
      </c>
      <c r="AO1108" t="str" cm="1">
        <f t="array" ref="AO1108">_xlfn.IFS(
Table1[[#This Row],[YearsAtCompany]]&lt;=2,"0-2 Years",
Table1[[#This Row],[YearsAtCompany]]&lt;=5,"3-5 Years",
Table1[[#This Row],[YearsAtCompany]]&lt;=10,"6-10 Years",
TRUE,"10+ Years")</f>
        <v>6-10 Years</v>
      </c>
    </row>
    <row r="1109" spans="1:41"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tr">
        <f t="shared" si="34"/>
        <v>Human Resources</v>
      </c>
      <c r="AK1109">
        <f t="shared" si="35"/>
        <v>0</v>
      </c>
      <c r="AL1109">
        <f>IF(Table1[[#This Row],[Attrition]]="Yes", Table1[[#This Row],[MonthlyIncome]]*12*1.5, 0)</f>
        <v>0</v>
      </c>
      <c r="AM1109" t="str" cm="1">
        <f t="array" ref="AM1109">_xlfn.IFS(
Table1[[#This Row],[MonthlyIncome]]&lt;3000,"Under 3K",
Table1[[#This Row],[MonthlyIncome]]&lt;6000,"3K-6K",
Table1[[#This Row],[MonthlyIncome]]&lt;9000,"6K-9K",
Table1[[#This Row],[MonthlyIncome]]&lt;12000,"9K-12K",
TRUE,"12K+")</f>
        <v>6K-9K</v>
      </c>
      <c r="AN1109">
        <f>1</f>
        <v>1</v>
      </c>
      <c r="AO1109" t="str" cm="1">
        <f t="array" ref="AO1109">_xlfn.IFS(
Table1[[#This Row],[YearsAtCompany]]&lt;=2,"0-2 Years",
Table1[[#This Row],[YearsAtCompany]]&lt;=5,"3-5 Years",
Table1[[#This Row],[YearsAtCompany]]&lt;=10,"6-10 Years",
TRUE,"10+ Years")</f>
        <v>6-10 Years</v>
      </c>
    </row>
    <row r="1110" spans="1:41"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tr">
        <f t="shared" si="34"/>
        <v>Research</v>
      </c>
      <c r="AK1110">
        <f t="shared" si="35"/>
        <v>0</v>
      </c>
      <c r="AL1110">
        <f>IF(Table1[[#This Row],[Attrition]]="Yes", Table1[[#This Row],[MonthlyIncome]]*12*1.5, 0)</f>
        <v>0</v>
      </c>
      <c r="AM1110" t="str" cm="1">
        <f t="array" ref="AM1110">_xlfn.IFS(
Table1[[#This Row],[MonthlyIncome]]&lt;3000,"Under 3K",
Table1[[#This Row],[MonthlyIncome]]&lt;6000,"3K-6K",
Table1[[#This Row],[MonthlyIncome]]&lt;9000,"6K-9K",
Table1[[#This Row],[MonthlyIncome]]&lt;12000,"9K-12K",
TRUE,"12K+")</f>
        <v>Under 3K</v>
      </c>
      <c r="AN1110">
        <f>1</f>
        <v>1</v>
      </c>
      <c r="AO1110" t="str" cm="1">
        <f t="array" ref="AO1110">_xlfn.IFS(
Table1[[#This Row],[YearsAtCompany]]&lt;=2,"0-2 Years",
Table1[[#This Row],[YearsAtCompany]]&lt;=5,"3-5 Years",
Table1[[#This Row],[YearsAtCompany]]&lt;=10,"6-10 Years",
TRUE,"10+ Years")</f>
        <v>3-5 Years</v>
      </c>
    </row>
    <row r="1111" spans="1:41"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tr">
        <f t="shared" si="34"/>
        <v>Sales</v>
      </c>
      <c r="AK1111">
        <f t="shared" si="35"/>
        <v>0</v>
      </c>
      <c r="AL1111">
        <f>IF(Table1[[#This Row],[Attrition]]="Yes", Table1[[#This Row],[MonthlyIncome]]*12*1.5, 0)</f>
        <v>0</v>
      </c>
      <c r="AM1111" t="str" cm="1">
        <f t="array" ref="AM1111">_xlfn.IFS(
Table1[[#This Row],[MonthlyIncome]]&lt;3000,"Under 3K",
Table1[[#This Row],[MonthlyIncome]]&lt;6000,"3K-6K",
Table1[[#This Row],[MonthlyIncome]]&lt;9000,"6K-9K",
Table1[[#This Row],[MonthlyIncome]]&lt;12000,"9K-12K",
TRUE,"12K+")</f>
        <v>9K-12K</v>
      </c>
      <c r="AN1111">
        <f>1</f>
        <v>1</v>
      </c>
      <c r="AO1111" t="str" cm="1">
        <f t="array" ref="AO1111">_xlfn.IFS(
Table1[[#This Row],[YearsAtCompany]]&lt;=2,"0-2 Years",
Table1[[#This Row],[YearsAtCompany]]&lt;=5,"3-5 Years",
Table1[[#This Row],[YearsAtCompany]]&lt;=10,"6-10 Years",
TRUE,"10+ Years")</f>
        <v>3-5 Years</v>
      </c>
    </row>
    <row r="1112" spans="1:41"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tr">
        <f t="shared" si="34"/>
        <v>Research</v>
      </c>
      <c r="AK1112">
        <f t="shared" si="35"/>
        <v>1</v>
      </c>
      <c r="AL1112">
        <f>IF(Table1[[#This Row],[Attrition]]="Yes", Table1[[#This Row],[MonthlyIncome]]*12*1.5, 0)</f>
        <v>37332</v>
      </c>
      <c r="AM1112" t="str" cm="1">
        <f t="array" ref="AM1112">_xlfn.IFS(
Table1[[#This Row],[MonthlyIncome]]&lt;3000,"Under 3K",
Table1[[#This Row],[MonthlyIncome]]&lt;6000,"3K-6K",
Table1[[#This Row],[MonthlyIncome]]&lt;9000,"6K-9K",
Table1[[#This Row],[MonthlyIncome]]&lt;12000,"9K-12K",
TRUE,"12K+")</f>
        <v>Under 3K</v>
      </c>
      <c r="AN1112">
        <f>1</f>
        <v>1</v>
      </c>
      <c r="AO1112" t="str" cm="1">
        <f t="array" ref="AO1112">_xlfn.IFS(
Table1[[#This Row],[YearsAtCompany]]&lt;=2,"0-2 Years",
Table1[[#This Row],[YearsAtCompany]]&lt;=5,"3-5 Years",
Table1[[#This Row],[YearsAtCompany]]&lt;=10,"6-10 Years",
TRUE,"10+ Years")</f>
        <v>0-2 Years</v>
      </c>
    </row>
    <row r="1113" spans="1:41"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tr">
        <f t="shared" si="34"/>
        <v>Operations</v>
      </c>
      <c r="AK1113">
        <f t="shared" si="35"/>
        <v>1</v>
      </c>
      <c r="AL1113">
        <f>IF(Table1[[#This Row],[Attrition]]="Yes", Table1[[#This Row],[MonthlyIncome]]*12*1.5, 0)</f>
        <v>183042</v>
      </c>
      <c r="AM1113" t="str" cm="1">
        <f t="array" ref="AM1113">_xlfn.IFS(
Table1[[#This Row],[MonthlyIncome]]&lt;3000,"Under 3K",
Table1[[#This Row],[MonthlyIncome]]&lt;6000,"3K-6K",
Table1[[#This Row],[MonthlyIncome]]&lt;9000,"6K-9K",
Table1[[#This Row],[MonthlyIncome]]&lt;12000,"9K-12K",
TRUE,"12K+")</f>
        <v>9K-12K</v>
      </c>
      <c r="AN1113">
        <f>1</f>
        <v>1</v>
      </c>
      <c r="AO1113" t="str" cm="1">
        <f t="array" ref="AO1113">_xlfn.IFS(
Table1[[#This Row],[YearsAtCompany]]&lt;=2,"0-2 Years",
Table1[[#This Row],[YearsAtCompany]]&lt;=5,"3-5 Years",
Table1[[#This Row],[YearsAtCompany]]&lt;=10,"6-10 Years",
TRUE,"10+ Years")</f>
        <v>10+ Years</v>
      </c>
    </row>
    <row r="1114" spans="1:41"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tr">
        <f t="shared" si="34"/>
        <v>Operations</v>
      </c>
      <c r="AK1114">
        <f t="shared" si="35"/>
        <v>1</v>
      </c>
      <c r="AL1114">
        <f>IF(Table1[[#This Row],[Attrition]]="Yes", Table1[[#This Row],[MonthlyIncome]]*12*1.5, 0)</f>
        <v>87390</v>
      </c>
      <c r="AM1114" t="str" cm="1">
        <f t="array" ref="AM1114">_xlfn.IFS(
Table1[[#This Row],[MonthlyIncome]]&lt;3000,"Under 3K",
Table1[[#This Row],[MonthlyIncome]]&lt;6000,"3K-6K",
Table1[[#This Row],[MonthlyIncome]]&lt;9000,"6K-9K",
Table1[[#This Row],[MonthlyIncome]]&lt;12000,"9K-12K",
TRUE,"12K+")</f>
        <v>3K-6K</v>
      </c>
      <c r="AN1114">
        <f>1</f>
        <v>1</v>
      </c>
      <c r="AO1114" t="str" cm="1">
        <f t="array" ref="AO1114">_xlfn.IFS(
Table1[[#This Row],[YearsAtCompany]]&lt;=2,"0-2 Years",
Table1[[#This Row],[YearsAtCompany]]&lt;=5,"3-5 Years",
Table1[[#This Row],[YearsAtCompany]]&lt;=10,"6-10 Years",
TRUE,"10+ Years")</f>
        <v>3-5 Years</v>
      </c>
    </row>
    <row r="1115" spans="1:41"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tr">
        <f t="shared" si="34"/>
        <v>Research</v>
      </c>
      <c r="AK1115">
        <f t="shared" si="35"/>
        <v>0</v>
      </c>
      <c r="AL1115">
        <f>IF(Table1[[#This Row],[Attrition]]="Yes", Table1[[#This Row],[MonthlyIncome]]*12*1.5, 0)</f>
        <v>0</v>
      </c>
      <c r="AM1115" t="str" cm="1">
        <f t="array" ref="AM1115">_xlfn.IFS(
Table1[[#This Row],[MonthlyIncome]]&lt;3000,"Under 3K",
Table1[[#This Row],[MonthlyIncome]]&lt;6000,"3K-6K",
Table1[[#This Row],[MonthlyIncome]]&lt;9000,"6K-9K",
Table1[[#This Row],[MonthlyIncome]]&lt;12000,"9K-12K",
TRUE,"12K+")</f>
        <v>3K-6K</v>
      </c>
      <c r="AN1115">
        <f>1</f>
        <v>1</v>
      </c>
      <c r="AO1115" t="str" cm="1">
        <f t="array" ref="AO1115">_xlfn.IFS(
Table1[[#This Row],[YearsAtCompany]]&lt;=2,"0-2 Years",
Table1[[#This Row],[YearsAtCompany]]&lt;=5,"3-5 Years",
Table1[[#This Row],[YearsAtCompany]]&lt;=10,"6-10 Years",
TRUE,"10+ Years")</f>
        <v>6-10 Years</v>
      </c>
    </row>
    <row r="1116" spans="1:41"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tr">
        <f t="shared" si="34"/>
        <v>Research</v>
      </c>
      <c r="AK1116">
        <f t="shared" si="35"/>
        <v>0</v>
      </c>
      <c r="AL1116">
        <f>IF(Table1[[#This Row],[Attrition]]="Yes", Table1[[#This Row],[MonthlyIncome]]*12*1.5, 0)</f>
        <v>0</v>
      </c>
      <c r="AM1116" t="str" cm="1">
        <f t="array" ref="AM1116">_xlfn.IFS(
Table1[[#This Row],[MonthlyIncome]]&lt;3000,"Under 3K",
Table1[[#This Row],[MonthlyIncome]]&lt;6000,"3K-6K",
Table1[[#This Row],[MonthlyIncome]]&lt;9000,"6K-9K",
Table1[[#This Row],[MonthlyIncome]]&lt;12000,"9K-12K",
TRUE,"12K+")</f>
        <v>Under 3K</v>
      </c>
      <c r="AN1116">
        <f>1</f>
        <v>1</v>
      </c>
      <c r="AO1116" t="str" cm="1">
        <f t="array" ref="AO1116">_xlfn.IFS(
Table1[[#This Row],[YearsAtCompany]]&lt;=2,"0-2 Years",
Table1[[#This Row],[YearsAtCompany]]&lt;=5,"3-5 Years",
Table1[[#This Row],[YearsAtCompany]]&lt;=10,"6-10 Years",
TRUE,"10+ Years")</f>
        <v>6-10 Years</v>
      </c>
    </row>
    <row r="1117" spans="1:41"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tr">
        <f t="shared" si="34"/>
        <v>Research</v>
      </c>
      <c r="AK1117">
        <f t="shared" si="35"/>
        <v>0</v>
      </c>
      <c r="AL1117">
        <f>IF(Table1[[#This Row],[Attrition]]="Yes", Table1[[#This Row],[MonthlyIncome]]*12*1.5, 0)</f>
        <v>0</v>
      </c>
      <c r="AM1117" t="str" cm="1">
        <f t="array" ref="AM1117">_xlfn.IFS(
Table1[[#This Row],[MonthlyIncome]]&lt;3000,"Under 3K",
Table1[[#This Row],[MonthlyIncome]]&lt;6000,"3K-6K",
Table1[[#This Row],[MonthlyIncome]]&lt;9000,"6K-9K",
Table1[[#This Row],[MonthlyIncome]]&lt;12000,"9K-12K",
TRUE,"12K+")</f>
        <v>Under 3K</v>
      </c>
      <c r="AN1117">
        <f>1</f>
        <v>1</v>
      </c>
      <c r="AO1117" t="str" cm="1">
        <f t="array" ref="AO1117">_xlfn.IFS(
Table1[[#This Row],[YearsAtCompany]]&lt;=2,"0-2 Years",
Table1[[#This Row],[YearsAtCompany]]&lt;=5,"3-5 Years",
Table1[[#This Row],[YearsAtCompany]]&lt;=10,"6-10 Years",
TRUE,"10+ Years")</f>
        <v>0-2 Years</v>
      </c>
    </row>
    <row r="1118" spans="1:41"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tr">
        <f t="shared" si="34"/>
        <v>Management</v>
      </c>
      <c r="AK1118">
        <f t="shared" si="35"/>
        <v>0</v>
      </c>
      <c r="AL1118">
        <f>IF(Table1[[#This Row],[Attrition]]="Yes", Table1[[#This Row],[MonthlyIncome]]*12*1.5, 0)</f>
        <v>0</v>
      </c>
      <c r="AM1118" t="str" cm="1">
        <f t="array" ref="AM1118">_xlfn.IFS(
Table1[[#This Row],[MonthlyIncome]]&lt;3000,"Under 3K",
Table1[[#This Row],[MonthlyIncome]]&lt;6000,"3K-6K",
Table1[[#This Row],[MonthlyIncome]]&lt;9000,"6K-9K",
Table1[[#This Row],[MonthlyIncome]]&lt;12000,"9K-12K",
TRUE,"12K+")</f>
        <v>12K+</v>
      </c>
      <c r="AN1118">
        <f>1</f>
        <v>1</v>
      </c>
      <c r="AO1118" t="str" cm="1">
        <f t="array" ref="AO1118">_xlfn.IFS(
Table1[[#This Row],[YearsAtCompany]]&lt;=2,"0-2 Years",
Table1[[#This Row],[YearsAtCompany]]&lt;=5,"3-5 Years",
Table1[[#This Row],[YearsAtCompany]]&lt;=10,"6-10 Years",
TRUE,"10+ Years")</f>
        <v>10+ Years</v>
      </c>
    </row>
    <row r="1119" spans="1:41"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tr">
        <f t="shared" si="34"/>
        <v>Research</v>
      </c>
      <c r="AK1119">
        <f t="shared" si="35"/>
        <v>0</v>
      </c>
      <c r="AL1119">
        <f>IF(Table1[[#This Row],[Attrition]]="Yes", Table1[[#This Row],[MonthlyIncome]]*12*1.5, 0)</f>
        <v>0</v>
      </c>
      <c r="AM1119" t="str" cm="1">
        <f t="array" ref="AM1119">_xlfn.IFS(
Table1[[#This Row],[MonthlyIncome]]&lt;3000,"Under 3K",
Table1[[#This Row],[MonthlyIncome]]&lt;6000,"3K-6K",
Table1[[#This Row],[MonthlyIncome]]&lt;9000,"6K-9K",
Table1[[#This Row],[MonthlyIncome]]&lt;12000,"9K-12K",
TRUE,"12K+")</f>
        <v>3K-6K</v>
      </c>
      <c r="AN1119">
        <f>1</f>
        <v>1</v>
      </c>
      <c r="AO1119" t="str" cm="1">
        <f t="array" ref="AO1119">_xlfn.IFS(
Table1[[#This Row],[YearsAtCompany]]&lt;=2,"0-2 Years",
Table1[[#This Row],[YearsAtCompany]]&lt;=5,"3-5 Years",
Table1[[#This Row],[YearsAtCompany]]&lt;=10,"6-10 Years",
TRUE,"10+ Years")</f>
        <v>0-2 Years</v>
      </c>
    </row>
    <row r="1120" spans="1:41"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tr">
        <f t="shared" si="34"/>
        <v>Research</v>
      </c>
      <c r="AK1120">
        <f t="shared" si="35"/>
        <v>0</v>
      </c>
      <c r="AL1120">
        <f>IF(Table1[[#This Row],[Attrition]]="Yes", Table1[[#This Row],[MonthlyIncome]]*12*1.5, 0)</f>
        <v>0</v>
      </c>
      <c r="AM1120" t="str" cm="1">
        <f t="array" ref="AM1120">_xlfn.IFS(
Table1[[#This Row],[MonthlyIncome]]&lt;3000,"Under 3K",
Table1[[#This Row],[MonthlyIncome]]&lt;6000,"3K-6K",
Table1[[#This Row],[MonthlyIncome]]&lt;9000,"6K-9K",
Table1[[#This Row],[MonthlyIncome]]&lt;12000,"9K-12K",
TRUE,"12K+")</f>
        <v>Under 3K</v>
      </c>
      <c r="AN1120">
        <f>1</f>
        <v>1</v>
      </c>
      <c r="AO1120" t="str" cm="1">
        <f t="array" ref="AO1120">_xlfn.IFS(
Table1[[#This Row],[YearsAtCompany]]&lt;=2,"0-2 Years",
Table1[[#This Row],[YearsAtCompany]]&lt;=5,"3-5 Years",
Table1[[#This Row],[YearsAtCompany]]&lt;=10,"6-10 Years",
TRUE,"10+ Years")</f>
        <v>0-2 Years</v>
      </c>
    </row>
    <row r="1121" spans="1:41"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tr">
        <f t="shared" si="34"/>
        <v>Sales</v>
      </c>
      <c r="AK1121">
        <f t="shared" si="35"/>
        <v>0</v>
      </c>
      <c r="AL1121">
        <f>IF(Table1[[#This Row],[Attrition]]="Yes", Table1[[#This Row],[MonthlyIncome]]*12*1.5, 0)</f>
        <v>0</v>
      </c>
      <c r="AM1121" t="str" cm="1">
        <f t="array" ref="AM1121">_xlfn.IFS(
Table1[[#This Row],[MonthlyIncome]]&lt;3000,"Under 3K",
Table1[[#This Row],[MonthlyIncome]]&lt;6000,"3K-6K",
Table1[[#This Row],[MonthlyIncome]]&lt;9000,"6K-9K",
Table1[[#This Row],[MonthlyIncome]]&lt;12000,"9K-12K",
TRUE,"12K+")</f>
        <v>9K-12K</v>
      </c>
      <c r="AN1121">
        <f>1</f>
        <v>1</v>
      </c>
      <c r="AO1121" t="str" cm="1">
        <f t="array" ref="AO1121">_xlfn.IFS(
Table1[[#This Row],[YearsAtCompany]]&lt;=2,"0-2 Years",
Table1[[#This Row],[YearsAtCompany]]&lt;=5,"3-5 Years",
Table1[[#This Row],[YearsAtCompany]]&lt;=10,"6-10 Years",
TRUE,"10+ Years")</f>
        <v>6-10 Years</v>
      </c>
    </row>
    <row r="1122" spans="1:41"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tr">
        <f t="shared" si="34"/>
        <v>Sales</v>
      </c>
      <c r="AK1122">
        <f t="shared" si="35"/>
        <v>0</v>
      </c>
      <c r="AL1122">
        <f>IF(Table1[[#This Row],[Attrition]]="Yes", Table1[[#This Row],[MonthlyIncome]]*12*1.5, 0)</f>
        <v>0</v>
      </c>
      <c r="AM1122" t="str" cm="1">
        <f t="array" ref="AM1122">_xlfn.IFS(
Table1[[#This Row],[MonthlyIncome]]&lt;3000,"Under 3K",
Table1[[#This Row],[MonthlyIncome]]&lt;6000,"3K-6K",
Table1[[#This Row],[MonthlyIncome]]&lt;9000,"6K-9K",
Table1[[#This Row],[MonthlyIncome]]&lt;12000,"9K-12K",
TRUE,"12K+")</f>
        <v>3K-6K</v>
      </c>
      <c r="AN1122">
        <f>1</f>
        <v>1</v>
      </c>
      <c r="AO1122" t="str" cm="1">
        <f t="array" ref="AO1122">_xlfn.IFS(
Table1[[#This Row],[YearsAtCompany]]&lt;=2,"0-2 Years",
Table1[[#This Row],[YearsAtCompany]]&lt;=5,"3-5 Years",
Table1[[#This Row],[YearsAtCompany]]&lt;=10,"6-10 Years",
TRUE,"10+ Years")</f>
        <v>3-5 Years</v>
      </c>
    </row>
    <row r="1123" spans="1:41"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tr">
        <f t="shared" si="34"/>
        <v>Sales</v>
      </c>
      <c r="AK1123">
        <f t="shared" si="35"/>
        <v>0</v>
      </c>
      <c r="AL1123">
        <f>IF(Table1[[#This Row],[Attrition]]="Yes", Table1[[#This Row],[MonthlyIncome]]*12*1.5, 0)</f>
        <v>0</v>
      </c>
      <c r="AM1123" t="str" cm="1">
        <f t="array" ref="AM1123">_xlfn.IFS(
Table1[[#This Row],[MonthlyIncome]]&lt;3000,"Under 3K",
Table1[[#This Row],[MonthlyIncome]]&lt;6000,"3K-6K",
Table1[[#This Row],[MonthlyIncome]]&lt;9000,"6K-9K",
Table1[[#This Row],[MonthlyIncome]]&lt;12000,"9K-12K",
TRUE,"12K+")</f>
        <v>6K-9K</v>
      </c>
      <c r="AN1123">
        <f>1</f>
        <v>1</v>
      </c>
      <c r="AO1123" t="str" cm="1">
        <f t="array" ref="AO1123">_xlfn.IFS(
Table1[[#This Row],[YearsAtCompany]]&lt;=2,"0-2 Years",
Table1[[#This Row],[YearsAtCompany]]&lt;=5,"3-5 Years",
Table1[[#This Row],[YearsAtCompany]]&lt;=10,"6-10 Years",
TRUE,"10+ Years")</f>
        <v>0-2 Years</v>
      </c>
    </row>
    <row r="1124" spans="1:41"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tr">
        <f t="shared" si="34"/>
        <v>Research</v>
      </c>
      <c r="AK1124">
        <f t="shared" si="35"/>
        <v>0</v>
      </c>
      <c r="AL1124">
        <f>IF(Table1[[#This Row],[Attrition]]="Yes", Table1[[#This Row],[MonthlyIncome]]*12*1.5, 0)</f>
        <v>0</v>
      </c>
      <c r="AM1124" t="str" cm="1">
        <f t="array" ref="AM1124">_xlfn.IFS(
Table1[[#This Row],[MonthlyIncome]]&lt;3000,"Under 3K",
Table1[[#This Row],[MonthlyIncome]]&lt;6000,"3K-6K",
Table1[[#This Row],[MonthlyIncome]]&lt;9000,"6K-9K",
Table1[[#This Row],[MonthlyIncome]]&lt;12000,"9K-12K",
TRUE,"12K+")</f>
        <v>3K-6K</v>
      </c>
      <c r="AN1124">
        <f>1</f>
        <v>1</v>
      </c>
      <c r="AO1124" t="str" cm="1">
        <f t="array" ref="AO1124">_xlfn.IFS(
Table1[[#This Row],[YearsAtCompany]]&lt;=2,"0-2 Years",
Table1[[#This Row],[YearsAtCompany]]&lt;=5,"3-5 Years",
Table1[[#This Row],[YearsAtCompany]]&lt;=10,"6-10 Years",
TRUE,"10+ Years")</f>
        <v>6-10 Years</v>
      </c>
    </row>
    <row r="1125" spans="1:41"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tr">
        <f t="shared" si="34"/>
        <v>Healthcare</v>
      </c>
      <c r="AK1125">
        <f t="shared" si="35"/>
        <v>0</v>
      </c>
      <c r="AL1125">
        <f>IF(Table1[[#This Row],[Attrition]]="Yes", Table1[[#This Row],[MonthlyIncome]]*12*1.5, 0)</f>
        <v>0</v>
      </c>
      <c r="AM1125" t="str" cm="1">
        <f t="array" ref="AM1125">_xlfn.IFS(
Table1[[#This Row],[MonthlyIncome]]&lt;3000,"Under 3K",
Table1[[#This Row],[MonthlyIncome]]&lt;6000,"3K-6K",
Table1[[#This Row],[MonthlyIncome]]&lt;9000,"6K-9K",
Table1[[#This Row],[MonthlyIncome]]&lt;12000,"9K-12K",
TRUE,"12K+")</f>
        <v>6K-9K</v>
      </c>
      <c r="AN1125">
        <f>1</f>
        <v>1</v>
      </c>
      <c r="AO1125" t="str" cm="1">
        <f t="array" ref="AO1125">_xlfn.IFS(
Table1[[#This Row],[YearsAtCompany]]&lt;=2,"0-2 Years",
Table1[[#This Row],[YearsAtCompany]]&lt;=5,"3-5 Years",
Table1[[#This Row],[YearsAtCompany]]&lt;=10,"6-10 Years",
TRUE,"10+ Years")</f>
        <v>3-5 Years</v>
      </c>
    </row>
    <row r="1126" spans="1:41"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tr">
        <f t="shared" si="34"/>
        <v>Sales</v>
      </c>
      <c r="AK1126">
        <f t="shared" si="35"/>
        <v>0</v>
      </c>
      <c r="AL1126">
        <f>IF(Table1[[#This Row],[Attrition]]="Yes", Table1[[#This Row],[MonthlyIncome]]*12*1.5, 0)</f>
        <v>0</v>
      </c>
      <c r="AM1126" t="str" cm="1">
        <f t="array" ref="AM1126">_xlfn.IFS(
Table1[[#This Row],[MonthlyIncome]]&lt;3000,"Under 3K",
Table1[[#This Row],[MonthlyIncome]]&lt;6000,"3K-6K",
Table1[[#This Row],[MonthlyIncome]]&lt;9000,"6K-9K",
Table1[[#This Row],[MonthlyIncome]]&lt;12000,"9K-12K",
TRUE,"12K+")</f>
        <v>6K-9K</v>
      </c>
      <c r="AN1126">
        <f>1</f>
        <v>1</v>
      </c>
      <c r="AO1126" t="str" cm="1">
        <f t="array" ref="AO1126">_xlfn.IFS(
Table1[[#This Row],[YearsAtCompany]]&lt;=2,"0-2 Years",
Table1[[#This Row],[YearsAtCompany]]&lt;=5,"3-5 Years",
Table1[[#This Row],[YearsAtCompany]]&lt;=10,"6-10 Years",
TRUE,"10+ Years")</f>
        <v>6-10 Years</v>
      </c>
    </row>
    <row r="1127" spans="1:41"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tr">
        <f t="shared" si="34"/>
        <v>Healthcare</v>
      </c>
      <c r="AK1127">
        <f t="shared" si="35"/>
        <v>0</v>
      </c>
      <c r="AL1127">
        <f>IF(Table1[[#This Row],[Attrition]]="Yes", Table1[[#This Row],[MonthlyIncome]]*12*1.5, 0)</f>
        <v>0</v>
      </c>
      <c r="AM1127" t="str" cm="1">
        <f t="array" ref="AM1127">_xlfn.IFS(
Table1[[#This Row],[MonthlyIncome]]&lt;3000,"Under 3K",
Table1[[#This Row],[MonthlyIncome]]&lt;6000,"3K-6K",
Table1[[#This Row],[MonthlyIncome]]&lt;9000,"6K-9K",
Table1[[#This Row],[MonthlyIncome]]&lt;12000,"9K-12K",
TRUE,"12K+")</f>
        <v>6K-9K</v>
      </c>
      <c r="AN1127">
        <f>1</f>
        <v>1</v>
      </c>
      <c r="AO1127" t="str" cm="1">
        <f t="array" ref="AO1127">_xlfn.IFS(
Table1[[#This Row],[YearsAtCompany]]&lt;=2,"0-2 Years",
Table1[[#This Row],[YearsAtCompany]]&lt;=5,"3-5 Years",
Table1[[#This Row],[YearsAtCompany]]&lt;=10,"6-10 Years",
TRUE,"10+ Years")</f>
        <v>6-10 Years</v>
      </c>
    </row>
    <row r="1128" spans="1:41"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tr">
        <f t="shared" si="34"/>
        <v>Management</v>
      </c>
      <c r="AK1128">
        <f t="shared" si="35"/>
        <v>0</v>
      </c>
      <c r="AL1128">
        <f>IF(Table1[[#This Row],[Attrition]]="Yes", Table1[[#This Row],[MonthlyIncome]]*12*1.5, 0)</f>
        <v>0</v>
      </c>
      <c r="AM1128" t="str" cm="1">
        <f t="array" ref="AM1128">_xlfn.IFS(
Table1[[#This Row],[MonthlyIncome]]&lt;3000,"Under 3K",
Table1[[#This Row],[MonthlyIncome]]&lt;6000,"3K-6K",
Table1[[#This Row],[MonthlyIncome]]&lt;9000,"6K-9K",
Table1[[#This Row],[MonthlyIncome]]&lt;12000,"9K-12K",
TRUE,"12K+")</f>
        <v>12K+</v>
      </c>
      <c r="AN1128">
        <f>1</f>
        <v>1</v>
      </c>
      <c r="AO1128" t="str" cm="1">
        <f t="array" ref="AO1128">_xlfn.IFS(
Table1[[#This Row],[YearsAtCompany]]&lt;=2,"0-2 Years",
Table1[[#This Row],[YearsAtCompany]]&lt;=5,"3-5 Years",
Table1[[#This Row],[YearsAtCompany]]&lt;=10,"6-10 Years",
TRUE,"10+ Years")</f>
        <v>0-2 Years</v>
      </c>
    </row>
    <row r="1129" spans="1:41"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tr">
        <f t="shared" si="34"/>
        <v>Research</v>
      </c>
      <c r="AK1129">
        <f t="shared" si="35"/>
        <v>0</v>
      </c>
      <c r="AL1129">
        <f>IF(Table1[[#This Row],[Attrition]]="Yes", Table1[[#This Row],[MonthlyIncome]]*12*1.5, 0)</f>
        <v>0</v>
      </c>
      <c r="AM1129" t="str" cm="1">
        <f t="array" ref="AM1129">_xlfn.IFS(
Table1[[#This Row],[MonthlyIncome]]&lt;3000,"Under 3K",
Table1[[#This Row],[MonthlyIncome]]&lt;6000,"3K-6K",
Table1[[#This Row],[MonthlyIncome]]&lt;9000,"6K-9K",
Table1[[#This Row],[MonthlyIncome]]&lt;12000,"9K-12K",
TRUE,"12K+")</f>
        <v>Under 3K</v>
      </c>
      <c r="AN1129">
        <f>1</f>
        <v>1</v>
      </c>
      <c r="AO1129" t="str" cm="1">
        <f t="array" ref="AO1129">_xlfn.IFS(
Table1[[#This Row],[YearsAtCompany]]&lt;=2,"0-2 Years",
Table1[[#This Row],[YearsAtCompany]]&lt;=5,"3-5 Years",
Table1[[#This Row],[YearsAtCompany]]&lt;=10,"6-10 Years",
TRUE,"10+ Years")</f>
        <v>0-2 Years</v>
      </c>
    </row>
    <row r="1130" spans="1:41"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tr">
        <f t="shared" si="34"/>
        <v>Research</v>
      </c>
      <c r="AK1130">
        <f t="shared" si="35"/>
        <v>0</v>
      </c>
      <c r="AL1130">
        <f>IF(Table1[[#This Row],[Attrition]]="Yes", Table1[[#This Row],[MonthlyIncome]]*12*1.5, 0)</f>
        <v>0</v>
      </c>
      <c r="AM1130" t="str" cm="1">
        <f t="array" ref="AM1130">_xlfn.IFS(
Table1[[#This Row],[MonthlyIncome]]&lt;3000,"Under 3K",
Table1[[#This Row],[MonthlyIncome]]&lt;6000,"3K-6K",
Table1[[#This Row],[MonthlyIncome]]&lt;9000,"6K-9K",
Table1[[#This Row],[MonthlyIncome]]&lt;12000,"9K-12K",
TRUE,"12K+")</f>
        <v>3K-6K</v>
      </c>
      <c r="AN1130">
        <f>1</f>
        <v>1</v>
      </c>
      <c r="AO1130" t="str" cm="1">
        <f t="array" ref="AO1130">_xlfn.IFS(
Table1[[#This Row],[YearsAtCompany]]&lt;=2,"0-2 Years",
Table1[[#This Row],[YearsAtCompany]]&lt;=5,"3-5 Years",
Table1[[#This Row],[YearsAtCompany]]&lt;=10,"6-10 Years",
TRUE,"10+ Years")</f>
        <v>3-5 Years</v>
      </c>
    </row>
    <row r="1131" spans="1:41"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tr">
        <f t="shared" si="34"/>
        <v>Management</v>
      </c>
      <c r="AK1131">
        <f t="shared" si="35"/>
        <v>0</v>
      </c>
      <c r="AL1131">
        <f>IF(Table1[[#This Row],[Attrition]]="Yes", Table1[[#This Row],[MonthlyIncome]]*12*1.5, 0)</f>
        <v>0</v>
      </c>
      <c r="AM1131" t="str" cm="1">
        <f t="array" ref="AM1131">_xlfn.IFS(
Table1[[#This Row],[MonthlyIncome]]&lt;3000,"Under 3K",
Table1[[#This Row],[MonthlyIncome]]&lt;6000,"3K-6K",
Table1[[#This Row],[MonthlyIncome]]&lt;9000,"6K-9K",
Table1[[#This Row],[MonthlyIncome]]&lt;12000,"9K-12K",
TRUE,"12K+")</f>
        <v>12K+</v>
      </c>
      <c r="AN1131">
        <f>1</f>
        <v>1</v>
      </c>
      <c r="AO1131" t="str" cm="1">
        <f t="array" ref="AO1131">_xlfn.IFS(
Table1[[#This Row],[YearsAtCompany]]&lt;=2,"0-2 Years",
Table1[[#This Row],[YearsAtCompany]]&lt;=5,"3-5 Years",
Table1[[#This Row],[YearsAtCompany]]&lt;=10,"6-10 Years",
TRUE,"10+ Years")</f>
        <v>0-2 Years</v>
      </c>
    </row>
    <row r="1132" spans="1:41"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tr">
        <f t="shared" si="34"/>
        <v>Research</v>
      </c>
      <c r="AK1132">
        <f t="shared" si="35"/>
        <v>0</v>
      </c>
      <c r="AL1132">
        <f>IF(Table1[[#This Row],[Attrition]]="Yes", Table1[[#This Row],[MonthlyIncome]]*12*1.5, 0)</f>
        <v>0</v>
      </c>
      <c r="AM1132" t="str" cm="1">
        <f t="array" ref="AM1132">_xlfn.IFS(
Table1[[#This Row],[MonthlyIncome]]&lt;3000,"Under 3K",
Table1[[#This Row],[MonthlyIncome]]&lt;6000,"3K-6K",
Table1[[#This Row],[MonthlyIncome]]&lt;9000,"6K-9K",
Table1[[#This Row],[MonthlyIncome]]&lt;12000,"9K-12K",
TRUE,"12K+")</f>
        <v>3K-6K</v>
      </c>
      <c r="AN1132">
        <f>1</f>
        <v>1</v>
      </c>
      <c r="AO1132" t="str" cm="1">
        <f t="array" ref="AO1132">_xlfn.IFS(
Table1[[#This Row],[YearsAtCompany]]&lt;=2,"0-2 Years",
Table1[[#This Row],[YearsAtCompany]]&lt;=5,"3-5 Years",
Table1[[#This Row],[YearsAtCompany]]&lt;=10,"6-10 Years",
TRUE,"10+ Years")</f>
        <v>6-10 Years</v>
      </c>
    </row>
    <row r="1133" spans="1:41"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tr">
        <f t="shared" si="34"/>
        <v>Healthcare</v>
      </c>
      <c r="AK1133">
        <f t="shared" si="35"/>
        <v>0</v>
      </c>
      <c r="AL1133">
        <f>IF(Table1[[#This Row],[Attrition]]="Yes", Table1[[#This Row],[MonthlyIncome]]*12*1.5, 0)</f>
        <v>0</v>
      </c>
      <c r="AM1133" t="str" cm="1">
        <f t="array" ref="AM1133">_xlfn.IFS(
Table1[[#This Row],[MonthlyIncome]]&lt;3000,"Under 3K",
Table1[[#This Row],[MonthlyIncome]]&lt;6000,"3K-6K",
Table1[[#This Row],[MonthlyIncome]]&lt;9000,"6K-9K",
Table1[[#This Row],[MonthlyIncome]]&lt;12000,"9K-12K",
TRUE,"12K+")</f>
        <v>3K-6K</v>
      </c>
      <c r="AN1133">
        <f>1</f>
        <v>1</v>
      </c>
      <c r="AO1133" t="str" cm="1">
        <f t="array" ref="AO1133">_xlfn.IFS(
Table1[[#This Row],[YearsAtCompany]]&lt;=2,"0-2 Years",
Table1[[#This Row],[YearsAtCompany]]&lt;=5,"3-5 Years",
Table1[[#This Row],[YearsAtCompany]]&lt;=10,"6-10 Years",
TRUE,"10+ Years")</f>
        <v>6-10 Years</v>
      </c>
    </row>
    <row r="1134" spans="1:41"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tr">
        <f t="shared" si="34"/>
        <v>Sales</v>
      </c>
      <c r="AK1134">
        <f t="shared" si="35"/>
        <v>0</v>
      </c>
      <c r="AL1134">
        <f>IF(Table1[[#This Row],[Attrition]]="Yes", Table1[[#This Row],[MonthlyIncome]]*12*1.5, 0)</f>
        <v>0</v>
      </c>
      <c r="AM1134" t="str" cm="1">
        <f t="array" ref="AM1134">_xlfn.IFS(
Table1[[#This Row],[MonthlyIncome]]&lt;3000,"Under 3K",
Table1[[#This Row],[MonthlyIncome]]&lt;6000,"3K-6K",
Table1[[#This Row],[MonthlyIncome]]&lt;9000,"6K-9K",
Table1[[#This Row],[MonthlyIncome]]&lt;12000,"9K-12K",
TRUE,"12K+")</f>
        <v>3K-6K</v>
      </c>
      <c r="AN1134">
        <f>1</f>
        <v>1</v>
      </c>
      <c r="AO1134" t="str" cm="1">
        <f t="array" ref="AO1134">_xlfn.IFS(
Table1[[#This Row],[YearsAtCompany]]&lt;=2,"0-2 Years",
Table1[[#This Row],[YearsAtCompany]]&lt;=5,"3-5 Years",
Table1[[#This Row],[YearsAtCompany]]&lt;=10,"6-10 Years",
TRUE,"10+ Years")</f>
        <v>3-5 Years</v>
      </c>
    </row>
    <row r="1135" spans="1:41"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tr">
        <f t="shared" si="34"/>
        <v>Research</v>
      </c>
      <c r="AK1135">
        <f t="shared" si="35"/>
        <v>0</v>
      </c>
      <c r="AL1135">
        <f>IF(Table1[[#This Row],[Attrition]]="Yes", Table1[[#This Row],[MonthlyIncome]]*12*1.5, 0)</f>
        <v>0</v>
      </c>
      <c r="AM1135" t="str" cm="1">
        <f t="array" ref="AM1135">_xlfn.IFS(
Table1[[#This Row],[MonthlyIncome]]&lt;3000,"Under 3K",
Table1[[#This Row],[MonthlyIncome]]&lt;6000,"3K-6K",
Table1[[#This Row],[MonthlyIncome]]&lt;9000,"6K-9K",
Table1[[#This Row],[MonthlyIncome]]&lt;12000,"9K-12K",
TRUE,"12K+")</f>
        <v>3K-6K</v>
      </c>
      <c r="AN1135">
        <f>1</f>
        <v>1</v>
      </c>
      <c r="AO1135" t="str" cm="1">
        <f t="array" ref="AO1135">_xlfn.IFS(
Table1[[#This Row],[YearsAtCompany]]&lt;=2,"0-2 Years",
Table1[[#This Row],[YearsAtCompany]]&lt;=5,"3-5 Years",
Table1[[#This Row],[YearsAtCompany]]&lt;=10,"6-10 Years",
TRUE,"10+ Years")</f>
        <v>6-10 Years</v>
      </c>
    </row>
    <row r="1136" spans="1:41"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tr">
        <f t="shared" si="34"/>
        <v>Research</v>
      </c>
      <c r="AK1136">
        <f t="shared" si="35"/>
        <v>0</v>
      </c>
      <c r="AL1136">
        <f>IF(Table1[[#This Row],[Attrition]]="Yes", Table1[[#This Row],[MonthlyIncome]]*12*1.5, 0)</f>
        <v>0</v>
      </c>
      <c r="AM1136" t="str" cm="1">
        <f t="array" ref="AM1136">_xlfn.IFS(
Table1[[#This Row],[MonthlyIncome]]&lt;3000,"Under 3K",
Table1[[#This Row],[MonthlyIncome]]&lt;6000,"3K-6K",
Table1[[#This Row],[MonthlyIncome]]&lt;9000,"6K-9K",
Table1[[#This Row],[MonthlyIncome]]&lt;12000,"9K-12K",
TRUE,"12K+")</f>
        <v>Under 3K</v>
      </c>
      <c r="AN1136">
        <f>1</f>
        <v>1</v>
      </c>
      <c r="AO1136" t="str" cm="1">
        <f t="array" ref="AO1136">_xlfn.IFS(
Table1[[#This Row],[YearsAtCompany]]&lt;=2,"0-2 Years",
Table1[[#This Row],[YearsAtCompany]]&lt;=5,"3-5 Years",
Table1[[#This Row],[YearsAtCompany]]&lt;=10,"6-10 Years",
TRUE,"10+ Years")</f>
        <v>0-2 Years</v>
      </c>
    </row>
    <row r="1137" spans="1:41"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tr">
        <f t="shared" si="34"/>
        <v>Management</v>
      </c>
      <c r="AK1137">
        <f t="shared" si="35"/>
        <v>0</v>
      </c>
      <c r="AL1137">
        <f>IF(Table1[[#This Row],[Attrition]]="Yes", Table1[[#This Row],[MonthlyIncome]]*12*1.5, 0)</f>
        <v>0</v>
      </c>
      <c r="AM1137" t="str" cm="1">
        <f t="array" ref="AM1137">_xlfn.IFS(
Table1[[#This Row],[MonthlyIncome]]&lt;3000,"Under 3K",
Table1[[#This Row],[MonthlyIncome]]&lt;6000,"3K-6K",
Table1[[#This Row],[MonthlyIncome]]&lt;9000,"6K-9K",
Table1[[#This Row],[MonthlyIncome]]&lt;12000,"9K-12K",
TRUE,"12K+")</f>
        <v>12K+</v>
      </c>
      <c r="AN1137">
        <f>1</f>
        <v>1</v>
      </c>
      <c r="AO1137" t="str" cm="1">
        <f t="array" ref="AO1137">_xlfn.IFS(
Table1[[#This Row],[YearsAtCompany]]&lt;=2,"0-2 Years",
Table1[[#This Row],[YearsAtCompany]]&lt;=5,"3-5 Years",
Table1[[#This Row],[YearsAtCompany]]&lt;=10,"6-10 Years",
TRUE,"10+ Years")</f>
        <v>10+ Years</v>
      </c>
    </row>
    <row r="1138" spans="1:41"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tr">
        <f t="shared" si="34"/>
        <v>Research</v>
      </c>
      <c r="AK1138">
        <f t="shared" si="35"/>
        <v>1</v>
      </c>
      <c r="AL1138">
        <f>IF(Table1[[#This Row],[Attrition]]="Yes", Table1[[#This Row],[MonthlyIncome]]*12*1.5, 0)</f>
        <v>43344</v>
      </c>
      <c r="AM1138" t="str" cm="1">
        <f t="array" ref="AM1138">_xlfn.IFS(
Table1[[#This Row],[MonthlyIncome]]&lt;3000,"Under 3K",
Table1[[#This Row],[MonthlyIncome]]&lt;6000,"3K-6K",
Table1[[#This Row],[MonthlyIncome]]&lt;9000,"6K-9K",
Table1[[#This Row],[MonthlyIncome]]&lt;12000,"9K-12K",
TRUE,"12K+")</f>
        <v>Under 3K</v>
      </c>
      <c r="AN1138">
        <f>1</f>
        <v>1</v>
      </c>
      <c r="AO1138" t="str" cm="1">
        <f t="array" ref="AO1138">_xlfn.IFS(
Table1[[#This Row],[YearsAtCompany]]&lt;=2,"0-2 Years",
Table1[[#This Row],[YearsAtCompany]]&lt;=5,"3-5 Years",
Table1[[#This Row],[YearsAtCompany]]&lt;=10,"6-10 Years",
TRUE,"10+ Years")</f>
        <v>0-2 Years</v>
      </c>
    </row>
    <row r="1139" spans="1:41"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tr">
        <f t="shared" si="34"/>
        <v>Research</v>
      </c>
      <c r="AK1139">
        <f t="shared" si="35"/>
        <v>0</v>
      </c>
      <c r="AL1139">
        <f>IF(Table1[[#This Row],[Attrition]]="Yes", Table1[[#This Row],[MonthlyIncome]]*12*1.5, 0)</f>
        <v>0</v>
      </c>
      <c r="AM1139" t="str" cm="1">
        <f t="array" ref="AM1139">_xlfn.IFS(
Table1[[#This Row],[MonthlyIncome]]&lt;3000,"Under 3K",
Table1[[#This Row],[MonthlyIncome]]&lt;6000,"3K-6K",
Table1[[#This Row],[MonthlyIncome]]&lt;9000,"6K-9K",
Table1[[#This Row],[MonthlyIncome]]&lt;12000,"9K-12K",
TRUE,"12K+")</f>
        <v>Under 3K</v>
      </c>
      <c r="AN1139">
        <f>1</f>
        <v>1</v>
      </c>
      <c r="AO1139" t="str" cm="1">
        <f t="array" ref="AO1139">_xlfn.IFS(
Table1[[#This Row],[YearsAtCompany]]&lt;=2,"0-2 Years",
Table1[[#This Row],[YearsAtCompany]]&lt;=5,"3-5 Years",
Table1[[#This Row],[YearsAtCompany]]&lt;=10,"6-10 Years",
TRUE,"10+ Years")</f>
        <v>3-5 Years</v>
      </c>
    </row>
    <row r="1140" spans="1:41"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tr">
        <f t="shared" si="34"/>
        <v>Healthcare</v>
      </c>
      <c r="AK1140">
        <f t="shared" si="35"/>
        <v>0</v>
      </c>
      <c r="AL1140">
        <f>IF(Table1[[#This Row],[Attrition]]="Yes", Table1[[#This Row],[MonthlyIncome]]*12*1.5, 0)</f>
        <v>0</v>
      </c>
      <c r="AM1140" t="str" cm="1">
        <f t="array" ref="AM1140">_xlfn.IFS(
Table1[[#This Row],[MonthlyIncome]]&lt;3000,"Under 3K",
Table1[[#This Row],[MonthlyIncome]]&lt;6000,"3K-6K",
Table1[[#This Row],[MonthlyIncome]]&lt;9000,"6K-9K",
Table1[[#This Row],[MonthlyIncome]]&lt;12000,"9K-12K",
TRUE,"12K+")</f>
        <v>9K-12K</v>
      </c>
      <c r="AN1140">
        <f>1</f>
        <v>1</v>
      </c>
      <c r="AO1140" t="str" cm="1">
        <f t="array" ref="AO1140">_xlfn.IFS(
Table1[[#This Row],[YearsAtCompany]]&lt;=2,"0-2 Years",
Table1[[#This Row],[YearsAtCompany]]&lt;=5,"3-5 Years",
Table1[[#This Row],[YearsAtCompany]]&lt;=10,"6-10 Years",
TRUE,"10+ Years")</f>
        <v>10+ Years</v>
      </c>
    </row>
    <row r="1141" spans="1:41"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tr">
        <f t="shared" si="34"/>
        <v>Research</v>
      </c>
      <c r="AK1141">
        <f t="shared" si="35"/>
        <v>0</v>
      </c>
      <c r="AL1141">
        <f>IF(Table1[[#This Row],[Attrition]]="Yes", Table1[[#This Row],[MonthlyIncome]]*12*1.5, 0)</f>
        <v>0</v>
      </c>
      <c r="AM1141" t="str" cm="1">
        <f t="array" ref="AM1141">_xlfn.IFS(
Table1[[#This Row],[MonthlyIncome]]&lt;3000,"Under 3K",
Table1[[#This Row],[MonthlyIncome]]&lt;6000,"3K-6K",
Table1[[#This Row],[MonthlyIncome]]&lt;9000,"6K-9K",
Table1[[#This Row],[MonthlyIncome]]&lt;12000,"9K-12K",
TRUE,"12K+")</f>
        <v>3K-6K</v>
      </c>
      <c r="AN1141">
        <f>1</f>
        <v>1</v>
      </c>
      <c r="AO1141" t="str" cm="1">
        <f t="array" ref="AO1141">_xlfn.IFS(
Table1[[#This Row],[YearsAtCompany]]&lt;=2,"0-2 Years",
Table1[[#This Row],[YearsAtCompany]]&lt;=5,"3-5 Years",
Table1[[#This Row],[YearsAtCompany]]&lt;=10,"6-10 Years",
TRUE,"10+ Years")</f>
        <v>3-5 Years</v>
      </c>
    </row>
    <row r="1142" spans="1:41"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tr">
        <f t="shared" si="34"/>
        <v>Research</v>
      </c>
      <c r="AK1142">
        <f t="shared" si="35"/>
        <v>0</v>
      </c>
      <c r="AL1142">
        <f>IF(Table1[[#This Row],[Attrition]]="Yes", Table1[[#This Row],[MonthlyIncome]]*12*1.5, 0)</f>
        <v>0</v>
      </c>
      <c r="AM1142" t="str" cm="1">
        <f t="array" ref="AM1142">_xlfn.IFS(
Table1[[#This Row],[MonthlyIncome]]&lt;3000,"Under 3K",
Table1[[#This Row],[MonthlyIncome]]&lt;6000,"3K-6K",
Table1[[#This Row],[MonthlyIncome]]&lt;9000,"6K-9K",
Table1[[#This Row],[MonthlyIncome]]&lt;12000,"9K-12K",
TRUE,"12K+")</f>
        <v>12K+</v>
      </c>
      <c r="AN1142">
        <f>1</f>
        <v>1</v>
      </c>
      <c r="AO1142" t="str" cm="1">
        <f t="array" ref="AO1142">_xlfn.IFS(
Table1[[#This Row],[YearsAtCompany]]&lt;=2,"0-2 Years",
Table1[[#This Row],[YearsAtCompany]]&lt;=5,"3-5 Years",
Table1[[#This Row],[YearsAtCompany]]&lt;=10,"6-10 Years",
TRUE,"10+ Years")</f>
        <v>10+ Years</v>
      </c>
    </row>
    <row r="1143" spans="1:41"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tr">
        <f t="shared" si="34"/>
        <v>Research</v>
      </c>
      <c r="AK1143">
        <f t="shared" si="35"/>
        <v>0</v>
      </c>
      <c r="AL1143">
        <f>IF(Table1[[#This Row],[Attrition]]="Yes", Table1[[#This Row],[MonthlyIncome]]*12*1.5, 0)</f>
        <v>0</v>
      </c>
      <c r="AM1143" t="str" cm="1">
        <f t="array" ref="AM1143">_xlfn.IFS(
Table1[[#This Row],[MonthlyIncome]]&lt;3000,"Under 3K",
Table1[[#This Row],[MonthlyIncome]]&lt;6000,"3K-6K",
Table1[[#This Row],[MonthlyIncome]]&lt;9000,"6K-9K",
Table1[[#This Row],[MonthlyIncome]]&lt;12000,"9K-12K",
TRUE,"12K+")</f>
        <v>Under 3K</v>
      </c>
      <c r="AN1143">
        <f>1</f>
        <v>1</v>
      </c>
      <c r="AO1143" t="str" cm="1">
        <f t="array" ref="AO1143">_xlfn.IFS(
Table1[[#This Row],[YearsAtCompany]]&lt;=2,"0-2 Years",
Table1[[#This Row],[YearsAtCompany]]&lt;=5,"3-5 Years",
Table1[[#This Row],[YearsAtCompany]]&lt;=10,"6-10 Years",
TRUE,"10+ Years")</f>
        <v>6-10 Years</v>
      </c>
    </row>
    <row r="1144" spans="1:41"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tr">
        <f t="shared" si="34"/>
        <v>Research</v>
      </c>
      <c r="AK1144">
        <f t="shared" si="35"/>
        <v>0</v>
      </c>
      <c r="AL1144">
        <f>IF(Table1[[#This Row],[Attrition]]="Yes", Table1[[#This Row],[MonthlyIncome]]*12*1.5, 0)</f>
        <v>0</v>
      </c>
      <c r="AM1144" t="str" cm="1">
        <f t="array" ref="AM1144">_xlfn.IFS(
Table1[[#This Row],[MonthlyIncome]]&lt;3000,"Under 3K",
Table1[[#This Row],[MonthlyIncome]]&lt;6000,"3K-6K",
Table1[[#This Row],[MonthlyIncome]]&lt;9000,"6K-9K",
Table1[[#This Row],[MonthlyIncome]]&lt;12000,"9K-12K",
TRUE,"12K+")</f>
        <v>3K-6K</v>
      </c>
      <c r="AN1144">
        <f>1</f>
        <v>1</v>
      </c>
      <c r="AO1144" t="str" cm="1">
        <f t="array" ref="AO1144">_xlfn.IFS(
Table1[[#This Row],[YearsAtCompany]]&lt;=2,"0-2 Years",
Table1[[#This Row],[YearsAtCompany]]&lt;=5,"3-5 Years",
Table1[[#This Row],[YearsAtCompany]]&lt;=10,"6-10 Years",
TRUE,"10+ Years")</f>
        <v>6-10 Years</v>
      </c>
    </row>
    <row r="1145" spans="1:41"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tr">
        <f t="shared" si="34"/>
        <v>Sales</v>
      </c>
      <c r="AK1145">
        <f t="shared" si="35"/>
        <v>0</v>
      </c>
      <c r="AL1145">
        <f>IF(Table1[[#This Row],[Attrition]]="Yes", Table1[[#This Row],[MonthlyIncome]]*12*1.5, 0)</f>
        <v>0</v>
      </c>
      <c r="AM1145" t="str" cm="1">
        <f t="array" ref="AM1145">_xlfn.IFS(
Table1[[#This Row],[MonthlyIncome]]&lt;3000,"Under 3K",
Table1[[#This Row],[MonthlyIncome]]&lt;6000,"3K-6K",
Table1[[#This Row],[MonthlyIncome]]&lt;9000,"6K-9K",
Table1[[#This Row],[MonthlyIncome]]&lt;12000,"9K-12K",
TRUE,"12K+")</f>
        <v>3K-6K</v>
      </c>
      <c r="AN1145">
        <f>1</f>
        <v>1</v>
      </c>
      <c r="AO1145" t="str" cm="1">
        <f t="array" ref="AO1145">_xlfn.IFS(
Table1[[#This Row],[YearsAtCompany]]&lt;=2,"0-2 Years",
Table1[[#This Row],[YearsAtCompany]]&lt;=5,"3-5 Years",
Table1[[#This Row],[YearsAtCompany]]&lt;=10,"6-10 Years",
TRUE,"10+ Years")</f>
        <v>6-10 Years</v>
      </c>
    </row>
    <row r="1146" spans="1:41"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tr">
        <f t="shared" si="34"/>
        <v>Sales</v>
      </c>
      <c r="AK1146">
        <f t="shared" si="35"/>
        <v>0</v>
      </c>
      <c r="AL1146">
        <f>IF(Table1[[#This Row],[Attrition]]="Yes", Table1[[#This Row],[MonthlyIncome]]*12*1.5, 0)</f>
        <v>0</v>
      </c>
      <c r="AM1146" t="str" cm="1">
        <f t="array" ref="AM1146">_xlfn.IFS(
Table1[[#This Row],[MonthlyIncome]]&lt;3000,"Under 3K",
Table1[[#This Row],[MonthlyIncome]]&lt;6000,"3K-6K",
Table1[[#This Row],[MonthlyIncome]]&lt;9000,"6K-9K",
Table1[[#This Row],[MonthlyIncome]]&lt;12000,"9K-12K",
TRUE,"12K+")</f>
        <v>3K-6K</v>
      </c>
      <c r="AN1146">
        <f>1</f>
        <v>1</v>
      </c>
      <c r="AO1146" t="str" cm="1">
        <f t="array" ref="AO1146">_xlfn.IFS(
Table1[[#This Row],[YearsAtCompany]]&lt;=2,"0-2 Years",
Table1[[#This Row],[YearsAtCompany]]&lt;=5,"3-5 Years",
Table1[[#This Row],[YearsAtCompany]]&lt;=10,"6-10 Years",
TRUE,"10+ Years")</f>
        <v>3-5 Years</v>
      </c>
    </row>
    <row r="1147" spans="1:41"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tr">
        <f t="shared" si="34"/>
        <v>Operations</v>
      </c>
      <c r="AK1147">
        <f t="shared" si="35"/>
        <v>0</v>
      </c>
      <c r="AL1147">
        <f>IF(Table1[[#This Row],[Attrition]]="Yes", Table1[[#This Row],[MonthlyIncome]]*12*1.5, 0)</f>
        <v>0</v>
      </c>
      <c r="AM1147" t="str" cm="1">
        <f t="array" ref="AM1147">_xlfn.IFS(
Table1[[#This Row],[MonthlyIncome]]&lt;3000,"Under 3K",
Table1[[#This Row],[MonthlyIncome]]&lt;6000,"3K-6K",
Table1[[#This Row],[MonthlyIncome]]&lt;9000,"6K-9K",
Table1[[#This Row],[MonthlyIncome]]&lt;12000,"9K-12K",
TRUE,"12K+")</f>
        <v>3K-6K</v>
      </c>
      <c r="AN1147">
        <f>1</f>
        <v>1</v>
      </c>
      <c r="AO1147" t="str" cm="1">
        <f t="array" ref="AO1147">_xlfn.IFS(
Table1[[#This Row],[YearsAtCompany]]&lt;=2,"0-2 Years",
Table1[[#This Row],[YearsAtCompany]]&lt;=5,"3-5 Years",
Table1[[#This Row],[YearsAtCompany]]&lt;=10,"6-10 Years",
TRUE,"10+ Years")</f>
        <v>3-5 Years</v>
      </c>
    </row>
    <row r="1148" spans="1:41"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tr">
        <f t="shared" si="34"/>
        <v>Operations</v>
      </c>
      <c r="AK1148">
        <f t="shared" si="35"/>
        <v>0</v>
      </c>
      <c r="AL1148">
        <f>IF(Table1[[#This Row],[Attrition]]="Yes", Table1[[#This Row],[MonthlyIncome]]*12*1.5, 0)</f>
        <v>0</v>
      </c>
      <c r="AM1148" t="str" cm="1">
        <f t="array" ref="AM1148">_xlfn.IFS(
Table1[[#This Row],[MonthlyIncome]]&lt;3000,"Under 3K",
Table1[[#This Row],[MonthlyIncome]]&lt;6000,"3K-6K",
Table1[[#This Row],[MonthlyIncome]]&lt;9000,"6K-9K",
Table1[[#This Row],[MonthlyIncome]]&lt;12000,"9K-12K",
TRUE,"12K+")</f>
        <v>3K-6K</v>
      </c>
      <c r="AN1148">
        <f>1</f>
        <v>1</v>
      </c>
      <c r="AO1148" t="str" cm="1">
        <f t="array" ref="AO1148">_xlfn.IFS(
Table1[[#This Row],[YearsAtCompany]]&lt;=2,"0-2 Years",
Table1[[#This Row],[YearsAtCompany]]&lt;=5,"3-5 Years",
Table1[[#This Row],[YearsAtCompany]]&lt;=10,"6-10 Years",
TRUE,"10+ Years")</f>
        <v>6-10 Years</v>
      </c>
    </row>
    <row r="1149" spans="1:41"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tr">
        <f t="shared" si="34"/>
        <v>Research</v>
      </c>
      <c r="AK1149">
        <f t="shared" si="35"/>
        <v>0</v>
      </c>
      <c r="AL1149">
        <f>IF(Table1[[#This Row],[Attrition]]="Yes", Table1[[#This Row],[MonthlyIncome]]*12*1.5, 0)</f>
        <v>0</v>
      </c>
      <c r="AM1149" t="str" cm="1">
        <f t="array" ref="AM1149">_xlfn.IFS(
Table1[[#This Row],[MonthlyIncome]]&lt;3000,"Under 3K",
Table1[[#This Row],[MonthlyIncome]]&lt;6000,"3K-6K",
Table1[[#This Row],[MonthlyIncome]]&lt;9000,"6K-9K",
Table1[[#This Row],[MonthlyIncome]]&lt;12000,"9K-12K",
TRUE,"12K+")</f>
        <v>3K-6K</v>
      </c>
      <c r="AN1149">
        <f>1</f>
        <v>1</v>
      </c>
      <c r="AO1149" t="str" cm="1">
        <f t="array" ref="AO1149">_xlfn.IFS(
Table1[[#This Row],[YearsAtCompany]]&lt;=2,"0-2 Years",
Table1[[#This Row],[YearsAtCompany]]&lt;=5,"3-5 Years",
Table1[[#This Row],[YearsAtCompany]]&lt;=10,"6-10 Years",
TRUE,"10+ Years")</f>
        <v>6-10 Years</v>
      </c>
    </row>
    <row r="1150" spans="1:41"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tr">
        <f t="shared" si="34"/>
        <v>Operations</v>
      </c>
      <c r="AK1150">
        <f t="shared" si="35"/>
        <v>0</v>
      </c>
      <c r="AL1150">
        <f>IF(Table1[[#This Row],[Attrition]]="Yes", Table1[[#This Row],[MonthlyIncome]]*12*1.5, 0)</f>
        <v>0</v>
      </c>
      <c r="AM1150" t="str" cm="1">
        <f t="array" ref="AM1150">_xlfn.IFS(
Table1[[#This Row],[MonthlyIncome]]&lt;3000,"Under 3K",
Table1[[#This Row],[MonthlyIncome]]&lt;6000,"3K-6K",
Table1[[#This Row],[MonthlyIncome]]&lt;9000,"6K-9K",
Table1[[#This Row],[MonthlyIncome]]&lt;12000,"9K-12K",
TRUE,"12K+")</f>
        <v>3K-6K</v>
      </c>
      <c r="AN1150">
        <f>1</f>
        <v>1</v>
      </c>
      <c r="AO1150" t="str" cm="1">
        <f t="array" ref="AO1150">_xlfn.IFS(
Table1[[#This Row],[YearsAtCompany]]&lt;=2,"0-2 Years",
Table1[[#This Row],[YearsAtCompany]]&lt;=5,"3-5 Years",
Table1[[#This Row],[YearsAtCompany]]&lt;=10,"6-10 Years",
TRUE,"10+ Years")</f>
        <v>6-10 Years</v>
      </c>
    </row>
    <row r="1151" spans="1:41"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tr">
        <f t="shared" si="34"/>
        <v>Research</v>
      </c>
      <c r="AK1151">
        <f t="shared" si="35"/>
        <v>0</v>
      </c>
      <c r="AL1151">
        <f>IF(Table1[[#This Row],[Attrition]]="Yes", Table1[[#This Row],[MonthlyIncome]]*12*1.5, 0)</f>
        <v>0</v>
      </c>
      <c r="AM1151" t="str" cm="1">
        <f t="array" ref="AM1151">_xlfn.IFS(
Table1[[#This Row],[MonthlyIncome]]&lt;3000,"Under 3K",
Table1[[#This Row],[MonthlyIncome]]&lt;6000,"3K-6K",
Table1[[#This Row],[MonthlyIncome]]&lt;9000,"6K-9K",
Table1[[#This Row],[MonthlyIncome]]&lt;12000,"9K-12K",
TRUE,"12K+")</f>
        <v>3K-6K</v>
      </c>
      <c r="AN1151">
        <f>1</f>
        <v>1</v>
      </c>
      <c r="AO1151" t="str" cm="1">
        <f t="array" ref="AO1151">_xlfn.IFS(
Table1[[#This Row],[YearsAtCompany]]&lt;=2,"0-2 Years",
Table1[[#This Row],[YearsAtCompany]]&lt;=5,"3-5 Years",
Table1[[#This Row],[YearsAtCompany]]&lt;=10,"6-10 Years",
TRUE,"10+ Years")</f>
        <v>6-10 Years</v>
      </c>
    </row>
    <row r="1152" spans="1:41"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tr">
        <f t="shared" si="34"/>
        <v>Research</v>
      </c>
      <c r="AK1152">
        <f t="shared" si="35"/>
        <v>0</v>
      </c>
      <c r="AL1152">
        <f>IF(Table1[[#This Row],[Attrition]]="Yes", Table1[[#This Row],[MonthlyIncome]]*12*1.5, 0)</f>
        <v>0</v>
      </c>
      <c r="AM1152" t="str" cm="1">
        <f t="array" ref="AM1152">_xlfn.IFS(
Table1[[#This Row],[MonthlyIncome]]&lt;3000,"Under 3K",
Table1[[#This Row],[MonthlyIncome]]&lt;6000,"3K-6K",
Table1[[#This Row],[MonthlyIncome]]&lt;9000,"6K-9K",
Table1[[#This Row],[MonthlyIncome]]&lt;12000,"9K-12K",
TRUE,"12K+")</f>
        <v>3K-6K</v>
      </c>
      <c r="AN1152">
        <f>1</f>
        <v>1</v>
      </c>
      <c r="AO1152" t="str" cm="1">
        <f t="array" ref="AO1152">_xlfn.IFS(
Table1[[#This Row],[YearsAtCompany]]&lt;=2,"0-2 Years",
Table1[[#This Row],[YearsAtCompany]]&lt;=5,"3-5 Years",
Table1[[#This Row],[YearsAtCompany]]&lt;=10,"6-10 Years",
TRUE,"10+ Years")</f>
        <v>10+ Years</v>
      </c>
    </row>
    <row r="1153" spans="1:41"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tr">
        <f t="shared" si="34"/>
        <v>Operations</v>
      </c>
      <c r="AK1153">
        <f t="shared" si="35"/>
        <v>0</v>
      </c>
      <c r="AL1153">
        <f>IF(Table1[[#This Row],[Attrition]]="Yes", Table1[[#This Row],[MonthlyIncome]]*12*1.5, 0)</f>
        <v>0</v>
      </c>
      <c r="AM1153" t="str" cm="1">
        <f t="array" ref="AM1153">_xlfn.IFS(
Table1[[#This Row],[MonthlyIncome]]&lt;3000,"Under 3K",
Table1[[#This Row],[MonthlyIncome]]&lt;6000,"3K-6K",
Table1[[#This Row],[MonthlyIncome]]&lt;9000,"6K-9K",
Table1[[#This Row],[MonthlyIncome]]&lt;12000,"9K-12K",
TRUE,"12K+")</f>
        <v>3K-6K</v>
      </c>
      <c r="AN1153">
        <f>1</f>
        <v>1</v>
      </c>
      <c r="AO1153" t="str" cm="1">
        <f t="array" ref="AO1153">_xlfn.IFS(
Table1[[#This Row],[YearsAtCompany]]&lt;=2,"0-2 Years",
Table1[[#This Row],[YearsAtCompany]]&lt;=5,"3-5 Years",
Table1[[#This Row],[YearsAtCompany]]&lt;=10,"6-10 Years",
TRUE,"10+ Years")</f>
        <v>3-5 Years</v>
      </c>
    </row>
    <row r="1154" spans="1:41"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tr">
        <f t="shared" si="34"/>
        <v>Research</v>
      </c>
      <c r="AK1154">
        <f t="shared" si="35"/>
        <v>0</v>
      </c>
      <c r="AL1154">
        <f>IF(Table1[[#This Row],[Attrition]]="Yes", Table1[[#This Row],[MonthlyIncome]]*12*1.5, 0)</f>
        <v>0</v>
      </c>
      <c r="AM1154" t="str" cm="1">
        <f t="array" ref="AM1154">_xlfn.IFS(
Table1[[#This Row],[MonthlyIncome]]&lt;3000,"Under 3K",
Table1[[#This Row],[MonthlyIncome]]&lt;6000,"3K-6K",
Table1[[#This Row],[MonthlyIncome]]&lt;9000,"6K-9K",
Table1[[#This Row],[MonthlyIncome]]&lt;12000,"9K-12K",
TRUE,"12K+")</f>
        <v>3K-6K</v>
      </c>
      <c r="AN1154">
        <f>1</f>
        <v>1</v>
      </c>
      <c r="AO1154" t="str" cm="1">
        <f t="array" ref="AO1154">_xlfn.IFS(
Table1[[#This Row],[YearsAtCompany]]&lt;=2,"0-2 Years",
Table1[[#This Row],[YearsAtCompany]]&lt;=5,"3-5 Years",
Table1[[#This Row],[YearsAtCompany]]&lt;=10,"6-10 Years",
TRUE,"10+ Years")</f>
        <v>0-2 Years</v>
      </c>
    </row>
    <row r="1155" spans="1:41"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tr">
        <f t="shared" ref="AJ1155:AJ1218" si="36">_xlfn.XLOOKUP(P1155, $AP$2:$AP$10,$AQ$2:$AQ$10)</f>
        <v>Sales</v>
      </c>
      <c r="AK1155">
        <f t="shared" ref="AK1155:AK1218" si="37">IF(B1155 ="Yes",1,0)</f>
        <v>1</v>
      </c>
      <c r="AL1155">
        <f>IF(Table1[[#This Row],[Attrition]]="Yes", Table1[[#This Row],[MonthlyIncome]]*12*1.5, 0)</f>
        <v>28242</v>
      </c>
      <c r="AM1155" t="str" cm="1">
        <f t="array" ref="AM1155">_xlfn.IFS(
Table1[[#This Row],[MonthlyIncome]]&lt;3000,"Under 3K",
Table1[[#This Row],[MonthlyIncome]]&lt;6000,"3K-6K",
Table1[[#This Row],[MonthlyIncome]]&lt;9000,"6K-9K",
Table1[[#This Row],[MonthlyIncome]]&lt;12000,"9K-12K",
TRUE,"12K+")</f>
        <v>Under 3K</v>
      </c>
      <c r="AN1155">
        <f>1</f>
        <v>1</v>
      </c>
      <c r="AO1155" t="str" cm="1">
        <f t="array" ref="AO1155">_xlfn.IFS(
Table1[[#This Row],[YearsAtCompany]]&lt;=2,"0-2 Years",
Table1[[#This Row],[YearsAtCompany]]&lt;=5,"3-5 Years",
Table1[[#This Row],[YearsAtCompany]]&lt;=10,"6-10 Years",
TRUE,"10+ Years")</f>
        <v>0-2 Years</v>
      </c>
    </row>
    <row r="1156" spans="1:41"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tr">
        <f t="shared" si="36"/>
        <v>Management</v>
      </c>
      <c r="AK1156">
        <f t="shared" si="37"/>
        <v>0</v>
      </c>
      <c r="AL1156">
        <f>IF(Table1[[#This Row],[Attrition]]="Yes", Table1[[#This Row],[MonthlyIncome]]*12*1.5, 0)</f>
        <v>0</v>
      </c>
      <c r="AM1156" t="str" cm="1">
        <f t="array" ref="AM1156">_xlfn.IFS(
Table1[[#This Row],[MonthlyIncome]]&lt;3000,"Under 3K",
Table1[[#This Row],[MonthlyIncome]]&lt;6000,"3K-6K",
Table1[[#This Row],[MonthlyIncome]]&lt;9000,"6K-9K",
Table1[[#This Row],[MonthlyIncome]]&lt;12000,"9K-12K",
TRUE,"12K+")</f>
        <v>12K+</v>
      </c>
      <c r="AN1156">
        <f>1</f>
        <v>1</v>
      </c>
      <c r="AO1156" t="str" cm="1">
        <f t="array" ref="AO1156">_xlfn.IFS(
Table1[[#This Row],[YearsAtCompany]]&lt;=2,"0-2 Years",
Table1[[#This Row],[YearsAtCompany]]&lt;=5,"3-5 Years",
Table1[[#This Row],[YearsAtCompany]]&lt;=10,"6-10 Years",
TRUE,"10+ Years")</f>
        <v>3-5 Years</v>
      </c>
    </row>
    <row r="1157" spans="1:41"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tr">
        <f t="shared" si="36"/>
        <v>Research</v>
      </c>
      <c r="AK1157">
        <f t="shared" si="37"/>
        <v>0</v>
      </c>
      <c r="AL1157">
        <f>IF(Table1[[#This Row],[Attrition]]="Yes", Table1[[#This Row],[MonthlyIncome]]*12*1.5, 0)</f>
        <v>0</v>
      </c>
      <c r="AM1157" t="str" cm="1">
        <f t="array" ref="AM1157">_xlfn.IFS(
Table1[[#This Row],[MonthlyIncome]]&lt;3000,"Under 3K",
Table1[[#This Row],[MonthlyIncome]]&lt;6000,"3K-6K",
Table1[[#This Row],[MonthlyIncome]]&lt;9000,"6K-9K",
Table1[[#This Row],[MonthlyIncome]]&lt;12000,"9K-12K",
TRUE,"12K+")</f>
        <v>3K-6K</v>
      </c>
      <c r="AN1157">
        <f>1</f>
        <v>1</v>
      </c>
      <c r="AO1157" t="str" cm="1">
        <f t="array" ref="AO1157">_xlfn.IFS(
Table1[[#This Row],[YearsAtCompany]]&lt;=2,"0-2 Years",
Table1[[#This Row],[YearsAtCompany]]&lt;=5,"3-5 Years",
Table1[[#This Row],[YearsAtCompany]]&lt;=10,"6-10 Years",
TRUE,"10+ Years")</f>
        <v>6-10 Years</v>
      </c>
    </row>
    <row r="1158" spans="1:41"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tr">
        <f t="shared" si="36"/>
        <v>Operations</v>
      </c>
      <c r="AK1158">
        <f t="shared" si="37"/>
        <v>0</v>
      </c>
      <c r="AL1158">
        <f>IF(Table1[[#This Row],[Attrition]]="Yes", Table1[[#This Row],[MonthlyIncome]]*12*1.5, 0)</f>
        <v>0</v>
      </c>
      <c r="AM1158" t="str" cm="1">
        <f t="array" ref="AM1158">_xlfn.IFS(
Table1[[#This Row],[MonthlyIncome]]&lt;3000,"Under 3K",
Table1[[#This Row],[MonthlyIncome]]&lt;6000,"3K-6K",
Table1[[#This Row],[MonthlyIncome]]&lt;9000,"6K-9K",
Table1[[#This Row],[MonthlyIncome]]&lt;12000,"9K-12K",
TRUE,"12K+")</f>
        <v>9K-12K</v>
      </c>
      <c r="AN1158">
        <f>1</f>
        <v>1</v>
      </c>
      <c r="AO1158" t="str" cm="1">
        <f t="array" ref="AO1158">_xlfn.IFS(
Table1[[#This Row],[YearsAtCompany]]&lt;=2,"0-2 Years",
Table1[[#This Row],[YearsAtCompany]]&lt;=5,"3-5 Years",
Table1[[#This Row],[YearsAtCompany]]&lt;=10,"6-10 Years",
TRUE,"10+ Years")</f>
        <v>10+ Years</v>
      </c>
    </row>
    <row r="1159" spans="1:41"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tr">
        <f t="shared" si="36"/>
        <v>Healthcare</v>
      </c>
      <c r="AK1159">
        <f t="shared" si="37"/>
        <v>0</v>
      </c>
      <c r="AL1159">
        <f>IF(Table1[[#This Row],[Attrition]]="Yes", Table1[[#This Row],[MonthlyIncome]]*12*1.5, 0)</f>
        <v>0</v>
      </c>
      <c r="AM1159" t="str" cm="1">
        <f t="array" ref="AM1159">_xlfn.IFS(
Table1[[#This Row],[MonthlyIncome]]&lt;3000,"Under 3K",
Table1[[#This Row],[MonthlyIncome]]&lt;6000,"3K-6K",
Table1[[#This Row],[MonthlyIncome]]&lt;9000,"6K-9K",
Table1[[#This Row],[MonthlyIncome]]&lt;12000,"9K-12K",
TRUE,"12K+")</f>
        <v>3K-6K</v>
      </c>
      <c r="AN1159">
        <f>1</f>
        <v>1</v>
      </c>
      <c r="AO1159" t="str" cm="1">
        <f t="array" ref="AO1159">_xlfn.IFS(
Table1[[#This Row],[YearsAtCompany]]&lt;=2,"0-2 Years",
Table1[[#This Row],[YearsAtCompany]]&lt;=5,"3-5 Years",
Table1[[#This Row],[YearsAtCompany]]&lt;=10,"6-10 Years",
TRUE,"10+ Years")</f>
        <v>10+ Years</v>
      </c>
    </row>
    <row r="1160" spans="1:41"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tr">
        <f t="shared" si="36"/>
        <v>Operations</v>
      </c>
      <c r="AK1160">
        <f t="shared" si="37"/>
        <v>0</v>
      </c>
      <c r="AL1160">
        <f>IF(Table1[[#This Row],[Attrition]]="Yes", Table1[[#This Row],[MonthlyIncome]]*12*1.5, 0)</f>
        <v>0</v>
      </c>
      <c r="AM1160" t="str" cm="1">
        <f t="array" ref="AM1160">_xlfn.IFS(
Table1[[#This Row],[MonthlyIncome]]&lt;3000,"Under 3K",
Table1[[#This Row],[MonthlyIncome]]&lt;6000,"3K-6K",
Table1[[#This Row],[MonthlyIncome]]&lt;9000,"6K-9K",
Table1[[#This Row],[MonthlyIncome]]&lt;12000,"9K-12K",
TRUE,"12K+")</f>
        <v>3K-6K</v>
      </c>
      <c r="AN1160">
        <f>1</f>
        <v>1</v>
      </c>
      <c r="AO1160" t="str" cm="1">
        <f t="array" ref="AO1160">_xlfn.IFS(
Table1[[#This Row],[YearsAtCompany]]&lt;=2,"0-2 Years",
Table1[[#This Row],[YearsAtCompany]]&lt;=5,"3-5 Years",
Table1[[#This Row],[YearsAtCompany]]&lt;=10,"6-10 Years",
TRUE,"10+ Years")</f>
        <v>3-5 Years</v>
      </c>
    </row>
    <row r="1161" spans="1:41"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tr">
        <f t="shared" si="36"/>
        <v>Operations</v>
      </c>
      <c r="AK1161">
        <f t="shared" si="37"/>
        <v>0</v>
      </c>
      <c r="AL1161">
        <f>IF(Table1[[#This Row],[Attrition]]="Yes", Table1[[#This Row],[MonthlyIncome]]*12*1.5, 0)</f>
        <v>0</v>
      </c>
      <c r="AM1161" t="str" cm="1">
        <f t="array" ref="AM1161">_xlfn.IFS(
Table1[[#This Row],[MonthlyIncome]]&lt;3000,"Under 3K",
Table1[[#This Row],[MonthlyIncome]]&lt;6000,"3K-6K",
Table1[[#This Row],[MonthlyIncome]]&lt;9000,"6K-9K",
Table1[[#This Row],[MonthlyIncome]]&lt;12000,"9K-12K",
TRUE,"12K+")</f>
        <v>3K-6K</v>
      </c>
      <c r="AN1161">
        <f>1</f>
        <v>1</v>
      </c>
      <c r="AO1161" t="str" cm="1">
        <f t="array" ref="AO1161">_xlfn.IFS(
Table1[[#This Row],[YearsAtCompany]]&lt;=2,"0-2 Years",
Table1[[#This Row],[YearsAtCompany]]&lt;=5,"3-5 Years",
Table1[[#This Row],[YearsAtCompany]]&lt;=10,"6-10 Years",
TRUE,"10+ Years")</f>
        <v>6-10 Years</v>
      </c>
    </row>
    <row r="1162" spans="1:41"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tr">
        <f t="shared" si="36"/>
        <v>Operations</v>
      </c>
      <c r="AK1162">
        <f t="shared" si="37"/>
        <v>0</v>
      </c>
      <c r="AL1162">
        <f>IF(Table1[[#This Row],[Attrition]]="Yes", Table1[[#This Row],[MonthlyIncome]]*12*1.5, 0)</f>
        <v>0</v>
      </c>
      <c r="AM1162" t="str" cm="1">
        <f t="array" ref="AM1162">_xlfn.IFS(
Table1[[#This Row],[MonthlyIncome]]&lt;3000,"Under 3K",
Table1[[#This Row],[MonthlyIncome]]&lt;6000,"3K-6K",
Table1[[#This Row],[MonthlyIncome]]&lt;9000,"6K-9K",
Table1[[#This Row],[MonthlyIncome]]&lt;12000,"9K-12K",
TRUE,"12K+")</f>
        <v>3K-6K</v>
      </c>
      <c r="AN1162">
        <f>1</f>
        <v>1</v>
      </c>
      <c r="AO1162" t="str" cm="1">
        <f t="array" ref="AO1162">_xlfn.IFS(
Table1[[#This Row],[YearsAtCompany]]&lt;=2,"0-2 Years",
Table1[[#This Row],[YearsAtCompany]]&lt;=5,"3-5 Years",
Table1[[#This Row],[YearsAtCompany]]&lt;=10,"6-10 Years",
TRUE,"10+ Years")</f>
        <v>6-10 Years</v>
      </c>
    </row>
    <row r="1163" spans="1:41"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tr">
        <f t="shared" si="36"/>
        <v>Operations</v>
      </c>
      <c r="AK1163">
        <f t="shared" si="37"/>
        <v>0</v>
      </c>
      <c r="AL1163">
        <f>IF(Table1[[#This Row],[Attrition]]="Yes", Table1[[#This Row],[MonthlyIncome]]*12*1.5, 0)</f>
        <v>0</v>
      </c>
      <c r="AM1163" t="str" cm="1">
        <f t="array" ref="AM1163">_xlfn.IFS(
Table1[[#This Row],[MonthlyIncome]]&lt;3000,"Under 3K",
Table1[[#This Row],[MonthlyIncome]]&lt;6000,"3K-6K",
Table1[[#This Row],[MonthlyIncome]]&lt;9000,"6K-9K",
Table1[[#This Row],[MonthlyIncome]]&lt;12000,"9K-12K",
TRUE,"12K+")</f>
        <v>6K-9K</v>
      </c>
      <c r="AN1163">
        <f>1</f>
        <v>1</v>
      </c>
      <c r="AO1163" t="str" cm="1">
        <f t="array" ref="AO1163">_xlfn.IFS(
Table1[[#This Row],[YearsAtCompany]]&lt;=2,"0-2 Years",
Table1[[#This Row],[YearsAtCompany]]&lt;=5,"3-5 Years",
Table1[[#This Row],[YearsAtCompany]]&lt;=10,"6-10 Years",
TRUE,"10+ Years")</f>
        <v>3-5 Years</v>
      </c>
    </row>
    <row r="1164" spans="1:41"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tr">
        <f t="shared" si="36"/>
        <v>Sales</v>
      </c>
      <c r="AK1164">
        <f t="shared" si="37"/>
        <v>1</v>
      </c>
      <c r="AL1164">
        <f>IF(Table1[[#This Row],[Attrition]]="Yes", Table1[[#This Row],[MonthlyIncome]]*12*1.5, 0)</f>
        <v>185508</v>
      </c>
      <c r="AM1164" t="str" cm="1">
        <f t="array" ref="AM1164">_xlfn.IFS(
Table1[[#This Row],[MonthlyIncome]]&lt;3000,"Under 3K",
Table1[[#This Row],[MonthlyIncome]]&lt;6000,"3K-6K",
Table1[[#This Row],[MonthlyIncome]]&lt;9000,"6K-9K",
Table1[[#This Row],[MonthlyIncome]]&lt;12000,"9K-12K",
TRUE,"12K+")</f>
        <v>9K-12K</v>
      </c>
      <c r="AN1164">
        <f>1</f>
        <v>1</v>
      </c>
      <c r="AO1164" t="str" cm="1">
        <f t="array" ref="AO1164">_xlfn.IFS(
Table1[[#This Row],[YearsAtCompany]]&lt;=2,"0-2 Years",
Table1[[#This Row],[YearsAtCompany]]&lt;=5,"3-5 Years",
Table1[[#This Row],[YearsAtCompany]]&lt;=10,"6-10 Years",
TRUE,"10+ Years")</f>
        <v>10+ Years</v>
      </c>
    </row>
    <row r="1165" spans="1:41"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tr">
        <f t="shared" si="36"/>
        <v>Research</v>
      </c>
      <c r="AK1165">
        <f t="shared" si="37"/>
        <v>0</v>
      </c>
      <c r="AL1165">
        <f>IF(Table1[[#This Row],[Attrition]]="Yes", Table1[[#This Row],[MonthlyIncome]]*12*1.5, 0)</f>
        <v>0</v>
      </c>
      <c r="AM1165" t="str" cm="1">
        <f t="array" ref="AM1165">_xlfn.IFS(
Table1[[#This Row],[MonthlyIncome]]&lt;3000,"Under 3K",
Table1[[#This Row],[MonthlyIncome]]&lt;6000,"3K-6K",
Table1[[#This Row],[MonthlyIncome]]&lt;9000,"6K-9K",
Table1[[#This Row],[MonthlyIncome]]&lt;12000,"9K-12K",
TRUE,"12K+")</f>
        <v>3K-6K</v>
      </c>
      <c r="AN1165">
        <f>1</f>
        <v>1</v>
      </c>
      <c r="AO1165" t="str" cm="1">
        <f t="array" ref="AO1165">_xlfn.IFS(
Table1[[#This Row],[YearsAtCompany]]&lt;=2,"0-2 Years",
Table1[[#This Row],[YearsAtCompany]]&lt;=5,"3-5 Years",
Table1[[#This Row],[YearsAtCompany]]&lt;=10,"6-10 Years",
TRUE,"10+ Years")</f>
        <v>6-10 Years</v>
      </c>
    </row>
    <row r="1166" spans="1:41"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tr">
        <f t="shared" si="36"/>
        <v>Operations</v>
      </c>
      <c r="AK1166">
        <f t="shared" si="37"/>
        <v>0</v>
      </c>
      <c r="AL1166">
        <f>IF(Table1[[#This Row],[Attrition]]="Yes", Table1[[#This Row],[MonthlyIncome]]*12*1.5, 0)</f>
        <v>0</v>
      </c>
      <c r="AM1166" t="str" cm="1">
        <f t="array" ref="AM1166">_xlfn.IFS(
Table1[[#This Row],[MonthlyIncome]]&lt;3000,"Under 3K",
Table1[[#This Row],[MonthlyIncome]]&lt;6000,"3K-6K",
Table1[[#This Row],[MonthlyIncome]]&lt;9000,"6K-9K",
Table1[[#This Row],[MonthlyIncome]]&lt;12000,"9K-12K",
TRUE,"12K+")</f>
        <v>6K-9K</v>
      </c>
      <c r="AN1166">
        <f>1</f>
        <v>1</v>
      </c>
      <c r="AO1166" t="str" cm="1">
        <f t="array" ref="AO1166">_xlfn.IFS(
Table1[[#This Row],[YearsAtCompany]]&lt;=2,"0-2 Years",
Table1[[#This Row],[YearsAtCompany]]&lt;=5,"3-5 Years",
Table1[[#This Row],[YearsAtCompany]]&lt;=10,"6-10 Years",
TRUE,"10+ Years")</f>
        <v>3-5 Years</v>
      </c>
    </row>
    <row r="1167" spans="1:41"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tr">
        <f t="shared" si="36"/>
        <v>Human Resources</v>
      </c>
      <c r="AK1167">
        <f t="shared" si="37"/>
        <v>0</v>
      </c>
      <c r="AL1167">
        <f>IF(Table1[[#This Row],[Attrition]]="Yes", Table1[[#This Row],[MonthlyIncome]]*12*1.5, 0)</f>
        <v>0</v>
      </c>
      <c r="AM1167" t="str" cm="1">
        <f t="array" ref="AM1167">_xlfn.IFS(
Table1[[#This Row],[MonthlyIncome]]&lt;3000,"Under 3K",
Table1[[#This Row],[MonthlyIncome]]&lt;6000,"3K-6K",
Table1[[#This Row],[MonthlyIncome]]&lt;9000,"6K-9K",
Table1[[#This Row],[MonthlyIncome]]&lt;12000,"9K-12K",
TRUE,"12K+")</f>
        <v>3K-6K</v>
      </c>
      <c r="AN1167">
        <f>1</f>
        <v>1</v>
      </c>
      <c r="AO1167" t="str" cm="1">
        <f t="array" ref="AO1167">_xlfn.IFS(
Table1[[#This Row],[YearsAtCompany]]&lt;=2,"0-2 Years",
Table1[[#This Row],[YearsAtCompany]]&lt;=5,"3-5 Years",
Table1[[#This Row],[YearsAtCompany]]&lt;=10,"6-10 Years",
TRUE,"10+ Years")</f>
        <v>6-10 Years</v>
      </c>
    </row>
    <row r="1168" spans="1:41"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tr">
        <f t="shared" si="36"/>
        <v>Management</v>
      </c>
      <c r="AK1168">
        <f t="shared" si="37"/>
        <v>0</v>
      </c>
      <c r="AL1168">
        <f>IF(Table1[[#This Row],[Attrition]]="Yes", Table1[[#This Row],[MonthlyIncome]]*12*1.5, 0)</f>
        <v>0</v>
      </c>
      <c r="AM1168" t="str" cm="1">
        <f t="array" ref="AM1168">_xlfn.IFS(
Table1[[#This Row],[MonthlyIncome]]&lt;3000,"Under 3K",
Table1[[#This Row],[MonthlyIncome]]&lt;6000,"3K-6K",
Table1[[#This Row],[MonthlyIncome]]&lt;9000,"6K-9K",
Table1[[#This Row],[MonthlyIncome]]&lt;12000,"9K-12K",
TRUE,"12K+")</f>
        <v>12K+</v>
      </c>
      <c r="AN1168">
        <f>1</f>
        <v>1</v>
      </c>
      <c r="AO1168" t="str" cm="1">
        <f t="array" ref="AO1168">_xlfn.IFS(
Table1[[#This Row],[YearsAtCompany]]&lt;=2,"0-2 Years",
Table1[[#This Row],[YearsAtCompany]]&lt;=5,"3-5 Years",
Table1[[#This Row],[YearsAtCompany]]&lt;=10,"6-10 Years",
TRUE,"10+ Years")</f>
        <v>0-2 Years</v>
      </c>
    </row>
    <row r="1169" spans="1:41"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tr">
        <f t="shared" si="36"/>
        <v>Sales</v>
      </c>
      <c r="AK1169">
        <f t="shared" si="37"/>
        <v>1</v>
      </c>
      <c r="AL1169">
        <f>IF(Table1[[#This Row],[Attrition]]="Yes", Table1[[#This Row],[MonthlyIncome]]*12*1.5, 0)</f>
        <v>97920</v>
      </c>
      <c r="AM1169" t="str" cm="1">
        <f t="array" ref="AM1169">_xlfn.IFS(
Table1[[#This Row],[MonthlyIncome]]&lt;3000,"Under 3K",
Table1[[#This Row],[MonthlyIncome]]&lt;6000,"3K-6K",
Table1[[#This Row],[MonthlyIncome]]&lt;9000,"6K-9K",
Table1[[#This Row],[MonthlyIncome]]&lt;12000,"9K-12K",
TRUE,"12K+")</f>
        <v>3K-6K</v>
      </c>
      <c r="AN1169">
        <f>1</f>
        <v>1</v>
      </c>
      <c r="AO1169" t="str" cm="1">
        <f t="array" ref="AO1169">_xlfn.IFS(
Table1[[#This Row],[YearsAtCompany]]&lt;=2,"0-2 Years",
Table1[[#This Row],[YearsAtCompany]]&lt;=5,"3-5 Years",
Table1[[#This Row],[YearsAtCompany]]&lt;=10,"6-10 Years",
TRUE,"10+ Years")</f>
        <v>0-2 Years</v>
      </c>
    </row>
    <row r="1170" spans="1:41"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tr">
        <f t="shared" si="36"/>
        <v>Research</v>
      </c>
      <c r="AK1170">
        <f t="shared" si="37"/>
        <v>0</v>
      </c>
      <c r="AL1170">
        <f>IF(Table1[[#This Row],[Attrition]]="Yes", Table1[[#This Row],[MonthlyIncome]]*12*1.5, 0)</f>
        <v>0</v>
      </c>
      <c r="AM1170" t="str" cm="1">
        <f t="array" ref="AM1170">_xlfn.IFS(
Table1[[#This Row],[MonthlyIncome]]&lt;3000,"Under 3K",
Table1[[#This Row],[MonthlyIncome]]&lt;6000,"3K-6K",
Table1[[#This Row],[MonthlyIncome]]&lt;9000,"6K-9K",
Table1[[#This Row],[MonthlyIncome]]&lt;12000,"9K-12K",
TRUE,"12K+")</f>
        <v>3K-6K</v>
      </c>
      <c r="AN1170">
        <f>1</f>
        <v>1</v>
      </c>
      <c r="AO1170" t="str" cm="1">
        <f t="array" ref="AO1170">_xlfn.IFS(
Table1[[#This Row],[YearsAtCompany]]&lt;=2,"0-2 Years",
Table1[[#This Row],[YearsAtCompany]]&lt;=5,"3-5 Years",
Table1[[#This Row],[YearsAtCompany]]&lt;=10,"6-10 Years",
TRUE,"10+ Years")</f>
        <v>6-10 Years</v>
      </c>
    </row>
    <row r="1171" spans="1:41"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tr">
        <f t="shared" si="36"/>
        <v>Research</v>
      </c>
      <c r="AK1171">
        <f t="shared" si="37"/>
        <v>0</v>
      </c>
      <c r="AL1171">
        <f>IF(Table1[[#This Row],[Attrition]]="Yes", Table1[[#This Row],[MonthlyIncome]]*12*1.5, 0)</f>
        <v>0</v>
      </c>
      <c r="AM1171" t="str" cm="1">
        <f t="array" ref="AM1171">_xlfn.IFS(
Table1[[#This Row],[MonthlyIncome]]&lt;3000,"Under 3K",
Table1[[#This Row],[MonthlyIncome]]&lt;6000,"3K-6K",
Table1[[#This Row],[MonthlyIncome]]&lt;9000,"6K-9K",
Table1[[#This Row],[MonthlyIncome]]&lt;12000,"9K-12K",
TRUE,"12K+")</f>
        <v>3K-6K</v>
      </c>
      <c r="AN1171">
        <f>1</f>
        <v>1</v>
      </c>
      <c r="AO1171" t="str" cm="1">
        <f t="array" ref="AO1171">_xlfn.IFS(
Table1[[#This Row],[YearsAtCompany]]&lt;=2,"0-2 Years",
Table1[[#This Row],[YearsAtCompany]]&lt;=5,"3-5 Years",
Table1[[#This Row],[YearsAtCompany]]&lt;=10,"6-10 Years",
TRUE,"10+ Years")</f>
        <v>3-5 Years</v>
      </c>
    </row>
    <row r="1172" spans="1:41"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tr">
        <f t="shared" si="36"/>
        <v>Research</v>
      </c>
      <c r="AK1172">
        <f t="shared" si="37"/>
        <v>0</v>
      </c>
      <c r="AL1172">
        <f>IF(Table1[[#This Row],[Attrition]]="Yes", Table1[[#This Row],[MonthlyIncome]]*12*1.5, 0)</f>
        <v>0</v>
      </c>
      <c r="AM1172" t="str" cm="1">
        <f t="array" ref="AM1172">_xlfn.IFS(
Table1[[#This Row],[MonthlyIncome]]&lt;3000,"Under 3K",
Table1[[#This Row],[MonthlyIncome]]&lt;6000,"3K-6K",
Table1[[#This Row],[MonthlyIncome]]&lt;9000,"6K-9K",
Table1[[#This Row],[MonthlyIncome]]&lt;12000,"9K-12K",
TRUE,"12K+")</f>
        <v>Under 3K</v>
      </c>
      <c r="AN1172">
        <f>1</f>
        <v>1</v>
      </c>
      <c r="AO1172" t="str" cm="1">
        <f t="array" ref="AO1172">_xlfn.IFS(
Table1[[#This Row],[YearsAtCompany]]&lt;=2,"0-2 Years",
Table1[[#This Row],[YearsAtCompany]]&lt;=5,"3-5 Years",
Table1[[#This Row],[YearsAtCompany]]&lt;=10,"6-10 Years",
TRUE,"10+ Years")</f>
        <v>3-5 Years</v>
      </c>
    </row>
    <row r="1173" spans="1:41"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tr">
        <f t="shared" si="36"/>
        <v>Research</v>
      </c>
      <c r="AK1173">
        <f t="shared" si="37"/>
        <v>1</v>
      </c>
      <c r="AL1173">
        <f>IF(Table1[[#This Row],[Attrition]]="Yes", Table1[[#This Row],[MonthlyIncome]]*12*1.5, 0)</f>
        <v>38988</v>
      </c>
      <c r="AM1173" t="str" cm="1">
        <f t="array" ref="AM1173">_xlfn.IFS(
Table1[[#This Row],[MonthlyIncome]]&lt;3000,"Under 3K",
Table1[[#This Row],[MonthlyIncome]]&lt;6000,"3K-6K",
Table1[[#This Row],[MonthlyIncome]]&lt;9000,"6K-9K",
Table1[[#This Row],[MonthlyIncome]]&lt;12000,"9K-12K",
TRUE,"12K+")</f>
        <v>Under 3K</v>
      </c>
      <c r="AN1173">
        <f>1</f>
        <v>1</v>
      </c>
      <c r="AO1173" t="str" cm="1">
        <f t="array" ref="AO1173">_xlfn.IFS(
Table1[[#This Row],[YearsAtCompany]]&lt;=2,"0-2 Years",
Table1[[#This Row],[YearsAtCompany]]&lt;=5,"3-5 Years",
Table1[[#This Row],[YearsAtCompany]]&lt;=10,"6-10 Years",
TRUE,"10+ Years")</f>
        <v>3-5 Years</v>
      </c>
    </row>
    <row r="1174" spans="1:41"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tr">
        <f t="shared" si="36"/>
        <v>Sales</v>
      </c>
      <c r="AK1174">
        <f t="shared" si="37"/>
        <v>0</v>
      </c>
      <c r="AL1174">
        <f>IF(Table1[[#This Row],[Attrition]]="Yes", Table1[[#This Row],[MonthlyIncome]]*12*1.5, 0)</f>
        <v>0</v>
      </c>
      <c r="AM1174" t="str" cm="1">
        <f t="array" ref="AM1174">_xlfn.IFS(
Table1[[#This Row],[MonthlyIncome]]&lt;3000,"Under 3K",
Table1[[#This Row],[MonthlyIncome]]&lt;6000,"3K-6K",
Table1[[#This Row],[MonthlyIncome]]&lt;9000,"6K-9K",
Table1[[#This Row],[MonthlyIncome]]&lt;12000,"9K-12K",
TRUE,"12K+")</f>
        <v>3K-6K</v>
      </c>
      <c r="AN1174">
        <f>1</f>
        <v>1</v>
      </c>
      <c r="AO1174" t="str" cm="1">
        <f t="array" ref="AO1174">_xlfn.IFS(
Table1[[#This Row],[YearsAtCompany]]&lt;=2,"0-2 Years",
Table1[[#This Row],[YearsAtCompany]]&lt;=5,"3-5 Years",
Table1[[#This Row],[YearsAtCompany]]&lt;=10,"6-10 Years",
TRUE,"10+ Years")</f>
        <v>3-5 Years</v>
      </c>
    </row>
    <row r="1175" spans="1:41"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tr">
        <f t="shared" si="36"/>
        <v>Healthcare</v>
      </c>
      <c r="AK1175">
        <f t="shared" si="37"/>
        <v>0</v>
      </c>
      <c r="AL1175">
        <f>IF(Table1[[#This Row],[Attrition]]="Yes", Table1[[#This Row],[MonthlyIncome]]*12*1.5, 0)</f>
        <v>0</v>
      </c>
      <c r="AM1175" t="str" cm="1">
        <f t="array" ref="AM1175">_xlfn.IFS(
Table1[[#This Row],[MonthlyIncome]]&lt;3000,"Under 3K",
Table1[[#This Row],[MonthlyIncome]]&lt;6000,"3K-6K",
Table1[[#This Row],[MonthlyIncome]]&lt;9000,"6K-9K",
Table1[[#This Row],[MonthlyIncome]]&lt;12000,"9K-12K",
TRUE,"12K+")</f>
        <v>6K-9K</v>
      </c>
      <c r="AN1175">
        <f>1</f>
        <v>1</v>
      </c>
      <c r="AO1175" t="str" cm="1">
        <f t="array" ref="AO1175">_xlfn.IFS(
Table1[[#This Row],[YearsAtCompany]]&lt;=2,"0-2 Years",
Table1[[#This Row],[YearsAtCompany]]&lt;=5,"3-5 Years",
Table1[[#This Row],[YearsAtCompany]]&lt;=10,"6-10 Years",
TRUE,"10+ Years")</f>
        <v>3-5 Years</v>
      </c>
    </row>
    <row r="1176" spans="1:41"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tr">
        <f t="shared" si="36"/>
        <v>Operations</v>
      </c>
      <c r="AK1176">
        <f t="shared" si="37"/>
        <v>0</v>
      </c>
      <c r="AL1176">
        <f>IF(Table1[[#This Row],[Attrition]]="Yes", Table1[[#This Row],[MonthlyIncome]]*12*1.5, 0)</f>
        <v>0</v>
      </c>
      <c r="AM1176" t="str" cm="1">
        <f t="array" ref="AM1176">_xlfn.IFS(
Table1[[#This Row],[MonthlyIncome]]&lt;3000,"Under 3K",
Table1[[#This Row],[MonthlyIncome]]&lt;6000,"3K-6K",
Table1[[#This Row],[MonthlyIncome]]&lt;9000,"6K-9K",
Table1[[#This Row],[MonthlyIncome]]&lt;12000,"9K-12K",
TRUE,"12K+")</f>
        <v>3K-6K</v>
      </c>
      <c r="AN1176">
        <f>1</f>
        <v>1</v>
      </c>
      <c r="AO1176" t="str" cm="1">
        <f t="array" ref="AO1176">_xlfn.IFS(
Table1[[#This Row],[YearsAtCompany]]&lt;=2,"0-2 Years",
Table1[[#This Row],[YearsAtCompany]]&lt;=5,"3-5 Years",
Table1[[#This Row],[YearsAtCompany]]&lt;=10,"6-10 Years",
TRUE,"10+ Years")</f>
        <v>6-10 Years</v>
      </c>
    </row>
    <row r="1177" spans="1:41"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tr">
        <f t="shared" si="36"/>
        <v>Operations</v>
      </c>
      <c r="AK1177">
        <f t="shared" si="37"/>
        <v>0</v>
      </c>
      <c r="AL1177">
        <f>IF(Table1[[#This Row],[Attrition]]="Yes", Table1[[#This Row],[MonthlyIncome]]*12*1.5, 0)</f>
        <v>0</v>
      </c>
      <c r="AM1177" t="str" cm="1">
        <f t="array" ref="AM1177">_xlfn.IFS(
Table1[[#This Row],[MonthlyIncome]]&lt;3000,"Under 3K",
Table1[[#This Row],[MonthlyIncome]]&lt;6000,"3K-6K",
Table1[[#This Row],[MonthlyIncome]]&lt;9000,"6K-9K",
Table1[[#This Row],[MonthlyIncome]]&lt;12000,"9K-12K",
TRUE,"12K+")</f>
        <v>3K-6K</v>
      </c>
      <c r="AN1177">
        <f>1</f>
        <v>1</v>
      </c>
      <c r="AO1177" t="str" cm="1">
        <f t="array" ref="AO1177">_xlfn.IFS(
Table1[[#This Row],[YearsAtCompany]]&lt;=2,"0-2 Years",
Table1[[#This Row],[YearsAtCompany]]&lt;=5,"3-5 Years",
Table1[[#This Row],[YearsAtCompany]]&lt;=10,"6-10 Years",
TRUE,"10+ Years")</f>
        <v>3-5 Years</v>
      </c>
    </row>
    <row r="1178" spans="1:41"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tr">
        <f t="shared" si="36"/>
        <v>Research</v>
      </c>
      <c r="AK1178">
        <f t="shared" si="37"/>
        <v>0</v>
      </c>
      <c r="AL1178">
        <f>IF(Table1[[#This Row],[Attrition]]="Yes", Table1[[#This Row],[MonthlyIncome]]*12*1.5, 0)</f>
        <v>0</v>
      </c>
      <c r="AM1178" t="str" cm="1">
        <f t="array" ref="AM1178">_xlfn.IFS(
Table1[[#This Row],[MonthlyIncome]]&lt;3000,"Under 3K",
Table1[[#This Row],[MonthlyIncome]]&lt;6000,"3K-6K",
Table1[[#This Row],[MonthlyIncome]]&lt;9000,"6K-9K",
Table1[[#This Row],[MonthlyIncome]]&lt;12000,"9K-12K",
TRUE,"12K+")</f>
        <v>12K+</v>
      </c>
      <c r="AN1178">
        <f>1</f>
        <v>1</v>
      </c>
      <c r="AO1178" t="str" cm="1">
        <f t="array" ref="AO1178">_xlfn.IFS(
Table1[[#This Row],[YearsAtCompany]]&lt;=2,"0-2 Years",
Table1[[#This Row],[YearsAtCompany]]&lt;=5,"3-5 Years",
Table1[[#This Row],[YearsAtCompany]]&lt;=10,"6-10 Years",
TRUE,"10+ Years")</f>
        <v>3-5 Years</v>
      </c>
    </row>
    <row r="1179" spans="1:41"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tr">
        <f t="shared" si="36"/>
        <v>Research</v>
      </c>
      <c r="AK1179">
        <f t="shared" si="37"/>
        <v>0</v>
      </c>
      <c r="AL1179">
        <f>IF(Table1[[#This Row],[Attrition]]="Yes", Table1[[#This Row],[MonthlyIncome]]*12*1.5, 0)</f>
        <v>0</v>
      </c>
      <c r="AM1179" t="str" cm="1">
        <f t="array" ref="AM1179">_xlfn.IFS(
Table1[[#This Row],[MonthlyIncome]]&lt;3000,"Under 3K",
Table1[[#This Row],[MonthlyIncome]]&lt;6000,"3K-6K",
Table1[[#This Row],[MonthlyIncome]]&lt;9000,"6K-9K",
Table1[[#This Row],[MonthlyIncome]]&lt;12000,"9K-12K",
TRUE,"12K+")</f>
        <v>12K+</v>
      </c>
      <c r="AN1179">
        <f>1</f>
        <v>1</v>
      </c>
      <c r="AO1179" t="str" cm="1">
        <f t="array" ref="AO1179">_xlfn.IFS(
Table1[[#This Row],[YearsAtCompany]]&lt;=2,"0-2 Years",
Table1[[#This Row],[YearsAtCompany]]&lt;=5,"3-5 Years",
Table1[[#This Row],[YearsAtCompany]]&lt;=10,"6-10 Years",
TRUE,"10+ Years")</f>
        <v>10+ Years</v>
      </c>
    </row>
    <row r="1180" spans="1:41"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tr">
        <f t="shared" si="36"/>
        <v>Sales</v>
      </c>
      <c r="AK1180">
        <f t="shared" si="37"/>
        <v>0</v>
      </c>
      <c r="AL1180">
        <f>IF(Table1[[#This Row],[Attrition]]="Yes", Table1[[#This Row],[MonthlyIncome]]*12*1.5, 0)</f>
        <v>0</v>
      </c>
      <c r="AM1180" t="str" cm="1">
        <f t="array" ref="AM1180">_xlfn.IFS(
Table1[[#This Row],[MonthlyIncome]]&lt;3000,"Under 3K",
Table1[[#This Row],[MonthlyIncome]]&lt;6000,"3K-6K",
Table1[[#This Row],[MonthlyIncome]]&lt;9000,"6K-9K",
Table1[[#This Row],[MonthlyIncome]]&lt;12000,"9K-12K",
TRUE,"12K+")</f>
        <v>Under 3K</v>
      </c>
      <c r="AN1180">
        <f>1</f>
        <v>1</v>
      </c>
      <c r="AO1180" t="str" cm="1">
        <f t="array" ref="AO1180">_xlfn.IFS(
Table1[[#This Row],[YearsAtCompany]]&lt;=2,"0-2 Years",
Table1[[#This Row],[YearsAtCompany]]&lt;=5,"3-5 Years",
Table1[[#This Row],[YearsAtCompany]]&lt;=10,"6-10 Years",
TRUE,"10+ Years")</f>
        <v>0-2 Years</v>
      </c>
    </row>
    <row r="1181" spans="1:41"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tr">
        <f t="shared" si="36"/>
        <v>Research</v>
      </c>
      <c r="AK1181">
        <f t="shared" si="37"/>
        <v>0</v>
      </c>
      <c r="AL1181">
        <f>IF(Table1[[#This Row],[Attrition]]="Yes", Table1[[#This Row],[MonthlyIncome]]*12*1.5, 0)</f>
        <v>0</v>
      </c>
      <c r="AM1181" t="str" cm="1">
        <f t="array" ref="AM1181">_xlfn.IFS(
Table1[[#This Row],[MonthlyIncome]]&lt;3000,"Under 3K",
Table1[[#This Row],[MonthlyIncome]]&lt;6000,"3K-6K",
Table1[[#This Row],[MonthlyIncome]]&lt;9000,"6K-9K",
Table1[[#This Row],[MonthlyIncome]]&lt;12000,"9K-12K",
TRUE,"12K+")</f>
        <v>3K-6K</v>
      </c>
      <c r="AN1181">
        <f>1</f>
        <v>1</v>
      </c>
      <c r="AO1181" t="str" cm="1">
        <f t="array" ref="AO1181">_xlfn.IFS(
Table1[[#This Row],[YearsAtCompany]]&lt;=2,"0-2 Years",
Table1[[#This Row],[YearsAtCompany]]&lt;=5,"3-5 Years",
Table1[[#This Row],[YearsAtCompany]]&lt;=10,"6-10 Years",
TRUE,"10+ Years")</f>
        <v>10+ Years</v>
      </c>
    </row>
    <row r="1182" spans="1:41"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tr">
        <f t="shared" si="36"/>
        <v>Research</v>
      </c>
      <c r="AK1182">
        <f t="shared" si="37"/>
        <v>0</v>
      </c>
      <c r="AL1182">
        <f>IF(Table1[[#This Row],[Attrition]]="Yes", Table1[[#This Row],[MonthlyIncome]]*12*1.5, 0)</f>
        <v>0</v>
      </c>
      <c r="AM1182" t="str" cm="1">
        <f t="array" ref="AM1182">_xlfn.IFS(
Table1[[#This Row],[MonthlyIncome]]&lt;3000,"Under 3K",
Table1[[#This Row],[MonthlyIncome]]&lt;6000,"3K-6K",
Table1[[#This Row],[MonthlyIncome]]&lt;9000,"6K-9K",
Table1[[#This Row],[MonthlyIncome]]&lt;12000,"9K-12K",
TRUE,"12K+")</f>
        <v>Under 3K</v>
      </c>
      <c r="AN1182">
        <f>1</f>
        <v>1</v>
      </c>
      <c r="AO1182" t="str" cm="1">
        <f t="array" ref="AO1182">_xlfn.IFS(
Table1[[#This Row],[YearsAtCompany]]&lt;=2,"0-2 Years",
Table1[[#This Row],[YearsAtCompany]]&lt;=5,"3-5 Years",
Table1[[#This Row],[YearsAtCompany]]&lt;=10,"6-10 Years",
TRUE,"10+ Years")</f>
        <v>3-5 Years</v>
      </c>
    </row>
    <row r="1183" spans="1:41"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tr">
        <f t="shared" si="36"/>
        <v>Healthcare</v>
      </c>
      <c r="AK1183">
        <f t="shared" si="37"/>
        <v>0</v>
      </c>
      <c r="AL1183">
        <f>IF(Table1[[#This Row],[Attrition]]="Yes", Table1[[#This Row],[MonthlyIncome]]*12*1.5, 0)</f>
        <v>0</v>
      </c>
      <c r="AM1183" t="str" cm="1">
        <f t="array" ref="AM1183">_xlfn.IFS(
Table1[[#This Row],[MonthlyIncome]]&lt;3000,"Under 3K",
Table1[[#This Row],[MonthlyIncome]]&lt;6000,"3K-6K",
Table1[[#This Row],[MonthlyIncome]]&lt;9000,"6K-9K",
Table1[[#This Row],[MonthlyIncome]]&lt;12000,"9K-12K",
TRUE,"12K+")</f>
        <v>12K+</v>
      </c>
      <c r="AN1183">
        <f>1</f>
        <v>1</v>
      </c>
      <c r="AO1183" t="str" cm="1">
        <f t="array" ref="AO1183">_xlfn.IFS(
Table1[[#This Row],[YearsAtCompany]]&lt;=2,"0-2 Years",
Table1[[#This Row],[YearsAtCompany]]&lt;=5,"3-5 Years",
Table1[[#This Row],[YearsAtCompany]]&lt;=10,"6-10 Years",
TRUE,"10+ Years")</f>
        <v>10+ Years</v>
      </c>
    </row>
    <row r="1184" spans="1:41"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tr">
        <f t="shared" si="36"/>
        <v>Operations</v>
      </c>
      <c r="AK1184">
        <f t="shared" si="37"/>
        <v>0</v>
      </c>
      <c r="AL1184">
        <f>IF(Table1[[#This Row],[Attrition]]="Yes", Table1[[#This Row],[MonthlyIncome]]*12*1.5, 0)</f>
        <v>0</v>
      </c>
      <c r="AM1184" t="str" cm="1">
        <f t="array" ref="AM1184">_xlfn.IFS(
Table1[[#This Row],[MonthlyIncome]]&lt;3000,"Under 3K",
Table1[[#This Row],[MonthlyIncome]]&lt;6000,"3K-6K",
Table1[[#This Row],[MonthlyIncome]]&lt;9000,"6K-9K",
Table1[[#This Row],[MonthlyIncome]]&lt;12000,"9K-12K",
TRUE,"12K+")</f>
        <v>3K-6K</v>
      </c>
      <c r="AN1184">
        <f>1</f>
        <v>1</v>
      </c>
      <c r="AO1184" t="str" cm="1">
        <f t="array" ref="AO1184">_xlfn.IFS(
Table1[[#This Row],[YearsAtCompany]]&lt;=2,"0-2 Years",
Table1[[#This Row],[YearsAtCompany]]&lt;=5,"3-5 Years",
Table1[[#This Row],[YearsAtCompany]]&lt;=10,"6-10 Years",
TRUE,"10+ Years")</f>
        <v>3-5 Years</v>
      </c>
    </row>
    <row r="1185" spans="1:41"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tr">
        <f t="shared" si="36"/>
        <v>Healthcare</v>
      </c>
      <c r="AK1185">
        <f t="shared" si="37"/>
        <v>0</v>
      </c>
      <c r="AL1185">
        <f>IF(Table1[[#This Row],[Attrition]]="Yes", Table1[[#This Row],[MonthlyIncome]]*12*1.5, 0)</f>
        <v>0</v>
      </c>
      <c r="AM1185" t="str" cm="1">
        <f t="array" ref="AM1185">_xlfn.IFS(
Table1[[#This Row],[MonthlyIncome]]&lt;3000,"Under 3K",
Table1[[#This Row],[MonthlyIncome]]&lt;6000,"3K-6K",
Table1[[#This Row],[MonthlyIncome]]&lt;9000,"6K-9K",
Table1[[#This Row],[MonthlyIncome]]&lt;12000,"9K-12K",
TRUE,"12K+")</f>
        <v>6K-9K</v>
      </c>
      <c r="AN1185">
        <f>1</f>
        <v>1</v>
      </c>
      <c r="AO1185" t="str" cm="1">
        <f t="array" ref="AO1185">_xlfn.IFS(
Table1[[#This Row],[YearsAtCompany]]&lt;=2,"0-2 Years",
Table1[[#This Row],[YearsAtCompany]]&lt;=5,"3-5 Years",
Table1[[#This Row],[YearsAtCompany]]&lt;=10,"6-10 Years",
TRUE,"10+ Years")</f>
        <v>3-5 Years</v>
      </c>
    </row>
    <row r="1186" spans="1:41"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tr">
        <f t="shared" si="36"/>
        <v>Management</v>
      </c>
      <c r="AK1186">
        <f t="shared" si="37"/>
        <v>0</v>
      </c>
      <c r="AL1186">
        <f>IF(Table1[[#This Row],[Attrition]]="Yes", Table1[[#This Row],[MonthlyIncome]]*12*1.5, 0)</f>
        <v>0</v>
      </c>
      <c r="AM1186" t="str" cm="1">
        <f t="array" ref="AM1186">_xlfn.IFS(
Table1[[#This Row],[MonthlyIncome]]&lt;3000,"Under 3K",
Table1[[#This Row],[MonthlyIncome]]&lt;6000,"3K-6K",
Table1[[#This Row],[MonthlyIncome]]&lt;9000,"6K-9K",
Table1[[#This Row],[MonthlyIncome]]&lt;12000,"9K-12K",
TRUE,"12K+")</f>
        <v>12K+</v>
      </c>
      <c r="AN1186">
        <f>1</f>
        <v>1</v>
      </c>
      <c r="AO1186" t="str" cm="1">
        <f t="array" ref="AO1186">_xlfn.IFS(
Table1[[#This Row],[YearsAtCompany]]&lt;=2,"0-2 Years",
Table1[[#This Row],[YearsAtCompany]]&lt;=5,"3-5 Years",
Table1[[#This Row],[YearsAtCompany]]&lt;=10,"6-10 Years",
TRUE,"10+ Years")</f>
        <v>6-10 Years</v>
      </c>
    </row>
    <row r="1187" spans="1:41"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tr">
        <f t="shared" si="36"/>
        <v>Research</v>
      </c>
      <c r="AK1187">
        <f t="shared" si="37"/>
        <v>0</v>
      </c>
      <c r="AL1187">
        <f>IF(Table1[[#This Row],[Attrition]]="Yes", Table1[[#This Row],[MonthlyIncome]]*12*1.5, 0)</f>
        <v>0</v>
      </c>
      <c r="AM1187" t="str" cm="1">
        <f t="array" ref="AM1187">_xlfn.IFS(
Table1[[#This Row],[MonthlyIncome]]&lt;3000,"Under 3K",
Table1[[#This Row],[MonthlyIncome]]&lt;6000,"3K-6K",
Table1[[#This Row],[MonthlyIncome]]&lt;9000,"6K-9K",
Table1[[#This Row],[MonthlyIncome]]&lt;12000,"9K-12K",
TRUE,"12K+")</f>
        <v>12K+</v>
      </c>
      <c r="AN1187">
        <f>1</f>
        <v>1</v>
      </c>
      <c r="AO1187" t="str" cm="1">
        <f t="array" ref="AO1187">_xlfn.IFS(
Table1[[#This Row],[YearsAtCompany]]&lt;=2,"0-2 Years",
Table1[[#This Row],[YearsAtCompany]]&lt;=5,"3-5 Years",
Table1[[#This Row],[YearsAtCompany]]&lt;=10,"6-10 Years",
TRUE,"10+ Years")</f>
        <v>10+ Years</v>
      </c>
    </row>
    <row r="1188" spans="1:41"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tr">
        <f t="shared" si="36"/>
        <v>Sales</v>
      </c>
      <c r="AK1188">
        <f t="shared" si="37"/>
        <v>1</v>
      </c>
      <c r="AL1188">
        <f>IF(Table1[[#This Row],[Attrition]]="Yes", Table1[[#This Row],[MonthlyIncome]]*12*1.5, 0)</f>
        <v>82458</v>
      </c>
      <c r="AM1188" t="str" cm="1">
        <f t="array" ref="AM1188">_xlfn.IFS(
Table1[[#This Row],[MonthlyIncome]]&lt;3000,"Under 3K",
Table1[[#This Row],[MonthlyIncome]]&lt;6000,"3K-6K",
Table1[[#This Row],[MonthlyIncome]]&lt;9000,"6K-9K",
Table1[[#This Row],[MonthlyIncome]]&lt;12000,"9K-12K",
TRUE,"12K+")</f>
        <v>3K-6K</v>
      </c>
      <c r="AN1188">
        <f>1</f>
        <v>1</v>
      </c>
      <c r="AO1188" t="str" cm="1">
        <f t="array" ref="AO1188">_xlfn.IFS(
Table1[[#This Row],[YearsAtCompany]]&lt;=2,"0-2 Years",
Table1[[#This Row],[YearsAtCompany]]&lt;=5,"3-5 Years",
Table1[[#This Row],[YearsAtCompany]]&lt;=10,"6-10 Years",
TRUE,"10+ Years")</f>
        <v>10+ Years</v>
      </c>
    </row>
    <row r="1189" spans="1:41"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tr">
        <f t="shared" si="36"/>
        <v>Research</v>
      </c>
      <c r="AK1189">
        <f t="shared" si="37"/>
        <v>0</v>
      </c>
      <c r="AL1189">
        <f>IF(Table1[[#This Row],[Attrition]]="Yes", Table1[[#This Row],[MonthlyIncome]]*12*1.5, 0)</f>
        <v>0</v>
      </c>
      <c r="AM1189" t="str" cm="1">
        <f t="array" ref="AM1189">_xlfn.IFS(
Table1[[#This Row],[MonthlyIncome]]&lt;3000,"Under 3K",
Table1[[#This Row],[MonthlyIncome]]&lt;6000,"3K-6K",
Table1[[#This Row],[MonthlyIncome]]&lt;9000,"6K-9K",
Table1[[#This Row],[MonthlyIncome]]&lt;12000,"9K-12K",
TRUE,"12K+")</f>
        <v>3K-6K</v>
      </c>
      <c r="AN1189">
        <f>1</f>
        <v>1</v>
      </c>
      <c r="AO1189" t="str" cm="1">
        <f t="array" ref="AO1189">_xlfn.IFS(
Table1[[#This Row],[YearsAtCompany]]&lt;=2,"0-2 Years",
Table1[[#This Row],[YearsAtCompany]]&lt;=5,"3-5 Years",
Table1[[#This Row],[YearsAtCompany]]&lt;=10,"6-10 Years",
TRUE,"10+ Years")</f>
        <v>10+ Years</v>
      </c>
    </row>
    <row r="1190" spans="1:41"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tr">
        <f t="shared" si="36"/>
        <v>Sales</v>
      </c>
      <c r="AK1190">
        <f t="shared" si="37"/>
        <v>0</v>
      </c>
      <c r="AL1190">
        <f>IF(Table1[[#This Row],[Attrition]]="Yes", Table1[[#This Row],[MonthlyIncome]]*12*1.5, 0)</f>
        <v>0</v>
      </c>
      <c r="AM1190" t="str" cm="1">
        <f t="array" ref="AM1190">_xlfn.IFS(
Table1[[#This Row],[MonthlyIncome]]&lt;3000,"Under 3K",
Table1[[#This Row],[MonthlyIncome]]&lt;6000,"3K-6K",
Table1[[#This Row],[MonthlyIncome]]&lt;9000,"6K-9K",
Table1[[#This Row],[MonthlyIncome]]&lt;12000,"9K-12K",
TRUE,"12K+")</f>
        <v>3K-6K</v>
      </c>
      <c r="AN1190">
        <f>1</f>
        <v>1</v>
      </c>
      <c r="AO1190" t="str" cm="1">
        <f t="array" ref="AO1190">_xlfn.IFS(
Table1[[#This Row],[YearsAtCompany]]&lt;=2,"0-2 Years",
Table1[[#This Row],[YearsAtCompany]]&lt;=5,"3-5 Years",
Table1[[#This Row],[YearsAtCompany]]&lt;=10,"6-10 Years",
TRUE,"10+ Years")</f>
        <v>6-10 Years</v>
      </c>
    </row>
    <row r="1191" spans="1:41"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tr">
        <f t="shared" si="36"/>
        <v>Sales</v>
      </c>
      <c r="AK1191">
        <f t="shared" si="37"/>
        <v>0</v>
      </c>
      <c r="AL1191">
        <f>IF(Table1[[#This Row],[Attrition]]="Yes", Table1[[#This Row],[MonthlyIncome]]*12*1.5, 0)</f>
        <v>0</v>
      </c>
      <c r="AM1191" t="str" cm="1">
        <f t="array" ref="AM1191">_xlfn.IFS(
Table1[[#This Row],[MonthlyIncome]]&lt;3000,"Under 3K",
Table1[[#This Row],[MonthlyIncome]]&lt;6000,"3K-6K",
Table1[[#This Row],[MonthlyIncome]]&lt;9000,"6K-9K",
Table1[[#This Row],[MonthlyIncome]]&lt;12000,"9K-12K",
TRUE,"12K+")</f>
        <v>3K-6K</v>
      </c>
      <c r="AN1191">
        <f>1</f>
        <v>1</v>
      </c>
      <c r="AO1191" t="str" cm="1">
        <f t="array" ref="AO1191">_xlfn.IFS(
Table1[[#This Row],[YearsAtCompany]]&lt;=2,"0-2 Years",
Table1[[#This Row],[YearsAtCompany]]&lt;=5,"3-5 Years",
Table1[[#This Row],[YearsAtCompany]]&lt;=10,"6-10 Years",
TRUE,"10+ Years")</f>
        <v>6-10 Years</v>
      </c>
    </row>
    <row r="1192" spans="1:41"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tr">
        <f t="shared" si="36"/>
        <v>Research</v>
      </c>
      <c r="AK1192">
        <f t="shared" si="37"/>
        <v>0</v>
      </c>
      <c r="AL1192">
        <f>IF(Table1[[#This Row],[Attrition]]="Yes", Table1[[#This Row],[MonthlyIncome]]*12*1.5, 0)</f>
        <v>0</v>
      </c>
      <c r="AM1192" t="str" cm="1">
        <f t="array" ref="AM1192">_xlfn.IFS(
Table1[[#This Row],[MonthlyIncome]]&lt;3000,"Under 3K",
Table1[[#This Row],[MonthlyIncome]]&lt;6000,"3K-6K",
Table1[[#This Row],[MonthlyIncome]]&lt;9000,"6K-9K",
Table1[[#This Row],[MonthlyIncome]]&lt;12000,"9K-12K",
TRUE,"12K+")</f>
        <v>3K-6K</v>
      </c>
      <c r="AN1192">
        <f>1</f>
        <v>1</v>
      </c>
      <c r="AO1192" t="str" cm="1">
        <f t="array" ref="AO1192">_xlfn.IFS(
Table1[[#This Row],[YearsAtCompany]]&lt;=2,"0-2 Years",
Table1[[#This Row],[YearsAtCompany]]&lt;=5,"3-5 Years",
Table1[[#This Row],[YearsAtCompany]]&lt;=10,"6-10 Years",
TRUE,"10+ Years")</f>
        <v>6-10 Years</v>
      </c>
    </row>
    <row r="1193" spans="1:41"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tr">
        <f t="shared" si="36"/>
        <v>Sales</v>
      </c>
      <c r="AK1193">
        <f t="shared" si="37"/>
        <v>0</v>
      </c>
      <c r="AL1193">
        <f>IF(Table1[[#This Row],[Attrition]]="Yes", Table1[[#This Row],[MonthlyIncome]]*12*1.5, 0)</f>
        <v>0</v>
      </c>
      <c r="AM1193" t="str" cm="1">
        <f t="array" ref="AM1193">_xlfn.IFS(
Table1[[#This Row],[MonthlyIncome]]&lt;3000,"Under 3K",
Table1[[#This Row],[MonthlyIncome]]&lt;6000,"3K-6K",
Table1[[#This Row],[MonthlyIncome]]&lt;9000,"6K-9K",
Table1[[#This Row],[MonthlyIncome]]&lt;12000,"9K-12K",
TRUE,"12K+")</f>
        <v>3K-6K</v>
      </c>
      <c r="AN1193">
        <f>1</f>
        <v>1</v>
      </c>
      <c r="AO1193" t="str" cm="1">
        <f t="array" ref="AO1193">_xlfn.IFS(
Table1[[#This Row],[YearsAtCompany]]&lt;=2,"0-2 Years",
Table1[[#This Row],[YearsAtCompany]]&lt;=5,"3-5 Years",
Table1[[#This Row],[YearsAtCompany]]&lt;=10,"6-10 Years",
TRUE,"10+ Years")</f>
        <v>6-10 Years</v>
      </c>
    </row>
    <row r="1194" spans="1:41"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tr">
        <f t="shared" si="36"/>
        <v>Research</v>
      </c>
      <c r="AK1194">
        <f t="shared" si="37"/>
        <v>0</v>
      </c>
      <c r="AL1194">
        <f>IF(Table1[[#This Row],[Attrition]]="Yes", Table1[[#This Row],[MonthlyIncome]]*12*1.5, 0)</f>
        <v>0</v>
      </c>
      <c r="AM1194" t="str" cm="1">
        <f t="array" ref="AM1194">_xlfn.IFS(
Table1[[#This Row],[MonthlyIncome]]&lt;3000,"Under 3K",
Table1[[#This Row],[MonthlyIncome]]&lt;6000,"3K-6K",
Table1[[#This Row],[MonthlyIncome]]&lt;9000,"6K-9K",
Table1[[#This Row],[MonthlyIncome]]&lt;12000,"9K-12K",
TRUE,"12K+")</f>
        <v>Under 3K</v>
      </c>
      <c r="AN1194">
        <f>1</f>
        <v>1</v>
      </c>
      <c r="AO1194" t="str" cm="1">
        <f t="array" ref="AO1194">_xlfn.IFS(
Table1[[#This Row],[YearsAtCompany]]&lt;=2,"0-2 Years",
Table1[[#This Row],[YearsAtCompany]]&lt;=5,"3-5 Years",
Table1[[#This Row],[YearsAtCompany]]&lt;=10,"6-10 Years",
TRUE,"10+ Years")</f>
        <v>0-2 Years</v>
      </c>
    </row>
    <row r="1195" spans="1:41"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tr">
        <f t="shared" si="36"/>
        <v>Research</v>
      </c>
      <c r="AK1195">
        <f t="shared" si="37"/>
        <v>0</v>
      </c>
      <c r="AL1195">
        <f>IF(Table1[[#This Row],[Attrition]]="Yes", Table1[[#This Row],[MonthlyIncome]]*12*1.5, 0)</f>
        <v>0</v>
      </c>
      <c r="AM1195" t="str" cm="1">
        <f t="array" ref="AM1195">_xlfn.IFS(
Table1[[#This Row],[MonthlyIncome]]&lt;3000,"Under 3K",
Table1[[#This Row],[MonthlyIncome]]&lt;6000,"3K-6K",
Table1[[#This Row],[MonthlyIncome]]&lt;9000,"6K-9K",
Table1[[#This Row],[MonthlyIncome]]&lt;12000,"9K-12K",
TRUE,"12K+")</f>
        <v>Under 3K</v>
      </c>
      <c r="AN1195">
        <f>1</f>
        <v>1</v>
      </c>
      <c r="AO1195" t="str" cm="1">
        <f t="array" ref="AO1195">_xlfn.IFS(
Table1[[#This Row],[YearsAtCompany]]&lt;=2,"0-2 Years",
Table1[[#This Row],[YearsAtCompany]]&lt;=5,"3-5 Years",
Table1[[#This Row],[YearsAtCompany]]&lt;=10,"6-10 Years",
TRUE,"10+ Years")</f>
        <v>3-5 Years</v>
      </c>
    </row>
    <row r="1196" spans="1:41"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tr">
        <f t="shared" si="36"/>
        <v>Management</v>
      </c>
      <c r="AK1196">
        <f t="shared" si="37"/>
        <v>0</v>
      </c>
      <c r="AL1196">
        <f>IF(Table1[[#This Row],[Attrition]]="Yes", Table1[[#This Row],[MonthlyIncome]]*12*1.5, 0)</f>
        <v>0</v>
      </c>
      <c r="AM1196" t="str" cm="1">
        <f t="array" ref="AM1196">_xlfn.IFS(
Table1[[#This Row],[MonthlyIncome]]&lt;3000,"Under 3K",
Table1[[#This Row],[MonthlyIncome]]&lt;6000,"3K-6K",
Table1[[#This Row],[MonthlyIncome]]&lt;9000,"6K-9K",
Table1[[#This Row],[MonthlyIncome]]&lt;12000,"9K-12K",
TRUE,"12K+")</f>
        <v>12K+</v>
      </c>
      <c r="AN1196">
        <f>1</f>
        <v>1</v>
      </c>
      <c r="AO1196" t="str" cm="1">
        <f t="array" ref="AO1196">_xlfn.IFS(
Table1[[#This Row],[YearsAtCompany]]&lt;=2,"0-2 Years",
Table1[[#This Row],[YearsAtCompany]]&lt;=5,"3-5 Years",
Table1[[#This Row],[YearsAtCompany]]&lt;=10,"6-10 Years",
TRUE,"10+ Years")</f>
        <v>3-5 Years</v>
      </c>
    </row>
    <row r="1197" spans="1:41"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tr">
        <f t="shared" si="36"/>
        <v>Management</v>
      </c>
      <c r="AK1197">
        <f t="shared" si="37"/>
        <v>0</v>
      </c>
      <c r="AL1197">
        <f>IF(Table1[[#This Row],[Attrition]]="Yes", Table1[[#This Row],[MonthlyIncome]]*12*1.5, 0)</f>
        <v>0</v>
      </c>
      <c r="AM1197" t="str" cm="1">
        <f t="array" ref="AM1197">_xlfn.IFS(
Table1[[#This Row],[MonthlyIncome]]&lt;3000,"Under 3K",
Table1[[#This Row],[MonthlyIncome]]&lt;6000,"3K-6K",
Table1[[#This Row],[MonthlyIncome]]&lt;9000,"6K-9K",
Table1[[#This Row],[MonthlyIncome]]&lt;12000,"9K-12K",
TRUE,"12K+")</f>
        <v>12K+</v>
      </c>
      <c r="AN1197">
        <f>1</f>
        <v>1</v>
      </c>
      <c r="AO1197" t="str" cm="1">
        <f t="array" ref="AO1197">_xlfn.IFS(
Table1[[#This Row],[YearsAtCompany]]&lt;=2,"0-2 Years",
Table1[[#This Row],[YearsAtCompany]]&lt;=5,"3-5 Years",
Table1[[#This Row],[YearsAtCompany]]&lt;=10,"6-10 Years",
TRUE,"10+ Years")</f>
        <v>6-10 Years</v>
      </c>
    </row>
    <row r="1198" spans="1:41"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tr">
        <f t="shared" si="36"/>
        <v>Sales</v>
      </c>
      <c r="AK1198">
        <f t="shared" si="37"/>
        <v>0</v>
      </c>
      <c r="AL1198">
        <f>IF(Table1[[#This Row],[Attrition]]="Yes", Table1[[#This Row],[MonthlyIncome]]*12*1.5, 0)</f>
        <v>0</v>
      </c>
      <c r="AM1198" t="str" cm="1">
        <f t="array" ref="AM1198">_xlfn.IFS(
Table1[[#This Row],[MonthlyIncome]]&lt;3000,"Under 3K",
Table1[[#This Row],[MonthlyIncome]]&lt;6000,"3K-6K",
Table1[[#This Row],[MonthlyIncome]]&lt;9000,"6K-9K",
Table1[[#This Row],[MonthlyIncome]]&lt;12000,"9K-12K",
TRUE,"12K+")</f>
        <v>6K-9K</v>
      </c>
      <c r="AN1198">
        <f>1</f>
        <v>1</v>
      </c>
      <c r="AO1198" t="str" cm="1">
        <f t="array" ref="AO1198">_xlfn.IFS(
Table1[[#This Row],[YearsAtCompany]]&lt;=2,"0-2 Years",
Table1[[#This Row],[YearsAtCompany]]&lt;=5,"3-5 Years",
Table1[[#This Row],[YearsAtCompany]]&lt;=10,"6-10 Years",
TRUE,"10+ Years")</f>
        <v>0-2 Years</v>
      </c>
    </row>
    <row r="1199" spans="1:41"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tr">
        <f t="shared" si="36"/>
        <v>Sales</v>
      </c>
      <c r="AK1199">
        <f t="shared" si="37"/>
        <v>0</v>
      </c>
      <c r="AL1199">
        <f>IF(Table1[[#This Row],[Attrition]]="Yes", Table1[[#This Row],[MonthlyIncome]]*12*1.5, 0)</f>
        <v>0</v>
      </c>
      <c r="AM1199" t="str" cm="1">
        <f t="array" ref="AM1199">_xlfn.IFS(
Table1[[#This Row],[MonthlyIncome]]&lt;3000,"Under 3K",
Table1[[#This Row],[MonthlyIncome]]&lt;6000,"3K-6K",
Table1[[#This Row],[MonthlyIncome]]&lt;9000,"6K-9K",
Table1[[#This Row],[MonthlyIncome]]&lt;12000,"9K-12K",
TRUE,"12K+")</f>
        <v>Under 3K</v>
      </c>
      <c r="AN1199">
        <f>1</f>
        <v>1</v>
      </c>
      <c r="AO1199" t="str" cm="1">
        <f t="array" ref="AO1199">_xlfn.IFS(
Table1[[#This Row],[YearsAtCompany]]&lt;=2,"0-2 Years",
Table1[[#This Row],[YearsAtCompany]]&lt;=5,"3-5 Years",
Table1[[#This Row],[YearsAtCompany]]&lt;=10,"6-10 Years",
TRUE,"10+ Years")</f>
        <v>0-2 Years</v>
      </c>
    </row>
    <row r="1200" spans="1:41"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tr">
        <f t="shared" si="36"/>
        <v>Sales</v>
      </c>
      <c r="AK1200">
        <f t="shared" si="37"/>
        <v>0</v>
      </c>
      <c r="AL1200">
        <f>IF(Table1[[#This Row],[Attrition]]="Yes", Table1[[#This Row],[MonthlyIncome]]*12*1.5, 0)</f>
        <v>0</v>
      </c>
      <c r="AM1200" t="str" cm="1">
        <f t="array" ref="AM1200">_xlfn.IFS(
Table1[[#This Row],[MonthlyIncome]]&lt;3000,"Under 3K",
Table1[[#This Row],[MonthlyIncome]]&lt;6000,"3K-6K",
Table1[[#This Row],[MonthlyIncome]]&lt;9000,"6K-9K",
Table1[[#This Row],[MonthlyIncome]]&lt;12000,"9K-12K",
TRUE,"12K+")</f>
        <v>3K-6K</v>
      </c>
      <c r="AN1200">
        <f>1</f>
        <v>1</v>
      </c>
      <c r="AO1200" t="str" cm="1">
        <f t="array" ref="AO1200">_xlfn.IFS(
Table1[[#This Row],[YearsAtCompany]]&lt;=2,"0-2 Years",
Table1[[#This Row],[YearsAtCompany]]&lt;=5,"3-5 Years",
Table1[[#This Row],[YearsAtCompany]]&lt;=10,"6-10 Years",
TRUE,"10+ Years")</f>
        <v>6-10 Years</v>
      </c>
    </row>
    <row r="1201" spans="1:41"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tr">
        <f t="shared" si="36"/>
        <v>Healthcare</v>
      </c>
      <c r="AK1201">
        <f t="shared" si="37"/>
        <v>0</v>
      </c>
      <c r="AL1201">
        <f>IF(Table1[[#This Row],[Attrition]]="Yes", Table1[[#This Row],[MonthlyIncome]]*12*1.5, 0)</f>
        <v>0</v>
      </c>
      <c r="AM1201" t="str" cm="1">
        <f t="array" ref="AM1201">_xlfn.IFS(
Table1[[#This Row],[MonthlyIncome]]&lt;3000,"Under 3K",
Table1[[#This Row],[MonthlyIncome]]&lt;6000,"3K-6K",
Table1[[#This Row],[MonthlyIncome]]&lt;9000,"6K-9K",
Table1[[#This Row],[MonthlyIncome]]&lt;12000,"9K-12K",
TRUE,"12K+")</f>
        <v>3K-6K</v>
      </c>
      <c r="AN1201">
        <f>1</f>
        <v>1</v>
      </c>
      <c r="AO1201" t="str" cm="1">
        <f t="array" ref="AO1201">_xlfn.IFS(
Table1[[#This Row],[YearsAtCompany]]&lt;=2,"0-2 Years",
Table1[[#This Row],[YearsAtCompany]]&lt;=5,"3-5 Years",
Table1[[#This Row],[YearsAtCompany]]&lt;=10,"6-10 Years",
TRUE,"10+ Years")</f>
        <v>3-5 Years</v>
      </c>
    </row>
    <row r="1202" spans="1:41"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tr">
        <f t="shared" si="36"/>
        <v>Human Resources</v>
      </c>
      <c r="AK1202">
        <f t="shared" si="37"/>
        <v>0</v>
      </c>
      <c r="AL1202">
        <f>IF(Table1[[#This Row],[Attrition]]="Yes", Table1[[#This Row],[MonthlyIncome]]*12*1.5, 0)</f>
        <v>0</v>
      </c>
      <c r="AM1202" t="str" cm="1">
        <f t="array" ref="AM1202">_xlfn.IFS(
Table1[[#This Row],[MonthlyIncome]]&lt;3000,"Under 3K",
Table1[[#This Row],[MonthlyIncome]]&lt;6000,"3K-6K",
Table1[[#This Row],[MonthlyIncome]]&lt;9000,"6K-9K",
Table1[[#This Row],[MonthlyIncome]]&lt;12000,"9K-12K",
TRUE,"12K+")</f>
        <v>3K-6K</v>
      </c>
      <c r="AN1202">
        <f>1</f>
        <v>1</v>
      </c>
      <c r="AO1202" t="str" cm="1">
        <f t="array" ref="AO1202">_xlfn.IFS(
Table1[[#This Row],[YearsAtCompany]]&lt;=2,"0-2 Years",
Table1[[#This Row],[YearsAtCompany]]&lt;=5,"3-5 Years",
Table1[[#This Row],[YearsAtCompany]]&lt;=10,"6-10 Years",
TRUE,"10+ Years")</f>
        <v>0-2 Years</v>
      </c>
    </row>
    <row r="1203" spans="1:41"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tr">
        <f t="shared" si="36"/>
        <v>Research</v>
      </c>
      <c r="AK1203">
        <f t="shared" si="37"/>
        <v>1</v>
      </c>
      <c r="AL1203">
        <f>IF(Table1[[#This Row],[Attrition]]="Yes", Table1[[#This Row],[MonthlyIncome]]*12*1.5, 0)</f>
        <v>71802</v>
      </c>
      <c r="AM1203" t="str" cm="1">
        <f t="array" ref="AM1203">_xlfn.IFS(
Table1[[#This Row],[MonthlyIncome]]&lt;3000,"Under 3K",
Table1[[#This Row],[MonthlyIncome]]&lt;6000,"3K-6K",
Table1[[#This Row],[MonthlyIncome]]&lt;9000,"6K-9K",
Table1[[#This Row],[MonthlyIncome]]&lt;12000,"9K-12K",
TRUE,"12K+")</f>
        <v>3K-6K</v>
      </c>
      <c r="AN1203">
        <f>1</f>
        <v>1</v>
      </c>
      <c r="AO1203" t="str" cm="1">
        <f t="array" ref="AO1203">_xlfn.IFS(
Table1[[#This Row],[YearsAtCompany]]&lt;=2,"0-2 Years",
Table1[[#This Row],[YearsAtCompany]]&lt;=5,"3-5 Years",
Table1[[#This Row],[YearsAtCompany]]&lt;=10,"6-10 Years",
TRUE,"10+ Years")</f>
        <v>3-5 Years</v>
      </c>
    </row>
    <row r="1204" spans="1:41"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tr">
        <f t="shared" si="36"/>
        <v>Research</v>
      </c>
      <c r="AK1204">
        <f t="shared" si="37"/>
        <v>0</v>
      </c>
      <c r="AL1204">
        <f>IF(Table1[[#This Row],[Attrition]]="Yes", Table1[[#This Row],[MonthlyIncome]]*12*1.5, 0)</f>
        <v>0</v>
      </c>
      <c r="AM1204" t="str" cm="1">
        <f t="array" ref="AM1204">_xlfn.IFS(
Table1[[#This Row],[MonthlyIncome]]&lt;3000,"Under 3K",
Table1[[#This Row],[MonthlyIncome]]&lt;6000,"3K-6K",
Table1[[#This Row],[MonthlyIncome]]&lt;9000,"6K-9K",
Table1[[#This Row],[MonthlyIncome]]&lt;12000,"9K-12K",
TRUE,"12K+")</f>
        <v>3K-6K</v>
      </c>
      <c r="AN1204">
        <f>1</f>
        <v>1</v>
      </c>
      <c r="AO1204" t="str" cm="1">
        <f t="array" ref="AO1204">_xlfn.IFS(
Table1[[#This Row],[YearsAtCompany]]&lt;=2,"0-2 Years",
Table1[[#This Row],[YearsAtCompany]]&lt;=5,"3-5 Years",
Table1[[#This Row],[YearsAtCompany]]&lt;=10,"6-10 Years",
TRUE,"10+ Years")</f>
        <v>0-2 Years</v>
      </c>
    </row>
    <row r="1205" spans="1:41"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tr">
        <f t="shared" si="36"/>
        <v>Healthcare</v>
      </c>
      <c r="AK1205">
        <f t="shared" si="37"/>
        <v>0</v>
      </c>
      <c r="AL1205">
        <f>IF(Table1[[#This Row],[Attrition]]="Yes", Table1[[#This Row],[MonthlyIncome]]*12*1.5, 0)</f>
        <v>0</v>
      </c>
      <c r="AM1205" t="str" cm="1">
        <f t="array" ref="AM1205">_xlfn.IFS(
Table1[[#This Row],[MonthlyIncome]]&lt;3000,"Under 3K",
Table1[[#This Row],[MonthlyIncome]]&lt;6000,"3K-6K",
Table1[[#This Row],[MonthlyIncome]]&lt;9000,"6K-9K",
Table1[[#This Row],[MonthlyIncome]]&lt;12000,"9K-12K",
TRUE,"12K+")</f>
        <v>6K-9K</v>
      </c>
      <c r="AN1205">
        <f>1</f>
        <v>1</v>
      </c>
      <c r="AO1205" t="str" cm="1">
        <f t="array" ref="AO1205">_xlfn.IFS(
Table1[[#This Row],[YearsAtCompany]]&lt;=2,"0-2 Years",
Table1[[#This Row],[YearsAtCompany]]&lt;=5,"3-5 Years",
Table1[[#This Row],[YearsAtCompany]]&lt;=10,"6-10 Years",
TRUE,"10+ Years")</f>
        <v>3-5 Years</v>
      </c>
    </row>
    <row r="1206" spans="1:41"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tr">
        <f t="shared" si="36"/>
        <v>Sales</v>
      </c>
      <c r="AK1206">
        <f t="shared" si="37"/>
        <v>1</v>
      </c>
      <c r="AL1206">
        <f>IF(Table1[[#This Row],[Attrition]]="Yes", Table1[[#This Row],[MonthlyIncome]]*12*1.5, 0)</f>
        <v>47790</v>
      </c>
      <c r="AM1206" t="str" cm="1">
        <f t="array" ref="AM1206">_xlfn.IFS(
Table1[[#This Row],[MonthlyIncome]]&lt;3000,"Under 3K",
Table1[[#This Row],[MonthlyIncome]]&lt;6000,"3K-6K",
Table1[[#This Row],[MonthlyIncome]]&lt;9000,"6K-9K",
Table1[[#This Row],[MonthlyIncome]]&lt;12000,"9K-12K",
TRUE,"12K+")</f>
        <v>Under 3K</v>
      </c>
      <c r="AN1206">
        <f>1</f>
        <v>1</v>
      </c>
      <c r="AO1206" t="str" cm="1">
        <f t="array" ref="AO1206">_xlfn.IFS(
Table1[[#This Row],[YearsAtCompany]]&lt;=2,"0-2 Years",
Table1[[#This Row],[YearsAtCompany]]&lt;=5,"3-5 Years",
Table1[[#This Row],[YearsAtCompany]]&lt;=10,"6-10 Years",
TRUE,"10+ Years")</f>
        <v>6-10 Years</v>
      </c>
    </row>
    <row r="1207" spans="1:41"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tr">
        <f t="shared" si="36"/>
        <v>Research</v>
      </c>
      <c r="AK1207">
        <f t="shared" si="37"/>
        <v>1</v>
      </c>
      <c r="AL1207">
        <f>IF(Table1[[#This Row],[Attrition]]="Yes", Table1[[#This Row],[MonthlyIncome]]*12*1.5, 0)</f>
        <v>25074</v>
      </c>
      <c r="AM1207" t="str" cm="1">
        <f t="array" ref="AM1207">_xlfn.IFS(
Table1[[#This Row],[MonthlyIncome]]&lt;3000,"Under 3K",
Table1[[#This Row],[MonthlyIncome]]&lt;6000,"3K-6K",
Table1[[#This Row],[MonthlyIncome]]&lt;9000,"6K-9K",
Table1[[#This Row],[MonthlyIncome]]&lt;12000,"9K-12K",
TRUE,"12K+")</f>
        <v>Under 3K</v>
      </c>
      <c r="AN1207">
        <f>1</f>
        <v>1</v>
      </c>
      <c r="AO1207" t="str" cm="1">
        <f t="array" ref="AO1207">_xlfn.IFS(
Table1[[#This Row],[YearsAtCompany]]&lt;=2,"0-2 Years",
Table1[[#This Row],[YearsAtCompany]]&lt;=5,"3-5 Years",
Table1[[#This Row],[YearsAtCompany]]&lt;=10,"6-10 Years",
TRUE,"10+ Years")</f>
        <v>0-2 Years</v>
      </c>
    </row>
    <row r="1208" spans="1:41"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tr">
        <f t="shared" si="36"/>
        <v>Research</v>
      </c>
      <c r="AK1208">
        <f t="shared" si="37"/>
        <v>0</v>
      </c>
      <c r="AL1208">
        <f>IF(Table1[[#This Row],[Attrition]]="Yes", Table1[[#This Row],[MonthlyIncome]]*12*1.5, 0)</f>
        <v>0</v>
      </c>
      <c r="AM1208" t="str" cm="1">
        <f t="array" ref="AM1208">_xlfn.IFS(
Table1[[#This Row],[MonthlyIncome]]&lt;3000,"Under 3K",
Table1[[#This Row],[MonthlyIncome]]&lt;6000,"3K-6K",
Table1[[#This Row],[MonthlyIncome]]&lt;9000,"6K-9K",
Table1[[#This Row],[MonthlyIncome]]&lt;12000,"9K-12K",
TRUE,"12K+")</f>
        <v>Under 3K</v>
      </c>
      <c r="AN1208">
        <f>1</f>
        <v>1</v>
      </c>
      <c r="AO1208" t="str" cm="1">
        <f t="array" ref="AO1208">_xlfn.IFS(
Table1[[#This Row],[YearsAtCompany]]&lt;=2,"0-2 Years",
Table1[[#This Row],[YearsAtCompany]]&lt;=5,"3-5 Years",
Table1[[#This Row],[YearsAtCompany]]&lt;=10,"6-10 Years",
TRUE,"10+ Years")</f>
        <v>6-10 Years</v>
      </c>
    </row>
    <row r="1209" spans="1:41"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tr">
        <f t="shared" si="36"/>
        <v>Research</v>
      </c>
      <c r="AK1209">
        <f t="shared" si="37"/>
        <v>0</v>
      </c>
      <c r="AL1209">
        <f>IF(Table1[[#This Row],[Attrition]]="Yes", Table1[[#This Row],[MonthlyIncome]]*12*1.5, 0)</f>
        <v>0</v>
      </c>
      <c r="AM1209" t="str" cm="1">
        <f t="array" ref="AM1209">_xlfn.IFS(
Table1[[#This Row],[MonthlyIncome]]&lt;3000,"Under 3K",
Table1[[#This Row],[MonthlyIncome]]&lt;6000,"3K-6K",
Table1[[#This Row],[MonthlyIncome]]&lt;9000,"6K-9K",
Table1[[#This Row],[MonthlyIncome]]&lt;12000,"9K-12K",
TRUE,"12K+")</f>
        <v>3K-6K</v>
      </c>
      <c r="AN1209">
        <f>1</f>
        <v>1</v>
      </c>
      <c r="AO1209" t="str" cm="1">
        <f t="array" ref="AO1209">_xlfn.IFS(
Table1[[#This Row],[YearsAtCompany]]&lt;=2,"0-2 Years",
Table1[[#This Row],[YearsAtCompany]]&lt;=5,"3-5 Years",
Table1[[#This Row],[YearsAtCompany]]&lt;=10,"6-10 Years",
TRUE,"10+ Years")</f>
        <v>3-5 Years</v>
      </c>
    </row>
    <row r="1210" spans="1:41"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tr">
        <f t="shared" si="36"/>
        <v>Research</v>
      </c>
      <c r="AK1210">
        <f t="shared" si="37"/>
        <v>0</v>
      </c>
      <c r="AL1210">
        <f>IF(Table1[[#This Row],[Attrition]]="Yes", Table1[[#This Row],[MonthlyIncome]]*12*1.5, 0)</f>
        <v>0</v>
      </c>
      <c r="AM1210" t="str" cm="1">
        <f t="array" ref="AM1210">_xlfn.IFS(
Table1[[#This Row],[MonthlyIncome]]&lt;3000,"Under 3K",
Table1[[#This Row],[MonthlyIncome]]&lt;6000,"3K-6K",
Table1[[#This Row],[MonthlyIncome]]&lt;9000,"6K-9K",
Table1[[#This Row],[MonthlyIncome]]&lt;12000,"9K-12K",
TRUE,"12K+")</f>
        <v>3K-6K</v>
      </c>
      <c r="AN1210">
        <f>1</f>
        <v>1</v>
      </c>
      <c r="AO1210" t="str" cm="1">
        <f t="array" ref="AO1210">_xlfn.IFS(
Table1[[#This Row],[YearsAtCompany]]&lt;=2,"0-2 Years",
Table1[[#This Row],[YearsAtCompany]]&lt;=5,"3-5 Years",
Table1[[#This Row],[YearsAtCompany]]&lt;=10,"6-10 Years",
TRUE,"10+ Years")</f>
        <v>10+ Years</v>
      </c>
    </row>
    <row r="1211" spans="1:41"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tr">
        <f t="shared" si="36"/>
        <v>Healthcare</v>
      </c>
      <c r="AK1211">
        <f t="shared" si="37"/>
        <v>0</v>
      </c>
      <c r="AL1211">
        <f>IF(Table1[[#This Row],[Attrition]]="Yes", Table1[[#This Row],[MonthlyIncome]]*12*1.5, 0)</f>
        <v>0</v>
      </c>
      <c r="AM1211" t="str" cm="1">
        <f t="array" ref="AM1211">_xlfn.IFS(
Table1[[#This Row],[MonthlyIncome]]&lt;3000,"Under 3K",
Table1[[#This Row],[MonthlyIncome]]&lt;6000,"3K-6K",
Table1[[#This Row],[MonthlyIncome]]&lt;9000,"6K-9K",
Table1[[#This Row],[MonthlyIncome]]&lt;12000,"9K-12K",
TRUE,"12K+")</f>
        <v>9K-12K</v>
      </c>
      <c r="AN1211">
        <f>1</f>
        <v>1</v>
      </c>
      <c r="AO1211" t="str" cm="1">
        <f t="array" ref="AO1211">_xlfn.IFS(
Table1[[#This Row],[YearsAtCompany]]&lt;=2,"0-2 Years",
Table1[[#This Row],[YearsAtCompany]]&lt;=5,"3-5 Years",
Table1[[#This Row],[YearsAtCompany]]&lt;=10,"6-10 Years",
TRUE,"10+ Years")</f>
        <v>0-2 Years</v>
      </c>
    </row>
    <row r="1212" spans="1:41"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tr">
        <f t="shared" si="36"/>
        <v>Research</v>
      </c>
      <c r="AK1212">
        <f t="shared" si="37"/>
        <v>0</v>
      </c>
      <c r="AL1212">
        <f>IF(Table1[[#This Row],[Attrition]]="Yes", Table1[[#This Row],[MonthlyIncome]]*12*1.5, 0)</f>
        <v>0</v>
      </c>
      <c r="AM1212" t="str" cm="1">
        <f t="array" ref="AM1212">_xlfn.IFS(
Table1[[#This Row],[MonthlyIncome]]&lt;3000,"Under 3K",
Table1[[#This Row],[MonthlyIncome]]&lt;6000,"3K-6K",
Table1[[#This Row],[MonthlyIncome]]&lt;9000,"6K-9K",
Table1[[#This Row],[MonthlyIncome]]&lt;12000,"9K-12K",
TRUE,"12K+")</f>
        <v>Under 3K</v>
      </c>
      <c r="AN1212">
        <f>1</f>
        <v>1</v>
      </c>
      <c r="AO1212" t="str" cm="1">
        <f t="array" ref="AO1212">_xlfn.IFS(
Table1[[#This Row],[YearsAtCompany]]&lt;=2,"0-2 Years",
Table1[[#This Row],[YearsAtCompany]]&lt;=5,"3-5 Years",
Table1[[#This Row],[YearsAtCompany]]&lt;=10,"6-10 Years",
TRUE,"10+ Years")</f>
        <v>10+ Years</v>
      </c>
    </row>
    <row r="1213" spans="1:41"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tr">
        <f t="shared" si="36"/>
        <v>Sales</v>
      </c>
      <c r="AK1213">
        <f t="shared" si="37"/>
        <v>0</v>
      </c>
      <c r="AL1213">
        <f>IF(Table1[[#This Row],[Attrition]]="Yes", Table1[[#This Row],[MonthlyIncome]]*12*1.5, 0)</f>
        <v>0</v>
      </c>
      <c r="AM1213" t="str" cm="1">
        <f t="array" ref="AM1213">_xlfn.IFS(
Table1[[#This Row],[MonthlyIncome]]&lt;3000,"Under 3K",
Table1[[#This Row],[MonthlyIncome]]&lt;6000,"3K-6K",
Table1[[#This Row],[MonthlyIncome]]&lt;9000,"6K-9K",
Table1[[#This Row],[MonthlyIncome]]&lt;12000,"9K-12K",
TRUE,"12K+")</f>
        <v>9K-12K</v>
      </c>
      <c r="AN1213">
        <f>1</f>
        <v>1</v>
      </c>
      <c r="AO1213" t="str" cm="1">
        <f t="array" ref="AO1213">_xlfn.IFS(
Table1[[#This Row],[YearsAtCompany]]&lt;=2,"0-2 Years",
Table1[[#This Row],[YearsAtCompany]]&lt;=5,"3-5 Years",
Table1[[#This Row],[YearsAtCompany]]&lt;=10,"6-10 Years",
TRUE,"10+ Years")</f>
        <v>6-10 Years</v>
      </c>
    </row>
    <row r="1214" spans="1:41"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tr">
        <f t="shared" si="36"/>
        <v>Research</v>
      </c>
      <c r="AK1214">
        <f t="shared" si="37"/>
        <v>0</v>
      </c>
      <c r="AL1214">
        <f>IF(Table1[[#This Row],[Attrition]]="Yes", Table1[[#This Row],[MonthlyIncome]]*12*1.5, 0)</f>
        <v>0</v>
      </c>
      <c r="AM1214" t="str" cm="1">
        <f t="array" ref="AM1214">_xlfn.IFS(
Table1[[#This Row],[MonthlyIncome]]&lt;3000,"Under 3K",
Table1[[#This Row],[MonthlyIncome]]&lt;6000,"3K-6K",
Table1[[#This Row],[MonthlyIncome]]&lt;9000,"6K-9K",
Table1[[#This Row],[MonthlyIncome]]&lt;12000,"9K-12K",
TRUE,"12K+")</f>
        <v>Under 3K</v>
      </c>
      <c r="AN1214">
        <f>1</f>
        <v>1</v>
      </c>
      <c r="AO1214" t="str" cm="1">
        <f t="array" ref="AO1214">_xlfn.IFS(
Table1[[#This Row],[YearsAtCompany]]&lt;=2,"0-2 Years",
Table1[[#This Row],[YearsAtCompany]]&lt;=5,"3-5 Years",
Table1[[#This Row],[YearsAtCompany]]&lt;=10,"6-10 Years",
TRUE,"10+ Years")</f>
        <v>6-10 Years</v>
      </c>
    </row>
    <row r="1215" spans="1:41"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tr">
        <f t="shared" si="36"/>
        <v>Sales</v>
      </c>
      <c r="AK1215">
        <f t="shared" si="37"/>
        <v>1</v>
      </c>
      <c r="AL1215">
        <f>IF(Table1[[#This Row],[Attrition]]="Yes", Table1[[#This Row],[MonthlyIncome]]*12*1.5, 0)</f>
        <v>40950</v>
      </c>
      <c r="AM1215" t="str" cm="1">
        <f t="array" ref="AM1215">_xlfn.IFS(
Table1[[#This Row],[MonthlyIncome]]&lt;3000,"Under 3K",
Table1[[#This Row],[MonthlyIncome]]&lt;6000,"3K-6K",
Table1[[#This Row],[MonthlyIncome]]&lt;9000,"6K-9K",
Table1[[#This Row],[MonthlyIncome]]&lt;12000,"9K-12K",
TRUE,"12K+")</f>
        <v>Under 3K</v>
      </c>
      <c r="AN1215">
        <f>1</f>
        <v>1</v>
      </c>
      <c r="AO1215" t="str" cm="1">
        <f t="array" ref="AO1215">_xlfn.IFS(
Table1[[#This Row],[YearsAtCompany]]&lt;=2,"0-2 Years",
Table1[[#This Row],[YearsAtCompany]]&lt;=5,"3-5 Years",
Table1[[#This Row],[YearsAtCompany]]&lt;=10,"6-10 Years",
TRUE,"10+ Years")</f>
        <v>3-5 Years</v>
      </c>
    </row>
    <row r="1216" spans="1:41"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tr">
        <f t="shared" si="36"/>
        <v>Healthcare</v>
      </c>
      <c r="AK1216">
        <f t="shared" si="37"/>
        <v>0</v>
      </c>
      <c r="AL1216">
        <f>IF(Table1[[#This Row],[Attrition]]="Yes", Table1[[#This Row],[MonthlyIncome]]*12*1.5, 0)</f>
        <v>0</v>
      </c>
      <c r="AM1216" t="str" cm="1">
        <f t="array" ref="AM1216">_xlfn.IFS(
Table1[[#This Row],[MonthlyIncome]]&lt;3000,"Under 3K",
Table1[[#This Row],[MonthlyIncome]]&lt;6000,"3K-6K",
Table1[[#This Row],[MonthlyIncome]]&lt;9000,"6K-9K",
Table1[[#This Row],[MonthlyIncome]]&lt;12000,"9K-12K",
TRUE,"12K+")</f>
        <v>6K-9K</v>
      </c>
      <c r="AN1216">
        <f>1</f>
        <v>1</v>
      </c>
      <c r="AO1216" t="str" cm="1">
        <f t="array" ref="AO1216">_xlfn.IFS(
Table1[[#This Row],[YearsAtCompany]]&lt;=2,"0-2 Years",
Table1[[#This Row],[YearsAtCompany]]&lt;=5,"3-5 Years",
Table1[[#This Row],[YearsAtCompany]]&lt;=10,"6-10 Years",
TRUE,"10+ Years")</f>
        <v>6-10 Years</v>
      </c>
    </row>
    <row r="1217" spans="1:41"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tr">
        <f t="shared" si="36"/>
        <v>Research</v>
      </c>
      <c r="AK1217">
        <f t="shared" si="37"/>
        <v>0</v>
      </c>
      <c r="AL1217">
        <f>IF(Table1[[#This Row],[Attrition]]="Yes", Table1[[#This Row],[MonthlyIncome]]*12*1.5, 0)</f>
        <v>0</v>
      </c>
      <c r="AM1217" t="str" cm="1">
        <f t="array" ref="AM1217">_xlfn.IFS(
Table1[[#This Row],[MonthlyIncome]]&lt;3000,"Under 3K",
Table1[[#This Row],[MonthlyIncome]]&lt;6000,"3K-6K",
Table1[[#This Row],[MonthlyIncome]]&lt;9000,"6K-9K",
Table1[[#This Row],[MonthlyIncome]]&lt;12000,"9K-12K",
TRUE,"12K+")</f>
        <v>3K-6K</v>
      </c>
      <c r="AN1217">
        <f>1</f>
        <v>1</v>
      </c>
      <c r="AO1217" t="str" cm="1">
        <f t="array" ref="AO1217">_xlfn.IFS(
Table1[[#This Row],[YearsAtCompany]]&lt;=2,"0-2 Years",
Table1[[#This Row],[YearsAtCompany]]&lt;=5,"3-5 Years",
Table1[[#This Row],[YearsAtCompany]]&lt;=10,"6-10 Years",
TRUE,"10+ Years")</f>
        <v>3-5 Years</v>
      </c>
    </row>
    <row r="1218" spans="1:41"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tr">
        <f t="shared" si="36"/>
        <v>Sales</v>
      </c>
      <c r="AK1218">
        <f t="shared" si="37"/>
        <v>0</v>
      </c>
      <c r="AL1218">
        <f>IF(Table1[[#This Row],[Attrition]]="Yes", Table1[[#This Row],[MonthlyIncome]]*12*1.5, 0)</f>
        <v>0</v>
      </c>
      <c r="AM1218" t="str" cm="1">
        <f t="array" ref="AM1218">_xlfn.IFS(
Table1[[#This Row],[MonthlyIncome]]&lt;3000,"Under 3K",
Table1[[#This Row],[MonthlyIncome]]&lt;6000,"3K-6K",
Table1[[#This Row],[MonthlyIncome]]&lt;9000,"6K-9K",
Table1[[#This Row],[MonthlyIncome]]&lt;12000,"9K-12K",
TRUE,"12K+")</f>
        <v>6K-9K</v>
      </c>
      <c r="AN1218">
        <f>1</f>
        <v>1</v>
      </c>
      <c r="AO1218" t="str" cm="1">
        <f t="array" ref="AO1218">_xlfn.IFS(
Table1[[#This Row],[YearsAtCompany]]&lt;=2,"0-2 Years",
Table1[[#This Row],[YearsAtCompany]]&lt;=5,"3-5 Years",
Table1[[#This Row],[YearsAtCompany]]&lt;=10,"6-10 Years",
TRUE,"10+ Years")</f>
        <v>6-10 Years</v>
      </c>
    </row>
    <row r="1219" spans="1:41"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tr">
        <f t="shared" ref="AJ1219:AJ1282" si="38">_xlfn.XLOOKUP(P1219, $AP$2:$AP$10,$AQ$2:$AQ$10)</f>
        <v>Research</v>
      </c>
      <c r="AK1219">
        <f t="shared" ref="AK1219:AK1282" si="39">IF(B1219 ="Yes",1,0)</f>
        <v>0</v>
      </c>
      <c r="AL1219">
        <f>IF(Table1[[#This Row],[Attrition]]="Yes", Table1[[#This Row],[MonthlyIncome]]*12*1.5, 0)</f>
        <v>0</v>
      </c>
      <c r="AM1219" t="str" cm="1">
        <f t="array" ref="AM1219">_xlfn.IFS(
Table1[[#This Row],[MonthlyIncome]]&lt;3000,"Under 3K",
Table1[[#This Row],[MonthlyIncome]]&lt;6000,"3K-6K",
Table1[[#This Row],[MonthlyIncome]]&lt;9000,"6K-9K",
Table1[[#This Row],[MonthlyIncome]]&lt;12000,"9K-12K",
TRUE,"12K+")</f>
        <v>3K-6K</v>
      </c>
      <c r="AN1219">
        <f>1</f>
        <v>1</v>
      </c>
      <c r="AO1219" t="str" cm="1">
        <f t="array" ref="AO1219">_xlfn.IFS(
Table1[[#This Row],[YearsAtCompany]]&lt;=2,"0-2 Years",
Table1[[#This Row],[YearsAtCompany]]&lt;=5,"3-5 Years",
Table1[[#This Row],[YearsAtCompany]]&lt;=10,"6-10 Years",
TRUE,"10+ Years")</f>
        <v>3-5 Years</v>
      </c>
    </row>
    <row r="1220" spans="1:41"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tr">
        <f t="shared" si="38"/>
        <v>Sales</v>
      </c>
      <c r="AK1220">
        <f t="shared" si="39"/>
        <v>0</v>
      </c>
      <c r="AL1220">
        <f>IF(Table1[[#This Row],[Attrition]]="Yes", Table1[[#This Row],[MonthlyIncome]]*12*1.5, 0)</f>
        <v>0</v>
      </c>
      <c r="AM1220" t="str" cm="1">
        <f t="array" ref="AM1220">_xlfn.IFS(
Table1[[#This Row],[MonthlyIncome]]&lt;3000,"Under 3K",
Table1[[#This Row],[MonthlyIncome]]&lt;6000,"3K-6K",
Table1[[#This Row],[MonthlyIncome]]&lt;9000,"6K-9K",
Table1[[#This Row],[MonthlyIncome]]&lt;12000,"9K-12K",
TRUE,"12K+")</f>
        <v>9K-12K</v>
      </c>
      <c r="AN1220">
        <f>1</f>
        <v>1</v>
      </c>
      <c r="AO1220" t="str" cm="1">
        <f t="array" ref="AO1220">_xlfn.IFS(
Table1[[#This Row],[YearsAtCompany]]&lt;=2,"0-2 Years",
Table1[[#This Row],[YearsAtCompany]]&lt;=5,"3-5 Years",
Table1[[#This Row],[YearsAtCompany]]&lt;=10,"6-10 Years",
TRUE,"10+ Years")</f>
        <v>6-10 Years</v>
      </c>
    </row>
    <row r="1221" spans="1:41"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tr">
        <f t="shared" si="38"/>
        <v>Research</v>
      </c>
      <c r="AK1221">
        <f t="shared" si="39"/>
        <v>0</v>
      </c>
      <c r="AL1221">
        <f>IF(Table1[[#This Row],[Attrition]]="Yes", Table1[[#This Row],[MonthlyIncome]]*12*1.5, 0)</f>
        <v>0</v>
      </c>
      <c r="AM1221" t="str" cm="1">
        <f t="array" ref="AM1221">_xlfn.IFS(
Table1[[#This Row],[MonthlyIncome]]&lt;3000,"Under 3K",
Table1[[#This Row],[MonthlyIncome]]&lt;6000,"3K-6K",
Table1[[#This Row],[MonthlyIncome]]&lt;9000,"6K-9K",
Table1[[#This Row],[MonthlyIncome]]&lt;12000,"9K-12K",
TRUE,"12K+")</f>
        <v>Under 3K</v>
      </c>
      <c r="AN1221">
        <f>1</f>
        <v>1</v>
      </c>
      <c r="AO1221" t="str" cm="1">
        <f t="array" ref="AO1221">_xlfn.IFS(
Table1[[#This Row],[YearsAtCompany]]&lt;=2,"0-2 Years",
Table1[[#This Row],[YearsAtCompany]]&lt;=5,"3-5 Years",
Table1[[#This Row],[YearsAtCompany]]&lt;=10,"6-10 Years",
TRUE,"10+ Years")</f>
        <v>3-5 Years</v>
      </c>
    </row>
    <row r="1222" spans="1:41"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tr">
        <f t="shared" si="38"/>
        <v>Sales</v>
      </c>
      <c r="AK1222">
        <f t="shared" si="39"/>
        <v>0</v>
      </c>
      <c r="AL1222">
        <f>IF(Table1[[#This Row],[Attrition]]="Yes", Table1[[#This Row],[MonthlyIncome]]*12*1.5, 0)</f>
        <v>0</v>
      </c>
      <c r="AM1222" t="str" cm="1">
        <f t="array" ref="AM1222">_xlfn.IFS(
Table1[[#This Row],[MonthlyIncome]]&lt;3000,"Under 3K",
Table1[[#This Row],[MonthlyIncome]]&lt;6000,"3K-6K",
Table1[[#This Row],[MonthlyIncome]]&lt;9000,"6K-9K",
Table1[[#This Row],[MonthlyIncome]]&lt;12000,"9K-12K",
TRUE,"12K+")</f>
        <v>3K-6K</v>
      </c>
      <c r="AN1222">
        <f>1</f>
        <v>1</v>
      </c>
      <c r="AO1222" t="str" cm="1">
        <f t="array" ref="AO1222">_xlfn.IFS(
Table1[[#This Row],[YearsAtCompany]]&lt;=2,"0-2 Years",
Table1[[#This Row],[YearsAtCompany]]&lt;=5,"3-5 Years",
Table1[[#This Row],[YearsAtCompany]]&lt;=10,"6-10 Years",
TRUE,"10+ Years")</f>
        <v>10+ Years</v>
      </c>
    </row>
    <row r="1223" spans="1:41"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tr">
        <f t="shared" si="38"/>
        <v>Healthcare</v>
      </c>
      <c r="AK1223">
        <f t="shared" si="39"/>
        <v>0</v>
      </c>
      <c r="AL1223">
        <f>IF(Table1[[#This Row],[Attrition]]="Yes", Table1[[#This Row],[MonthlyIncome]]*12*1.5, 0)</f>
        <v>0</v>
      </c>
      <c r="AM1223" t="str" cm="1">
        <f t="array" ref="AM1223">_xlfn.IFS(
Table1[[#This Row],[MonthlyIncome]]&lt;3000,"Under 3K",
Table1[[#This Row],[MonthlyIncome]]&lt;6000,"3K-6K",
Table1[[#This Row],[MonthlyIncome]]&lt;9000,"6K-9K",
Table1[[#This Row],[MonthlyIncome]]&lt;12000,"9K-12K",
TRUE,"12K+")</f>
        <v>9K-12K</v>
      </c>
      <c r="AN1223">
        <f>1</f>
        <v>1</v>
      </c>
      <c r="AO1223" t="str" cm="1">
        <f t="array" ref="AO1223">_xlfn.IFS(
Table1[[#This Row],[YearsAtCompany]]&lt;=2,"0-2 Years",
Table1[[#This Row],[YearsAtCompany]]&lt;=5,"3-5 Years",
Table1[[#This Row],[YearsAtCompany]]&lt;=10,"6-10 Years",
TRUE,"10+ Years")</f>
        <v>10+ Years</v>
      </c>
    </row>
    <row r="1224" spans="1:41"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tr">
        <f t="shared" si="38"/>
        <v>Human Resources</v>
      </c>
      <c r="AK1224">
        <f t="shared" si="39"/>
        <v>1</v>
      </c>
      <c r="AL1224">
        <f>IF(Table1[[#This Row],[Attrition]]="Yes", Table1[[#This Row],[MonthlyIncome]]*12*1.5, 0)</f>
        <v>27990</v>
      </c>
      <c r="AM1224" t="str" cm="1">
        <f t="array" ref="AM1224">_xlfn.IFS(
Table1[[#This Row],[MonthlyIncome]]&lt;3000,"Under 3K",
Table1[[#This Row],[MonthlyIncome]]&lt;6000,"3K-6K",
Table1[[#This Row],[MonthlyIncome]]&lt;9000,"6K-9K",
Table1[[#This Row],[MonthlyIncome]]&lt;12000,"9K-12K",
TRUE,"12K+")</f>
        <v>Under 3K</v>
      </c>
      <c r="AN1224">
        <f>1</f>
        <v>1</v>
      </c>
      <c r="AO1224" t="str" cm="1">
        <f t="array" ref="AO1224">_xlfn.IFS(
Table1[[#This Row],[YearsAtCompany]]&lt;=2,"0-2 Years",
Table1[[#This Row],[YearsAtCompany]]&lt;=5,"3-5 Years",
Table1[[#This Row],[YearsAtCompany]]&lt;=10,"6-10 Years",
TRUE,"10+ Years")</f>
        <v>0-2 Years</v>
      </c>
    </row>
    <row r="1225" spans="1:41"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tr">
        <f t="shared" si="38"/>
        <v>Sales</v>
      </c>
      <c r="AK1225">
        <f t="shared" si="39"/>
        <v>1</v>
      </c>
      <c r="AL1225">
        <f>IF(Table1[[#This Row],[Attrition]]="Yes", Table1[[#This Row],[MonthlyIncome]]*12*1.5, 0)</f>
        <v>232848</v>
      </c>
      <c r="AM1225" t="str" cm="1">
        <f t="array" ref="AM1225">_xlfn.IFS(
Table1[[#This Row],[MonthlyIncome]]&lt;3000,"Under 3K",
Table1[[#This Row],[MonthlyIncome]]&lt;6000,"3K-6K",
Table1[[#This Row],[MonthlyIncome]]&lt;9000,"6K-9K",
Table1[[#This Row],[MonthlyIncome]]&lt;12000,"9K-12K",
TRUE,"12K+")</f>
        <v>12K+</v>
      </c>
      <c r="AN1225">
        <f>1</f>
        <v>1</v>
      </c>
      <c r="AO1225" t="str" cm="1">
        <f t="array" ref="AO1225">_xlfn.IFS(
Table1[[#This Row],[YearsAtCompany]]&lt;=2,"0-2 Years",
Table1[[#This Row],[YearsAtCompany]]&lt;=5,"3-5 Years",
Table1[[#This Row],[YearsAtCompany]]&lt;=10,"6-10 Years",
TRUE,"10+ Years")</f>
        <v>10+ Years</v>
      </c>
    </row>
    <row r="1226" spans="1:41"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tr">
        <f t="shared" si="38"/>
        <v>Research</v>
      </c>
      <c r="AK1226">
        <f t="shared" si="39"/>
        <v>0</v>
      </c>
      <c r="AL1226">
        <f>IF(Table1[[#This Row],[Attrition]]="Yes", Table1[[#This Row],[MonthlyIncome]]*12*1.5, 0)</f>
        <v>0</v>
      </c>
      <c r="AM1226" t="str" cm="1">
        <f t="array" ref="AM1226">_xlfn.IFS(
Table1[[#This Row],[MonthlyIncome]]&lt;3000,"Under 3K",
Table1[[#This Row],[MonthlyIncome]]&lt;6000,"3K-6K",
Table1[[#This Row],[MonthlyIncome]]&lt;9000,"6K-9K",
Table1[[#This Row],[MonthlyIncome]]&lt;12000,"9K-12K",
TRUE,"12K+")</f>
        <v>Under 3K</v>
      </c>
      <c r="AN1226">
        <f>1</f>
        <v>1</v>
      </c>
      <c r="AO1226" t="str" cm="1">
        <f t="array" ref="AO1226">_xlfn.IFS(
Table1[[#This Row],[YearsAtCompany]]&lt;=2,"0-2 Years",
Table1[[#This Row],[YearsAtCompany]]&lt;=5,"3-5 Years",
Table1[[#This Row],[YearsAtCompany]]&lt;=10,"6-10 Years",
TRUE,"10+ Years")</f>
        <v>3-5 Years</v>
      </c>
    </row>
    <row r="1227" spans="1:41"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tr">
        <f t="shared" si="38"/>
        <v>Research</v>
      </c>
      <c r="AK1227">
        <f t="shared" si="39"/>
        <v>0</v>
      </c>
      <c r="AL1227">
        <f>IF(Table1[[#This Row],[Attrition]]="Yes", Table1[[#This Row],[MonthlyIncome]]*12*1.5, 0)</f>
        <v>0</v>
      </c>
      <c r="AM1227" t="str" cm="1">
        <f t="array" ref="AM1227">_xlfn.IFS(
Table1[[#This Row],[MonthlyIncome]]&lt;3000,"Under 3K",
Table1[[#This Row],[MonthlyIncome]]&lt;6000,"3K-6K",
Table1[[#This Row],[MonthlyIncome]]&lt;9000,"6K-9K",
Table1[[#This Row],[MonthlyIncome]]&lt;12000,"9K-12K",
TRUE,"12K+")</f>
        <v>12K+</v>
      </c>
      <c r="AN1227">
        <f>1</f>
        <v>1</v>
      </c>
      <c r="AO1227" t="str" cm="1">
        <f t="array" ref="AO1227">_xlfn.IFS(
Table1[[#This Row],[YearsAtCompany]]&lt;=2,"0-2 Years",
Table1[[#This Row],[YearsAtCompany]]&lt;=5,"3-5 Years",
Table1[[#This Row],[YearsAtCompany]]&lt;=10,"6-10 Years",
TRUE,"10+ Years")</f>
        <v>10+ Years</v>
      </c>
    </row>
    <row r="1228" spans="1:41"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tr">
        <f t="shared" si="38"/>
        <v>Research</v>
      </c>
      <c r="AK1228">
        <f t="shared" si="39"/>
        <v>0</v>
      </c>
      <c r="AL1228">
        <f>IF(Table1[[#This Row],[Attrition]]="Yes", Table1[[#This Row],[MonthlyIncome]]*12*1.5, 0)</f>
        <v>0</v>
      </c>
      <c r="AM1228" t="str" cm="1">
        <f t="array" ref="AM1228">_xlfn.IFS(
Table1[[#This Row],[MonthlyIncome]]&lt;3000,"Under 3K",
Table1[[#This Row],[MonthlyIncome]]&lt;6000,"3K-6K",
Table1[[#This Row],[MonthlyIncome]]&lt;9000,"6K-9K",
Table1[[#This Row],[MonthlyIncome]]&lt;12000,"9K-12K",
TRUE,"12K+")</f>
        <v>3K-6K</v>
      </c>
      <c r="AN1228">
        <f>1</f>
        <v>1</v>
      </c>
      <c r="AO1228" t="str" cm="1">
        <f t="array" ref="AO1228">_xlfn.IFS(
Table1[[#This Row],[YearsAtCompany]]&lt;=2,"0-2 Years",
Table1[[#This Row],[YearsAtCompany]]&lt;=5,"3-5 Years",
Table1[[#This Row],[YearsAtCompany]]&lt;=10,"6-10 Years",
TRUE,"10+ Years")</f>
        <v>3-5 Years</v>
      </c>
    </row>
    <row r="1229" spans="1:41"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tr">
        <f t="shared" si="38"/>
        <v>Research</v>
      </c>
      <c r="AK1229">
        <f t="shared" si="39"/>
        <v>0</v>
      </c>
      <c r="AL1229">
        <f>IF(Table1[[#This Row],[Attrition]]="Yes", Table1[[#This Row],[MonthlyIncome]]*12*1.5, 0)</f>
        <v>0</v>
      </c>
      <c r="AM1229" t="str" cm="1">
        <f t="array" ref="AM1229">_xlfn.IFS(
Table1[[#This Row],[MonthlyIncome]]&lt;3000,"Under 3K",
Table1[[#This Row],[MonthlyIncome]]&lt;6000,"3K-6K",
Table1[[#This Row],[MonthlyIncome]]&lt;9000,"6K-9K",
Table1[[#This Row],[MonthlyIncome]]&lt;12000,"9K-12K",
TRUE,"12K+")</f>
        <v>3K-6K</v>
      </c>
      <c r="AN1229">
        <f>1</f>
        <v>1</v>
      </c>
      <c r="AO1229" t="str" cm="1">
        <f t="array" ref="AO1229">_xlfn.IFS(
Table1[[#This Row],[YearsAtCompany]]&lt;=2,"0-2 Years",
Table1[[#This Row],[YearsAtCompany]]&lt;=5,"3-5 Years",
Table1[[#This Row],[YearsAtCompany]]&lt;=10,"6-10 Years",
TRUE,"10+ Years")</f>
        <v>3-5 Years</v>
      </c>
    </row>
    <row r="1230" spans="1:41"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tr">
        <f t="shared" si="38"/>
        <v>Human Resources</v>
      </c>
      <c r="AK1230">
        <f t="shared" si="39"/>
        <v>0</v>
      </c>
      <c r="AL1230">
        <f>IF(Table1[[#This Row],[Attrition]]="Yes", Table1[[#This Row],[MonthlyIncome]]*12*1.5, 0)</f>
        <v>0</v>
      </c>
      <c r="AM1230" t="str" cm="1">
        <f t="array" ref="AM1230">_xlfn.IFS(
Table1[[#This Row],[MonthlyIncome]]&lt;3000,"Under 3K",
Table1[[#This Row],[MonthlyIncome]]&lt;6000,"3K-6K",
Table1[[#This Row],[MonthlyIncome]]&lt;9000,"6K-9K",
Table1[[#This Row],[MonthlyIncome]]&lt;12000,"9K-12K",
TRUE,"12K+")</f>
        <v>6K-9K</v>
      </c>
      <c r="AN1230">
        <f>1</f>
        <v>1</v>
      </c>
      <c r="AO1230" t="str" cm="1">
        <f t="array" ref="AO1230">_xlfn.IFS(
Table1[[#This Row],[YearsAtCompany]]&lt;=2,"0-2 Years",
Table1[[#This Row],[YearsAtCompany]]&lt;=5,"3-5 Years",
Table1[[#This Row],[YearsAtCompany]]&lt;=10,"6-10 Years",
TRUE,"10+ Years")</f>
        <v>3-5 Years</v>
      </c>
    </row>
    <row r="1231" spans="1:41"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tr">
        <f t="shared" si="38"/>
        <v>Operations</v>
      </c>
      <c r="AK1231">
        <f t="shared" si="39"/>
        <v>0</v>
      </c>
      <c r="AL1231">
        <f>IF(Table1[[#This Row],[Attrition]]="Yes", Table1[[#This Row],[MonthlyIncome]]*12*1.5, 0)</f>
        <v>0</v>
      </c>
      <c r="AM1231" t="str" cm="1">
        <f t="array" ref="AM1231">_xlfn.IFS(
Table1[[#This Row],[MonthlyIncome]]&lt;3000,"Under 3K",
Table1[[#This Row],[MonthlyIncome]]&lt;6000,"3K-6K",
Table1[[#This Row],[MonthlyIncome]]&lt;9000,"6K-9K",
Table1[[#This Row],[MonthlyIncome]]&lt;12000,"9K-12K",
TRUE,"12K+")</f>
        <v>6K-9K</v>
      </c>
      <c r="AN1231">
        <f>1</f>
        <v>1</v>
      </c>
      <c r="AO1231" t="str" cm="1">
        <f t="array" ref="AO1231">_xlfn.IFS(
Table1[[#This Row],[YearsAtCompany]]&lt;=2,"0-2 Years",
Table1[[#This Row],[YearsAtCompany]]&lt;=5,"3-5 Years",
Table1[[#This Row],[YearsAtCompany]]&lt;=10,"6-10 Years",
TRUE,"10+ Years")</f>
        <v>0-2 Years</v>
      </c>
    </row>
    <row r="1232" spans="1:41"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tr">
        <f t="shared" si="38"/>
        <v>Research</v>
      </c>
      <c r="AK1232">
        <f t="shared" si="39"/>
        <v>0</v>
      </c>
      <c r="AL1232">
        <f>IF(Table1[[#This Row],[Attrition]]="Yes", Table1[[#This Row],[MonthlyIncome]]*12*1.5, 0)</f>
        <v>0</v>
      </c>
      <c r="AM1232" t="str" cm="1">
        <f t="array" ref="AM1232">_xlfn.IFS(
Table1[[#This Row],[MonthlyIncome]]&lt;3000,"Under 3K",
Table1[[#This Row],[MonthlyIncome]]&lt;6000,"3K-6K",
Table1[[#This Row],[MonthlyIncome]]&lt;9000,"6K-9K",
Table1[[#This Row],[MonthlyIncome]]&lt;12000,"9K-12K",
TRUE,"12K+")</f>
        <v>3K-6K</v>
      </c>
      <c r="AN1232">
        <f>1</f>
        <v>1</v>
      </c>
      <c r="AO1232" t="str" cm="1">
        <f t="array" ref="AO1232">_xlfn.IFS(
Table1[[#This Row],[YearsAtCompany]]&lt;=2,"0-2 Years",
Table1[[#This Row],[YearsAtCompany]]&lt;=5,"3-5 Years",
Table1[[#This Row],[YearsAtCompany]]&lt;=10,"6-10 Years",
TRUE,"10+ Years")</f>
        <v>6-10 Years</v>
      </c>
    </row>
    <row r="1233" spans="1:41"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tr">
        <f t="shared" si="38"/>
        <v>Healthcare</v>
      </c>
      <c r="AK1233">
        <f t="shared" si="39"/>
        <v>0</v>
      </c>
      <c r="AL1233">
        <f>IF(Table1[[#This Row],[Attrition]]="Yes", Table1[[#This Row],[MonthlyIncome]]*12*1.5, 0)</f>
        <v>0</v>
      </c>
      <c r="AM1233" t="str" cm="1">
        <f t="array" ref="AM1233">_xlfn.IFS(
Table1[[#This Row],[MonthlyIncome]]&lt;3000,"Under 3K",
Table1[[#This Row],[MonthlyIncome]]&lt;6000,"3K-6K",
Table1[[#This Row],[MonthlyIncome]]&lt;9000,"6K-9K",
Table1[[#This Row],[MonthlyIncome]]&lt;12000,"9K-12K",
TRUE,"12K+")</f>
        <v>3K-6K</v>
      </c>
      <c r="AN1233">
        <f>1</f>
        <v>1</v>
      </c>
      <c r="AO1233" t="str" cm="1">
        <f t="array" ref="AO1233">_xlfn.IFS(
Table1[[#This Row],[YearsAtCompany]]&lt;=2,"0-2 Years",
Table1[[#This Row],[YearsAtCompany]]&lt;=5,"3-5 Years",
Table1[[#This Row],[YearsAtCompany]]&lt;=10,"6-10 Years",
TRUE,"10+ Years")</f>
        <v>6-10 Years</v>
      </c>
    </row>
    <row r="1234" spans="1:41"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tr">
        <f t="shared" si="38"/>
        <v>Operations</v>
      </c>
      <c r="AK1234">
        <f t="shared" si="39"/>
        <v>0</v>
      </c>
      <c r="AL1234">
        <f>IF(Table1[[#This Row],[Attrition]]="Yes", Table1[[#This Row],[MonthlyIncome]]*12*1.5, 0)</f>
        <v>0</v>
      </c>
      <c r="AM1234" t="str" cm="1">
        <f t="array" ref="AM1234">_xlfn.IFS(
Table1[[#This Row],[MonthlyIncome]]&lt;3000,"Under 3K",
Table1[[#This Row],[MonthlyIncome]]&lt;6000,"3K-6K",
Table1[[#This Row],[MonthlyIncome]]&lt;9000,"6K-9K",
Table1[[#This Row],[MonthlyIncome]]&lt;12000,"9K-12K",
TRUE,"12K+")</f>
        <v>6K-9K</v>
      </c>
      <c r="AN1234">
        <f>1</f>
        <v>1</v>
      </c>
      <c r="AO1234" t="str" cm="1">
        <f t="array" ref="AO1234">_xlfn.IFS(
Table1[[#This Row],[YearsAtCompany]]&lt;=2,"0-2 Years",
Table1[[#This Row],[YearsAtCompany]]&lt;=5,"3-5 Years",
Table1[[#This Row],[YearsAtCompany]]&lt;=10,"6-10 Years",
TRUE,"10+ Years")</f>
        <v>6-10 Years</v>
      </c>
    </row>
    <row r="1235" spans="1:41"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tr">
        <f t="shared" si="38"/>
        <v>Research</v>
      </c>
      <c r="AK1235">
        <f t="shared" si="39"/>
        <v>0</v>
      </c>
      <c r="AL1235">
        <f>IF(Table1[[#This Row],[Attrition]]="Yes", Table1[[#This Row],[MonthlyIncome]]*12*1.5, 0)</f>
        <v>0</v>
      </c>
      <c r="AM1235" t="str" cm="1">
        <f t="array" ref="AM1235">_xlfn.IFS(
Table1[[#This Row],[MonthlyIncome]]&lt;3000,"Under 3K",
Table1[[#This Row],[MonthlyIncome]]&lt;6000,"3K-6K",
Table1[[#This Row],[MonthlyIncome]]&lt;9000,"6K-9K",
Table1[[#This Row],[MonthlyIncome]]&lt;12000,"9K-12K",
TRUE,"12K+")</f>
        <v>Under 3K</v>
      </c>
      <c r="AN1235">
        <f>1</f>
        <v>1</v>
      </c>
      <c r="AO1235" t="str" cm="1">
        <f t="array" ref="AO1235">_xlfn.IFS(
Table1[[#This Row],[YearsAtCompany]]&lt;=2,"0-2 Years",
Table1[[#This Row],[YearsAtCompany]]&lt;=5,"3-5 Years",
Table1[[#This Row],[YearsAtCompany]]&lt;=10,"6-10 Years",
TRUE,"10+ Years")</f>
        <v>6-10 Years</v>
      </c>
    </row>
    <row r="1236" spans="1:41"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tr">
        <f t="shared" si="38"/>
        <v>Sales</v>
      </c>
      <c r="AK1236">
        <f t="shared" si="39"/>
        <v>0</v>
      </c>
      <c r="AL1236">
        <f>IF(Table1[[#This Row],[Attrition]]="Yes", Table1[[#This Row],[MonthlyIncome]]*12*1.5, 0)</f>
        <v>0</v>
      </c>
      <c r="AM1236" t="str" cm="1">
        <f t="array" ref="AM1236">_xlfn.IFS(
Table1[[#This Row],[MonthlyIncome]]&lt;3000,"Under 3K",
Table1[[#This Row],[MonthlyIncome]]&lt;6000,"3K-6K",
Table1[[#This Row],[MonthlyIncome]]&lt;9000,"6K-9K",
Table1[[#This Row],[MonthlyIncome]]&lt;12000,"9K-12K",
TRUE,"12K+")</f>
        <v>3K-6K</v>
      </c>
      <c r="AN1236">
        <f>1</f>
        <v>1</v>
      </c>
      <c r="AO1236" t="str" cm="1">
        <f t="array" ref="AO1236">_xlfn.IFS(
Table1[[#This Row],[YearsAtCompany]]&lt;=2,"0-2 Years",
Table1[[#This Row],[YearsAtCompany]]&lt;=5,"3-5 Years",
Table1[[#This Row],[YearsAtCompany]]&lt;=10,"6-10 Years",
TRUE,"10+ Years")</f>
        <v>0-2 Years</v>
      </c>
    </row>
    <row r="1237" spans="1:41"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tr">
        <f t="shared" si="38"/>
        <v>Sales</v>
      </c>
      <c r="AK1237">
        <f t="shared" si="39"/>
        <v>0</v>
      </c>
      <c r="AL1237">
        <f>IF(Table1[[#This Row],[Attrition]]="Yes", Table1[[#This Row],[MonthlyIncome]]*12*1.5, 0)</f>
        <v>0</v>
      </c>
      <c r="AM1237" t="str" cm="1">
        <f t="array" ref="AM1237">_xlfn.IFS(
Table1[[#This Row],[MonthlyIncome]]&lt;3000,"Under 3K",
Table1[[#This Row],[MonthlyIncome]]&lt;6000,"3K-6K",
Table1[[#This Row],[MonthlyIncome]]&lt;9000,"6K-9K",
Table1[[#This Row],[MonthlyIncome]]&lt;12000,"9K-12K",
TRUE,"12K+")</f>
        <v>9K-12K</v>
      </c>
      <c r="AN1237">
        <f>1</f>
        <v>1</v>
      </c>
      <c r="AO1237" t="str" cm="1">
        <f t="array" ref="AO1237">_xlfn.IFS(
Table1[[#This Row],[YearsAtCompany]]&lt;=2,"0-2 Years",
Table1[[#This Row],[YearsAtCompany]]&lt;=5,"3-5 Years",
Table1[[#This Row],[YearsAtCompany]]&lt;=10,"6-10 Years",
TRUE,"10+ Years")</f>
        <v>6-10 Years</v>
      </c>
    </row>
    <row r="1238" spans="1:41"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tr">
        <f t="shared" si="38"/>
        <v>Sales</v>
      </c>
      <c r="AK1238">
        <f t="shared" si="39"/>
        <v>1</v>
      </c>
      <c r="AL1238">
        <f>IF(Table1[[#This Row],[Attrition]]="Yes", Table1[[#This Row],[MonthlyIncome]]*12*1.5, 0)</f>
        <v>110412</v>
      </c>
      <c r="AM1238" t="str" cm="1">
        <f t="array" ref="AM1238">_xlfn.IFS(
Table1[[#This Row],[MonthlyIncome]]&lt;3000,"Under 3K",
Table1[[#This Row],[MonthlyIncome]]&lt;6000,"3K-6K",
Table1[[#This Row],[MonthlyIncome]]&lt;9000,"6K-9K",
Table1[[#This Row],[MonthlyIncome]]&lt;12000,"9K-12K",
TRUE,"12K+")</f>
        <v>6K-9K</v>
      </c>
      <c r="AN1238">
        <f>1</f>
        <v>1</v>
      </c>
      <c r="AO1238" t="str" cm="1">
        <f t="array" ref="AO1238">_xlfn.IFS(
Table1[[#This Row],[YearsAtCompany]]&lt;=2,"0-2 Years",
Table1[[#This Row],[YearsAtCompany]]&lt;=5,"3-5 Years",
Table1[[#This Row],[YearsAtCompany]]&lt;=10,"6-10 Years",
TRUE,"10+ Years")</f>
        <v>0-2 Years</v>
      </c>
    </row>
    <row r="1239" spans="1:41"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tr">
        <f t="shared" si="38"/>
        <v>Sales</v>
      </c>
      <c r="AK1239">
        <f t="shared" si="39"/>
        <v>1</v>
      </c>
      <c r="AL1239">
        <f>IF(Table1[[#This Row],[Attrition]]="Yes", Table1[[#This Row],[MonthlyIncome]]*12*1.5, 0)</f>
        <v>121230</v>
      </c>
      <c r="AM1239" t="str" cm="1">
        <f t="array" ref="AM1239">_xlfn.IFS(
Table1[[#This Row],[MonthlyIncome]]&lt;3000,"Under 3K",
Table1[[#This Row],[MonthlyIncome]]&lt;6000,"3K-6K",
Table1[[#This Row],[MonthlyIncome]]&lt;9000,"6K-9K",
Table1[[#This Row],[MonthlyIncome]]&lt;12000,"9K-12K",
TRUE,"12K+")</f>
        <v>6K-9K</v>
      </c>
      <c r="AN1239">
        <f>1</f>
        <v>1</v>
      </c>
      <c r="AO1239" t="str" cm="1">
        <f t="array" ref="AO1239">_xlfn.IFS(
Table1[[#This Row],[YearsAtCompany]]&lt;=2,"0-2 Years",
Table1[[#This Row],[YearsAtCompany]]&lt;=5,"3-5 Years",
Table1[[#This Row],[YearsAtCompany]]&lt;=10,"6-10 Years",
TRUE,"10+ Years")</f>
        <v>0-2 Years</v>
      </c>
    </row>
    <row r="1240" spans="1:41"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tr">
        <f t="shared" si="38"/>
        <v>Research</v>
      </c>
      <c r="AK1240">
        <f t="shared" si="39"/>
        <v>0</v>
      </c>
      <c r="AL1240">
        <f>IF(Table1[[#This Row],[Attrition]]="Yes", Table1[[#This Row],[MonthlyIncome]]*12*1.5, 0)</f>
        <v>0</v>
      </c>
      <c r="AM1240" t="str" cm="1">
        <f t="array" ref="AM1240">_xlfn.IFS(
Table1[[#This Row],[MonthlyIncome]]&lt;3000,"Under 3K",
Table1[[#This Row],[MonthlyIncome]]&lt;6000,"3K-6K",
Table1[[#This Row],[MonthlyIncome]]&lt;9000,"6K-9K",
Table1[[#This Row],[MonthlyIncome]]&lt;12000,"9K-12K",
TRUE,"12K+")</f>
        <v>3K-6K</v>
      </c>
      <c r="AN1240">
        <f>1</f>
        <v>1</v>
      </c>
      <c r="AO1240" t="str" cm="1">
        <f t="array" ref="AO1240">_xlfn.IFS(
Table1[[#This Row],[YearsAtCompany]]&lt;=2,"0-2 Years",
Table1[[#This Row],[YearsAtCompany]]&lt;=5,"3-5 Years",
Table1[[#This Row],[YearsAtCompany]]&lt;=10,"6-10 Years",
TRUE,"10+ Years")</f>
        <v>3-5 Years</v>
      </c>
    </row>
    <row r="1241" spans="1:41"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tr">
        <f t="shared" si="38"/>
        <v>Operations</v>
      </c>
      <c r="AK1241">
        <f t="shared" si="39"/>
        <v>0</v>
      </c>
      <c r="AL1241">
        <f>IF(Table1[[#This Row],[Attrition]]="Yes", Table1[[#This Row],[MonthlyIncome]]*12*1.5, 0)</f>
        <v>0</v>
      </c>
      <c r="AM1241" t="str" cm="1">
        <f t="array" ref="AM1241">_xlfn.IFS(
Table1[[#This Row],[MonthlyIncome]]&lt;3000,"Under 3K",
Table1[[#This Row],[MonthlyIncome]]&lt;6000,"3K-6K",
Table1[[#This Row],[MonthlyIncome]]&lt;9000,"6K-9K",
Table1[[#This Row],[MonthlyIncome]]&lt;12000,"9K-12K",
TRUE,"12K+")</f>
        <v>3K-6K</v>
      </c>
      <c r="AN1241">
        <f>1</f>
        <v>1</v>
      </c>
      <c r="AO1241" t="str" cm="1">
        <f t="array" ref="AO1241">_xlfn.IFS(
Table1[[#This Row],[YearsAtCompany]]&lt;=2,"0-2 Years",
Table1[[#This Row],[YearsAtCompany]]&lt;=5,"3-5 Years",
Table1[[#This Row],[YearsAtCompany]]&lt;=10,"6-10 Years",
TRUE,"10+ Years")</f>
        <v>3-5 Years</v>
      </c>
    </row>
    <row r="1242" spans="1:41"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tr">
        <f t="shared" si="38"/>
        <v>Research</v>
      </c>
      <c r="AK1242">
        <f t="shared" si="39"/>
        <v>0</v>
      </c>
      <c r="AL1242">
        <f>IF(Table1[[#This Row],[Attrition]]="Yes", Table1[[#This Row],[MonthlyIncome]]*12*1.5, 0)</f>
        <v>0</v>
      </c>
      <c r="AM1242" t="str" cm="1">
        <f t="array" ref="AM1242">_xlfn.IFS(
Table1[[#This Row],[MonthlyIncome]]&lt;3000,"Under 3K",
Table1[[#This Row],[MonthlyIncome]]&lt;6000,"3K-6K",
Table1[[#This Row],[MonthlyIncome]]&lt;9000,"6K-9K",
Table1[[#This Row],[MonthlyIncome]]&lt;12000,"9K-12K",
TRUE,"12K+")</f>
        <v>6K-9K</v>
      </c>
      <c r="AN1242">
        <f>1</f>
        <v>1</v>
      </c>
      <c r="AO1242" t="str" cm="1">
        <f t="array" ref="AO1242">_xlfn.IFS(
Table1[[#This Row],[YearsAtCompany]]&lt;=2,"0-2 Years",
Table1[[#This Row],[YearsAtCompany]]&lt;=5,"3-5 Years",
Table1[[#This Row],[YearsAtCompany]]&lt;=10,"6-10 Years",
TRUE,"10+ Years")</f>
        <v>6-10 Years</v>
      </c>
    </row>
    <row r="1243" spans="1:41"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tr">
        <f t="shared" si="38"/>
        <v>Sales</v>
      </c>
      <c r="AK1243">
        <f t="shared" si="39"/>
        <v>0</v>
      </c>
      <c r="AL1243">
        <f>IF(Table1[[#This Row],[Attrition]]="Yes", Table1[[#This Row],[MonthlyIncome]]*12*1.5, 0)</f>
        <v>0</v>
      </c>
      <c r="AM1243" t="str" cm="1">
        <f t="array" ref="AM1243">_xlfn.IFS(
Table1[[#This Row],[MonthlyIncome]]&lt;3000,"Under 3K",
Table1[[#This Row],[MonthlyIncome]]&lt;6000,"3K-6K",
Table1[[#This Row],[MonthlyIncome]]&lt;9000,"6K-9K",
Table1[[#This Row],[MonthlyIncome]]&lt;12000,"9K-12K",
TRUE,"12K+")</f>
        <v>9K-12K</v>
      </c>
      <c r="AN1243">
        <f>1</f>
        <v>1</v>
      </c>
      <c r="AO1243" t="str" cm="1">
        <f t="array" ref="AO1243">_xlfn.IFS(
Table1[[#This Row],[YearsAtCompany]]&lt;=2,"0-2 Years",
Table1[[#This Row],[YearsAtCompany]]&lt;=5,"3-5 Years",
Table1[[#This Row],[YearsAtCompany]]&lt;=10,"6-10 Years",
TRUE,"10+ Years")</f>
        <v>3-5 Years</v>
      </c>
    </row>
    <row r="1244" spans="1:41"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tr">
        <f t="shared" si="38"/>
        <v>Management</v>
      </c>
      <c r="AK1244">
        <f t="shared" si="39"/>
        <v>0</v>
      </c>
      <c r="AL1244">
        <f>IF(Table1[[#This Row],[Attrition]]="Yes", Table1[[#This Row],[MonthlyIncome]]*12*1.5, 0)</f>
        <v>0</v>
      </c>
      <c r="AM1244" t="str" cm="1">
        <f t="array" ref="AM1244">_xlfn.IFS(
Table1[[#This Row],[MonthlyIncome]]&lt;3000,"Under 3K",
Table1[[#This Row],[MonthlyIncome]]&lt;6000,"3K-6K",
Table1[[#This Row],[MonthlyIncome]]&lt;9000,"6K-9K",
Table1[[#This Row],[MonthlyIncome]]&lt;12000,"9K-12K",
TRUE,"12K+")</f>
        <v>12K+</v>
      </c>
      <c r="AN1244">
        <f>1</f>
        <v>1</v>
      </c>
      <c r="AO1244" t="str" cm="1">
        <f t="array" ref="AO1244">_xlfn.IFS(
Table1[[#This Row],[YearsAtCompany]]&lt;=2,"0-2 Years",
Table1[[#This Row],[YearsAtCompany]]&lt;=5,"3-5 Years",
Table1[[#This Row],[YearsAtCompany]]&lt;=10,"6-10 Years",
TRUE,"10+ Years")</f>
        <v>10+ Years</v>
      </c>
    </row>
    <row r="1245" spans="1:41"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tr">
        <f t="shared" si="38"/>
        <v>Human Resources</v>
      </c>
      <c r="AK1245">
        <f t="shared" si="39"/>
        <v>0</v>
      </c>
      <c r="AL1245">
        <f>IF(Table1[[#This Row],[Attrition]]="Yes", Table1[[#This Row],[MonthlyIncome]]*12*1.5, 0)</f>
        <v>0</v>
      </c>
      <c r="AM1245" t="str" cm="1">
        <f t="array" ref="AM1245">_xlfn.IFS(
Table1[[#This Row],[MonthlyIncome]]&lt;3000,"Under 3K",
Table1[[#This Row],[MonthlyIncome]]&lt;6000,"3K-6K",
Table1[[#This Row],[MonthlyIncome]]&lt;9000,"6K-9K",
Table1[[#This Row],[MonthlyIncome]]&lt;12000,"9K-12K",
TRUE,"12K+")</f>
        <v>9K-12K</v>
      </c>
      <c r="AN1245">
        <f>1</f>
        <v>1</v>
      </c>
      <c r="AO1245" t="str" cm="1">
        <f t="array" ref="AO1245">_xlfn.IFS(
Table1[[#This Row],[YearsAtCompany]]&lt;=2,"0-2 Years",
Table1[[#This Row],[YearsAtCompany]]&lt;=5,"3-5 Years",
Table1[[#This Row],[YearsAtCompany]]&lt;=10,"6-10 Years",
TRUE,"10+ Years")</f>
        <v>3-5 Years</v>
      </c>
    </row>
    <row r="1246" spans="1:41"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tr">
        <f t="shared" si="38"/>
        <v>Research</v>
      </c>
      <c r="AK1246">
        <f t="shared" si="39"/>
        <v>0</v>
      </c>
      <c r="AL1246">
        <f>IF(Table1[[#This Row],[Attrition]]="Yes", Table1[[#This Row],[MonthlyIncome]]*12*1.5, 0)</f>
        <v>0</v>
      </c>
      <c r="AM1246" t="str" cm="1">
        <f t="array" ref="AM1246">_xlfn.IFS(
Table1[[#This Row],[MonthlyIncome]]&lt;3000,"Under 3K",
Table1[[#This Row],[MonthlyIncome]]&lt;6000,"3K-6K",
Table1[[#This Row],[MonthlyIncome]]&lt;9000,"6K-9K",
Table1[[#This Row],[MonthlyIncome]]&lt;12000,"9K-12K",
TRUE,"12K+")</f>
        <v>3K-6K</v>
      </c>
      <c r="AN1246">
        <f>1</f>
        <v>1</v>
      </c>
      <c r="AO1246" t="str" cm="1">
        <f t="array" ref="AO1246">_xlfn.IFS(
Table1[[#This Row],[YearsAtCompany]]&lt;=2,"0-2 Years",
Table1[[#This Row],[YearsAtCompany]]&lt;=5,"3-5 Years",
Table1[[#This Row],[YearsAtCompany]]&lt;=10,"6-10 Years",
TRUE,"10+ Years")</f>
        <v>6-10 Years</v>
      </c>
    </row>
    <row r="1247" spans="1:41"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tr">
        <f t="shared" si="38"/>
        <v>Human Resources</v>
      </c>
      <c r="AK1247">
        <f t="shared" si="39"/>
        <v>0</v>
      </c>
      <c r="AL1247">
        <f>IF(Table1[[#This Row],[Attrition]]="Yes", Table1[[#This Row],[MonthlyIncome]]*12*1.5, 0)</f>
        <v>0</v>
      </c>
      <c r="AM1247" t="str" cm="1">
        <f t="array" ref="AM1247">_xlfn.IFS(
Table1[[#This Row],[MonthlyIncome]]&lt;3000,"Under 3K",
Table1[[#This Row],[MonthlyIncome]]&lt;6000,"3K-6K",
Table1[[#This Row],[MonthlyIncome]]&lt;9000,"6K-9K",
Table1[[#This Row],[MonthlyIncome]]&lt;12000,"9K-12K",
TRUE,"12K+")</f>
        <v>Under 3K</v>
      </c>
      <c r="AN1247">
        <f>1</f>
        <v>1</v>
      </c>
      <c r="AO1247" t="str" cm="1">
        <f t="array" ref="AO1247">_xlfn.IFS(
Table1[[#This Row],[YearsAtCompany]]&lt;=2,"0-2 Years",
Table1[[#This Row],[YearsAtCompany]]&lt;=5,"3-5 Years",
Table1[[#This Row],[YearsAtCompany]]&lt;=10,"6-10 Years",
TRUE,"10+ Years")</f>
        <v>0-2 Years</v>
      </c>
    </row>
    <row r="1248" spans="1:41"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tr">
        <f t="shared" si="38"/>
        <v>Human Resources</v>
      </c>
      <c r="AK1248">
        <f t="shared" si="39"/>
        <v>1</v>
      </c>
      <c r="AL1248">
        <f>IF(Table1[[#This Row],[Attrition]]="Yes", Table1[[#This Row],[MonthlyIncome]]*12*1.5, 0)</f>
        <v>39240</v>
      </c>
      <c r="AM1248" t="str" cm="1">
        <f t="array" ref="AM1248">_xlfn.IFS(
Table1[[#This Row],[MonthlyIncome]]&lt;3000,"Under 3K",
Table1[[#This Row],[MonthlyIncome]]&lt;6000,"3K-6K",
Table1[[#This Row],[MonthlyIncome]]&lt;9000,"6K-9K",
Table1[[#This Row],[MonthlyIncome]]&lt;12000,"9K-12K",
TRUE,"12K+")</f>
        <v>Under 3K</v>
      </c>
      <c r="AN1248">
        <f>1</f>
        <v>1</v>
      </c>
      <c r="AO1248" t="str" cm="1">
        <f t="array" ref="AO1248">_xlfn.IFS(
Table1[[#This Row],[YearsAtCompany]]&lt;=2,"0-2 Years",
Table1[[#This Row],[YearsAtCompany]]&lt;=5,"3-5 Years",
Table1[[#This Row],[YearsAtCompany]]&lt;=10,"6-10 Years",
TRUE,"10+ Years")</f>
        <v>3-5 Years</v>
      </c>
    </row>
    <row r="1249" spans="1:41"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tr">
        <f t="shared" si="38"/>
        <v>Sales</v>
      </c>
      <c r="AK1249">
        <f t="shared" si="39"/>
        <v>0</v>
      </c>
      <c r="AL1249">
        <f>IF(Table1[[#This Row],[Attrition]]="Yes", Table1[[#This Row],[MonthlyIncome]]*12*1.5, 0)</f>
        <v>0</v>
      </c>
      <c r="AM1249" t="str" cm="1">
        <f t="array" ref="AM1249">_xlfn.IFS(
Table1[[#This Row],[MonthlyIncome]]&lt;3000,"Under 3K",
Table1[[#This Row],[MonthlyIncome]]&lt;6000,"3K-6K",
Table1[[#This Row],[MonthlyIncome]]&lt;9000,"6K-9K",
Table1[[#This Row],[MonthlyIncome]]&lt;12000,"9K-12K",
TRUE,"12K+")</f>
        <v>6K-9K</v>
      </c>
      <c r="AN1249">
        <f>1</f>
        <v>1</v>
      </c>
      <c r="AO1249" t="str" cm="1">
        <f t="array" ref="AO1249">_xlfn.IFS(
Table1[[#This Row],[YearsAtCompany]]&lt;=2,"0-2 Years",
Table1[[#This Row],[YearsAtCompany]]&lt;=5,"3-5 Years",
Table1[[#This Row],[YearsAtCompany]]&lt;=10,"6-10 Years",
TRUE,"10+ Years")</f>
        <v>3-5 Years</v>
      </c>
    </row>
    <row r="1250" spans="1:41"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tr">
        <f t="shared" si="38"/>
        <v>Research</v>
      </c>
      <c r="AK1250">
        <f t="shared" si="39"/>
        <v>0</v>
      </c>
      <c r="AL1250">
        <f>IF(Table1[[#This Row],[Attrition]]="Yes", Table1[[#This Row],[MonthlyIncome]]*12*1.5, 0)</f>
        <v>0</v>
      </c>
      <c r="AM1250" t="str" cm="1">
        <f t="array" ref="AM1250">_xlfn.IFS(
Table1[[#This Row],[MonthlyIncome]]&lt;3000,"Under 3K",
Table1[[#This Row],[MonthlyIncome]]&lt;6000,"3K-6K",
Table1[[#This Row],[MonthlyIncome]]&lt;9000,"6K-9K",
Table1[[#This Row],[MonthlyIncome]]&lt;12000,"9K-12K",
TRUE,"12K+")</f>
        <v>3K-6K</v>
      </c>
      <c r="AN1250">
        <f>1</f>
        <v>1</v>
      </c>
      <c r="AO1250" t="str" cm="1">
        <f t="array" ref="AO1250">_xlfn.IFS(
Table1[[#This Row],[YearsAtCompany]]&lt;=2,"0-2 Years",
Table1[[#This Row],[YearsAtCompany]]&lt;=5,"3-5 Years",
Table1[[#This Row],[YearsAtCompany]]&lt;=10,"6-10 Years",
TRUE,"10+ Years")</f>
        <v>6-10 Years</v>
      </c>
    </row>
    <row r="1251" spans="1:41"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tr">
        <f t="shared" si="38"/>
        <v>Sales</v>
      </c>
      <c r="AK1251">
        <f t="shared" si="39"/>
        <v>1</v>
      </c>
      <c r="AL1251">
        <f>IF(Table1[[#This Row],[Attrition]]="Yes", Table1[[#This Row],[MonthlyIncome]]*12*1.5, 0)</f>
        <v>49680</v>
      </c>
      <c r="AM1251" t="str" cm="1">
        <f t="array" ref="AM1251">_xlfn.IFS(
Table1[[#This Row],[MonthlyIncome]]&lt;3000,"Under 3K",
Table1[[#This Row],[MonthlyIncome]]&lt;6000,"3K-6K",
Table1[[#This Row],[MonthlyIncome]]&lt;9000,"6K-9K",
Table1[[#This Row],[MonthlyIncome]]&lt;12000,"9K-12K",
TRUE,"12K+")</f>
        <v>Under 3K</v>
      </c>
      <c r="AN1251">
        <f>1</f>
        <v>1</v>
      </c>
      <c r="AO1251" t="str" cm="1">
        <f t="array" ref="AO1251">_xlfn.IFS(
Table1[[#This Row],[YearsAtCompany]]&lt;=2,"0-2 Years",
Table1[[#This Row],[YearsAtCompany]]&lt;=5,"3-5 Years",
Table1[[#This Row],[YearsAtCompany]]&lt;=10,"6-10 Years",
TRUE,"10+ Years")</f>
        <v>0-2 Years</v>
      </c>
    </row>
    <row r="1252" spans="1:41"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tr">
        <f t="shared" si="38"/>
        <v>Healthcare</v>
      </c>
      <c r="AK1252">
        <f t="shared" si="39"/>
        <v>0</v>
      </c>
      <c r="AL1252">
        <f>IF(Table1[[#This Row],[Attrition]]="Yes", Table1[[#This Row],[MonthlyIncome]]*12*1.5, 0)</f>
        <v>0</v>
      </c>
      <c r="AM1252" t="str" cm="1">
        <f t="array" ref="AM1252">_xlfn.IFS(
Table1[[#This Row],[MonthlyIncome]]&lt;3000,"Under 3K",
Table1[[#This Row],[MonthlyIncome]]&lt;6000,"3K-6K",
Table1[[#This Row],[MonthlyIncome]]&lt;9000,"6K-9K",
Table1[[#This Row],[MonthlyIncome]]&lt;12000,"9K-12K",
TRUE,"12K+")</f>
        <v>6K-9K</v>
      </c>
      <c r="AN1252">
        <f>1</f>
        <v>1</v>
      </c>
      <c r="AO1252" t="str" cm="1">
        <f t="array" ref="AO1252">_xlfn.IFS(
Table1[[#This Row],[YearsAtCompany]]&lt;=2,"0-2 Years",
Table1[[#This Row],[YearsAtCompany]]&lt;=5,"3-5 Years",
Table1[[#This Row],[YearsAtCompany]]&lt;=10,"6-10 Years",
TRUE,"10+ Years")</f>
        <v>3-5 Years</v>
      </c>
    </row>
    <row r="1253" spans="1:41"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tr">
        <f t="shared" si="38"/>
        <v>Sales</v>
      </c>
      <c r="AK1253">
        <f t="shared" si="39"/>
        <v>0</v>
      </c>
      <c r="AL1253">
        <f>IF(Table1[[#This Row],[Attrition]]="Yes", Table1[[#This Row],[MonthlyIncome]]*12*1.5, 0)</f>
        <v>0</v>
      </c>
      <c r="AM1253" t="str" cm="1">
        <f t="array" ref="AM1253">_xlfn.IFS(
Table1[[#This Row],[MonthlyIncome]]&lt;3000,"Under 3K",
Table1[[#This Row],[MonthlyIncome]]&lt;6000,"3K-6K",
Table1[[#This Row],[MonthlyIncome]]&lt;9000,"6K-9K",
Table1[[#This Row],[MonthlyIncome]]&lt;12000,"9K-12K",
TRUE,"12K+")</f>
        <v>6K-9K</v>
      </c>
      <c r="AN1253">
        <f>1</f>
        <v>1</v>
      </c>
      <c r="AO1253" t="str" cm="1">
        <f t="array" ref="AO1253">_xlfn.IFS(
Table1[[#This Row],[YearsAtCompany]]&lt;=2,"0-2 Years",
Table1[[#This Row],[YearsAtCompany]]&lt;=5,"3-5 Years",
Table1[[#This Row],[YearsAtCompany]]&lt;=10,"6-10 Years",
TRUE,"10+ Years")</f>
        <v>6-10 Years</v>
      </c>
    </row>
    <row r="1254" spans="1:41"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tr">
        <f t="shared" si="38"/>
        <v>Research</v>
      </c>
      <c r="AK1254">
        <f t="shared" si="39"/>
        <v>0</v>
      </c>
      <c r="AL1254">
        <f>IF(Table1[[#This Row],[Attrition]]="Yes", Table1[[#This Row],[MonthlyIncome]]*12*1.5, 0)</f>
        <v>0</v>
      </c>
      <c r="AM1254" t="str" cm="1">
        <f t="array" ref="AM1254">_xlfn.IFS(
Table1[[#This Row],[MonthlyIncome]]&lt;3000,"Under 3K",
Table1[[#This Row],[MonthlyIncome]]&lt;6000,"3K-6K",
Table1[[#This Row],[MonthlyIncome]]&lt;9000,"6K-9K",
Table1[[#This Row],[MonthlyIncome]]&lt;12000,"9K-12K",
TRUE,"12K+")</f>
        <v>Under 3K</v>
      </c>
      <c r="AN1254">
        <f>1</f>
        <v>1</v>
      </c>
      <c r="AO1254" t="str" cm="1">
        <f t="array" ref="AO1254">_xlfn.IFS(
Table1[[#This Row],[YearsAtCompany]]&lt;=2,"0-2 Years",
Table1[[#This Row],[YearsAtCompany]]&lt;=5,"3-5 Years",
Table1[[#This Row],[YearsAtCompany]]&lt;=10,"6-10 Years",
TRUE,"10+ Years")</f>
        <v>3-5 Years</v>
      </c>
    </row>
    <row r="1255" spans="1:41"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tr">
        <f t="shared" si="38"/>
        <v>Sales</v>
      </c>
      <c r="AK1255">
        <f t="shared" si="39"/>
        <v>0</v>
      </c>
      <c r="AL1255">
        <f>IF(Table1[[#This Row],[Attrition]]="Yes", Table1[[#This Row],[MonthlyIncome]]*12*1.5, 0)</f>
        <v>0</v>
      </c>
      <c r="AM1255" t="str" cm="1">
        <f t="array" ref="AM1255">_xlfn.IFS(
Table1[[#This Row],[MonthlyIncome]]&lt;3000,"Under 3K",
Table1[[#This Row],[MonthlyIncome]]&lt;6000,"3K-6K",
Table1[[#This Row],[MonthlyIncome]]&lt;9000,"6K-9K",
Table1[[#This Row],[MonthlyIncome]]&lt;12000,"9K-12K",
TRUE,"12K+")</f>
        <v>3K-6K</v>
      </c>
      <c r="AN1255">
        <f>1</f>
        <v>1</v>
      </c>
      <c r="AO1255" t="str" cm="1">
        <f t="array" ref="AO1255">_xlfn.IFS(
Table1[[#This Row],[YearsAtCompany]]&lt;=2,"0-2 Years",
Table1[[#This Row],[YearsAtCompany]]&lt;=5,"3-5 Years",
Table1[[#This Row],[YearsAtCompany]]&lt;=10,"6-10 Years",
TRUE,"10+ Years")</f>
        <v>10+ Years</v>
      </c>
    </row>
    <row r="1256" spans="1:41"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tr">
        <f t="shared" si="38"/>
        <v>Sales</v>
      </c>
      <c r="AK1256">
        <f t="shared" si="39"/>
        <v>0</v>
      </c>
      <c r="AL1256">
        <f>IF(Table1[[#This Row],[Attrition]]="Yes", Table1[[#This Row],[MonthlyIncome]]*12*1.5, 0)</f>
        <v>0</v>
      </c>
      <c r="AM1256" t="str" cm="1">
        <f t="array" ref="AM1256">_xlfn.IFS(
Table1[[#This Row],[MonthlyIncome]]&lt;3000,"Under 3K",
Table1[[#This Row],[MonthlyIncome]]&lt;6000,"3K-6K",
Table1[[#This Row],[MonthlyIncome]]&lt;9000,"6K-9K",
Table1[[#This Row],[MonthlyIncome]]&lt;12000,"9K-12K",
TRUE,"12K+")</f>
        <v>3K-6K</v>
      </c>
      <c r="AN1256">
        <f>1</f>
        <v>1</v>
      </c>
      <c r="AO1256" t="str" cm="1">
        <f t="array" ref="AO1256">_xlfn.IFS(
Table1[[#This Row],[YearsAtCompany]]&lt;=2,"0-2 Years",
Table1[[#This Row],[YearsAtCompany]]&lt;=5,"3-5 Years",
Table1[[#This Row],[YearsAtCompany]]&lt;=10,"6-10 Years",
TRUE,"10+ Years")</f>
        <v>3-5 Years</v>
      </c>
    </row>
    <row r="1257" spans="1:41"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tr">
        <f t="shared" si="38"/>
        <v>Sales</v>
      </c>
      <c r="AK1257">
        <f t="shared" si="39"/>
        <v>1</v>
      </c>
      <c r="AL1257">
        <f>IF(Table1[[#This Row],[Attrition]]="Yes", Table1[[#This Row],[MonthlyIncome]]*12*1.5, 0)</f>
        <v>154152</v>
      </c>
      <c r="AM1257" t="str" cm="1">
        <f t="array" ref="AM1257">_xlfn.IFS(
Table1[[#This Row],[MonthlyIncome]]&lt;3000,"Under 3K",
Table1[[#This Row],[MonthlyIncome]]&lt;6000,"3K-6K",
Table1[[#This Row],[MonthlyIncome]]&lt;9000,"6K-9K",
Table1[[#This Row],[MonthlyIncome]]&lt;12000,"9K-12K",
TRUE,"12K+")</f>
        <v>6K-9K</v>
      </c>
      <c r="AN1257">
        <f>1</f>
        <v>1</v>
      </c>
      <c r="AO1257" t="str" cm="1">
        <f t="array" ref="AO1257">_xlfn.IFS(
Table1[[#This Row],[YearsAtCompany]]&lt;=2,"0-2 Years",
Table1[[#This Row],[YearsAtCompany]]&lt;=5,"3-5 Years",
Table1[[#This Row],[YearsAtCompany]]&lt;=10,"6-10 Years",
TRUE,"10+ Years")</f>
        <v>0-2 Years</v>
      </c>
    </row>
    <row r="1258" spans="1:41"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tr">
        <f t="shared" si="38"/>
        <v>Research</v>
      </c>
      <c r="AK1258">
        <f t="shared" si="39"/>
        <v>0</v>
      </c>
      <c r="AL1258">
        <f>IF(Table1[[#This Row],[Attrition]]="Yes", Table1[[#This Row],[MonthlyIncome]]*12*1.5, 0)</f>
        <v>0</v>
      </c>
      <c r="AM1258" t="str" cm="1">
        <f t="array" ref="AM1258">_xlfn.IFS(
Table1[[#This Row],[MonthlyIncome]]&lt;3000,"Under 3K",
Table1[[#This Row],[MonthlyIncome]]&lt;6000,"3K-6K",
Table1[[#This Row],[MonthlyIncome]]&lt;9000,"6K-9K",
Table1[[#This Row],[MonthlyIncome]]&lt;12000,"9K-12K",
TRUE,"12K+")</f>
        <v>Under 3K</v>
      </c>
      <c r="AN1258">
        <f>1</f>
        <v>1</v>
      </c>
      <c r="AO1258" t="str" cm="1">
        <f t="array" ref="AO1258">_xlfn.IFS(
Table1[[#This Row],[YearsAtCompany]]&lt;=2,"0-2 Years",
Table1[[#This Row],[YearsAtCompany]]&lt;=5,"3-5 Years",
Table1[[#This Row],[YearsAtCompany]]&lt;=10,"6-10 Years",
TRUE,"10+ Years")</f>
        <v>6-10 Years</v>
      </c>
    </row>
    <row r="1259" spans="1:41"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tr">
        <f t="shared" si="38"/>
        <v>Sales</v>
      </c>
      <c r="AK1259">
        <f t="shared" si="39"/>
        <v>1</v>
      </c>
      <c r="AL1259">
        <f>IF(Table1[[#This Row],[Attrition]]="Yes", Table1[[#This Row],[MonthlyIncome]]*12*1.5, 0)</f>
        <v>146898</v>
      </c>
      <c r="AM1259" t="str" cm="1">
        <f t="array" ref="AM1259">_xlfn.IFS(
Table1[[#This Row],[MonthlyIncome]]&lt;3000,"Under 3K",
Table1[[#This Row],[MonthlyIncome]]&lt;6000,"3K-6K",
Table1[[#This Row],[MonthlyIncome]]&lt;9000,"6K-9K",
Table1[[#This Row],[MonthlyIncome]]&lt;12000,"9K-12K",
TRUE,"12K+")</f>
        <v>6K-9K</v>
      </c>
      <c r="AN1259">
        <f>1</f>
        <v>1</v>
      </c>
      <c r="AO1259" t="str" cm="1">
        <f t="array" ref="AO1259">_xlfn.IFS(
Table1[[#This Row],[YearsAtCompany]]&lt;=2,"0-2 Years",
Table1[[#This Row],[YearsAtCompany]]&lt;=5,"3-5 Years",
Table1[[#This Row],[YearsAtCompany]]&lt;=10,"6-10 Years",
TRUE,"10+ Years")</f>
        <v>0-2 Years</v>
      </c>
    </row>
    <row r="1260" spans="1:41"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tr">
        <f t="shared" si="38"/>
        <v>Research</v>
      </c>
      <c r="AK1260">
        <f t="shared" si="39"/>
        <v>0</v>
      </c>
      <c r="AL1260">
        <f>IF(Table1[[#This Row],[Attrition]]="Yes", Table1[[#This Row],[MonthlyIncome]]*12*1.5, 0)</f>
        <v>0</v>
      </c>
      <c r="AM1260" t="str" cm="1">
        <f t="array" ref="AM1260">_xlfn.IFS(
Table1[[#This Row],[MonthlyIncome]]&lt;3000,"Under 3K",
Table1[[#This Row],[MonthlyIncome]]&lt;6000,"3K-6K",
Table1[[#This Row],[MonthlyIncome]]&lt;9000,"6K-9K",
Table1[[#This Row],[MonthlyIncome]]&lt;12000,"9K-12K",
TRUE,"12K+")</f>
        <v>Under 3K</v>
      </c>
      <c r="AN1260">
        <f>1</f>
        <v>1</v>
      </c>
      <c r="AO1260" t="str" cm="1">
        <f t="array" ref="AO1260">_xlfn.IFS(
Table1[[#This Row],[YearsAtCompany]]&lt;=2,"0-2 Years",
Table1[[#This Row],[YearsAtCompany]]&lt;=5,"3-5 Years",
Table1[[#This Row],[YearsAtCompany]]&lt;=10,"6-10 Years",
TRUE,"10+ Years")</f>
        <v>0-2 Years</v>
      </c>
    </row>
    <row r="1261" spans="1:41"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tr">
        <f t="shared" si="38"/>
        <v>Healthcare</v>
      </c>
      <c r="AK1261">
        <f t="shared" si="39"/>
        <v>0</v>
      </c>
      <c r="AL1261">
        <f>IF(Table1[[#This Row],[Attrition]]="Yes", Table1[[#This Row],[MonthlyIncome]]*12*1.5, 0)</f>
        <v>0</v>
      </c>
      <c r="AM1261" t="str" cm="1">
        <f t="array" ref="AM1261">_xlfn.IFS(
Table1[[#This Row],[MonthlyIncome]]&lt;3000,"Under 3K",
Table1[[#This Row],[MonthlyIncome]]&lt;6000,"3K-6K",
Table1[[#This Row],[MonthlyIncome]]&lt;9000,"6K-9K",
Table1[[#This Row],[MonthlyIncome]]&lt;12000,"9K-12K",
TRUE,"12K+")</f>
        <v>3K-6K</v>
      </c>
      <c r="AN1261">
        <f>1</f>
        <v>1</v>
      </c>
      <c r="AO1261" t="str" cm="1">
        <f t="array" ref="AO1261">_xlfn.IFS(
Table1[[#This Row],[YearsAtCompany]]&lt;=2,"0-2 Years",
Table1[[#This Row],[YearsAtCompany]]&lt;=5,"3-5 Years",
Table1[[#This Row],[YearsAtCompany]]&lt;=10,"6-10 Years",
TRUE,"10+ Years")</f>
        <v>6-10 Years</v>
      </c>
    </row>
    <row r="1262" spans="1:41"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tr">
        <f t="shared" si="38"/>
        <v>Research</v>
      </c>
      <c r="AK1262">
        <f t="shared" si="39"/>
        <v>0</v>
      </c>
      <c r="AL1262">
        <f>IF(Table1[[#This Row],[Attrition]]="Yes", Table1[[#This Row],[MonthlyIncome]]*12*1.5, 0)</f>
        <v>0</v>
      </c>
      <c r="AM1262" t="str" cm="1">
        <f t="array" ref="AM1262">_xlfn.IFS(
Table1[[#This Row],[MonthlyIncome]]&lt;3000,"Under 3K",
Table1[[#This Row],[MonthlyIncome]]&lt;6000,"3K-6K",
Table1[[#This Row],[MonthlyIncome]]&lt;9000,"6K-9K",
Table1[[#This Row],[MonthlyIncome]]&lt;12000,"9K-12K",
TRUE,"12K+")</f>
        <v>Under 3K</v>
      </c>
      <c r="AN1262">
        <f>1</f>
        <v>1</v>
      </c>
      <c r="AO1262" t="str" cm="1">
        <f t="array" ref="AO1262">_xlfn.IFS(
Table1[[#This Row],[YearsAtCompany]]&lt;=2,"0-2 Years",
Table1[[#This Row],[YearsAtCompany]]&lt;=5,"3-5 Years",
Table1[[#This Row],[YearsAtCompany]]&lt;=10,"6-10 Years",
TRUE,"10+ Years")</f>
        <v>6-10 Years</v>
      </c>
    </row>
    <row r="1263" spans="1:41"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tr">
        <f t="shared" si="38"/>
        <v>Healthcare</v>
      </c>
      <c r="AK1263">
        <f t="shared" si="39"/>
        <v>0</v>
      </c>
      <c r="AL1263">
        <f>IF(Table1[[#This Row],[Attrition]]="Yes", Table1[[#This Row],[MonthlyIncome]]*12*1.5, 0)</f>
        <v>0</v>
      </c>
      <c r="AM1263" t="str" cm="1">
        <f t="array" ref="AM1263">_xlfn.IFS(
Table1[[#This Row],[MonthlyIncome]]&lt;3000,"Under 3K",
Table1[[#This Row],[MonthlyIncome]]&lt;6000,"3K-6K",
Table1[[#This Row],[MonthlyIncome]]&lt;9000,"6K-9K",
Table1[[#This Row],[MonthlyIncome]]&lt;12000,"9K-12K",
TRUE,"12K+")</f>
        <v>3K-6K</v>
      </c>
      <c r="AN1263">
        <f>1</f>
        <v>1</v>
      </c>
      <c r="AO1263" t="str" cm="1">
        <f t="array" ref="AO1263">_xlfn.IFS(
Table1[[#This Row],[YearsAtCompany]]&lt;=2,"0-2 Years",
Table1[[#This Row],[YearsAtCompany]]&lt;=5,"3-5 Years",
Table1[[#This Row],[YearsAtCompany]]&lt;=10,"6-10 Years",
TRUE,"10+ Years")</f>
        <v>0-2 Years</v>
      </c>
    </row>
    <row r="1264" spans="1:41"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tr">
        <f t="shared" si="38"/>
        <v>Research</v>
      </c>
      <c r="AK1264">
        <f t="shared" si="39"/>
        <v>1</v>
      </c>
      <c r="AL1264">
        <f>IF(Table1[[#This Row],[Attrition]]="Yes", Table1[[#This Row],[MonthlyIncome]]*12*1.5, 0)</f>
        <v>43866</v>
      </c>
      <c r="AM1264" t="str" cm="1">
        <f t="array" ref="AM1264">_xlfn.IFS(
Table1[[#This Row],[MonthlyIncome]]&lt;3000,"Under 3K",
Table1[[#This Row],[MonthlyIncome]]&lt;6000,"3K-6K",
Table1[[#This Row],[MonthlyIncome]]&lt;9000,"6K-9K",
Table1[[#This Row],[MonthlyIncome]]&lt;12000,"9K-12K",
TRUE,"12K+")</f>
        <v>Under 3K</v>
      </c>
      <c r="AN1264">
        <f>1</f>
        <v>1</v>
      </c>
      <c r="AO1264" t="str" cm="1">
        <f t="array" ref="AO1264">_xlfn.IFS(
Table1[[#This Row],[YearsAtCompany]]&lt;=2,"0-2 Years",
Table1[[#This Row],[YearsAtCompany]]&lt;=5,"3-5 Years",
Table1[[#This Row],[YearsAtCompany]]&lt;=10,"6-10 Years",
TRUE,"10+ Years")</f>
        <v>0-2 Years</v>
      </c>
    </row>
    <row r="1265" spans="1:41"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tr">
        <f t="shared" si="38"/>
        <v>Research</v>
      </c>
      <c r="AK1265">
        <f t="shared" si="39"/>
        <v>0</v>
      </c>
      <c r="AL1265">
        <f>IF(Table1[[#This Row],[Attrition]]="Yes", Table1[[#This Row],[MonthlyIncome]]*12*1.5, 0)</f>
        <v>0</v>
      </c>
      <c r="AM1265" t="str" cm="1">
        <f t="array" ref="AM1265">_xlfn.IFS(
Table1[[#This Row],[MonthlyIncome]]&lt;3000,"Under 3K",
Table1[[#This Row],[MonthlyIncome]]&lt;6000,"3K-6K",
Table1[[#This Row],[MonthlyIncome]]&lt;9000,"6K-9K",
Table1[[#This Row],[MonthlyIncome]]&lt;12000,"9K-12K",
TRUE,"12K+")</f>
        <v>Under 3K</v>
      </c>
      <c r="AN1265">
        <f>1</f>
        <v>1</v>
      </c>
      <c r="AO1265" t="str" cm="1">
        <f t="array" ref="AO1265">_xlfn.IFS(
Table1[[#This Row],[YearsAtCompany]]&lt;=2,"0-2 Years",
Table1[[#This Row],[YearsAtCompany]]&lt;=5,"3-5 Years",
Table1[[#This Row],[YearsAtCompany]]&lt;=10,"6-10 Years",
TRUE,"10+ Years")</f>
        <v>3-5 Years</v>
      </c>
    </row>
    <row r="1266" spans="1:41"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tr">
        <f t="shared" si="38"/>
        <v>Research</v>
      </c>
      <c r="AK1266">
        <f t="shared" si="39"/>
        <v>0</v>
      </c>
      <c r="AL1266">
        <f>IF(Table1[[#This Row],[Attrition]]="Yes", Table1[[#This Row],[MonthlyIncome]]*12*1.5, 0)</f>
        <v>0</v>
      </c>
      <c r="AM1266" t="str" cm="1">
        <f t="array" ref="AM1266">_xlfn.IFS(
Table1[[#This Row],[MonthlyIncome]]&lt;3000,"Under 3K",
Table1[[#This Row],[MonthlyIncome]]&lt;6000,"3K-6K",
Table1[[#This Row],[MonthlyIncome]]&lt;9000,"6K-9K",
Table1[[#This Row],[MonthlyIncome]]&lt;12000,"9K-12K",
TRUE,"12K+")</f>
        <v>12K+</v>
      </c>
      <c r="AN1266">
        <f>1</f>
        <v>1</v>
      </c>
      <c r="AO1266" t="str" cm="1">
        <f t="array" ref="AO1266">_xlfn.IFS(
Table1[[#This Row],[YearsAtCompany]]&lt;=2,"0-2 Years",
Table1[[#This Row],[YearsAtCompany]]&lt;=5,"3-5 Years",
Table1[[#This Row],[YearsAtCompany]]&lt;=10,"6-10 Years",
TRUE,"10+ Years")</f>
        <v>0-2 Years</v>
      </c>
    </row>
    <row r="1267" spans="1:41"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tr">
        <f t="shared" si="38"/>
        <v>Research</v>
      </c>
      <c r="AK1267">
        <f t="shared" si="39"/>
        <v>0</v>
      </c>
      <c r="AL1267">
        <f>IF(Table1[[#This Row],[Attrition]]="Yes", Table1[[#This Row],[MonthlyIncome]]*12*1.5, 0)</f>
        <v>0</v>
      </c>
      <c r="AM1267" t="str" cm="1">
        <f t="array" ref="AM1267">_xlfn.IFS(
Table1[[#This Row],[MonthlyIncome]]&lt;3000,"Under 3K",
Table1[[#This Row],[MonthlyIncome]]&lt;6000,"3K-6K",
Table1[[#This Row],[MonthlyIncome]]&lt;9000,"6K-9K",
Table1[[#This Row],[MonthlyIncome]]&lt;12000,"9K-12K",
TRUE,"12K+")</f>
        <v>3K-6K</v>
      </c>
      <c r="AN1267">
        <f>1</f>
        <v>1</v>
      </c>
      <c r="AO1267" t="str" cm="1">
        <f t="array" ref="AO1267">_xlfn.IFS(
Table1[[#This Row],[YearsAtCompany]]&lt;=2,"0-2 Years",
Table1[[#This Row],[YearsAtCompany]]&lt;=5,"3-5 Years",
Table1[[#This Row],[YearsAtCompany]]&lt;=10,"6-10 Years",
TRUE,"10+ Years")</f>
        <v>6-10 Years</v>
      </c>
    </row>
    <row r="1268" spans="1:41"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tr">
        <f t="shared" si="38"/>
        <v>Research</v>
      </c>
      <c r="AK1268">
        <f t="shared" si="39"/>
        <v>0</v>
      </c>
      <c r="AL1268">
        <f>IF(Table1[[#This Row],[Attrition]]="Yes", Table1[[#This Row],[MonthlyIncome]]*12*1.5, 0)</f>
        <v>0</v>
      </c>
      <c r="AM1268" t="str" cm="1">
        <f t="array" ref="AM1268">_xlfn.IFS(
Table1[[#This Row],[MonthlyIncome]]&lt;3000,"Under 3K",
Table1[[#This Row],[MonthlyIncome]]&lt;6000,"3K-6K",
Table1[[#This Row],[MonthlyIncome]]&lt;9000,"6K-9K",
Table1[[#This Row],[MonthlyIncome]]&lt;12000,"9K-12K",
TRUE,"12K+")</f>
        <v>Under 3K</v>
      </c>
      <c r="AN1268">
        <f>1</f>
        <v>1</v>
      </c>
      <c r="AO1268" t="str" cm="1">
        <f t="array" ref="AO1268">_xlfn.IFS(
Table1[[#This Row],[YearsAtCompany]]&lt;=2,"0-2 Years",
Table1[[#This Row],[YearsAtCompany]]&lt;=5,"3-5 Years",
Table1[[#This Row],[YearsAtCompany]]&lt;=10,"6-10 Years",
TRUE,"10+ Years")</f>
        <v>3-5 Years</v>
      </c>
    </row>
    <row r="1269" spans="1:41"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tr">
        <f t="shared" si="38"/>
        <v>Sales</v>
      </c>
      <c r="AK1269">
        <f t="shared" si="39"/>
        <v>0</v>
      </c>
      <c r="AL1269">
        <f>IF(Table1[[#This Row],[Attrition]]="Yes", Table1[[#This Row],[MonthlyIncome]]*12*1.5, 0)</f>
        <v>0</v>
      </c>
      <c r="AM1269" t="str" cm="1">
        <f t="array" ref="AM1269">_xlfn.IFS(
Table1[[#This Row],[MonthlyIncome]]&lt;3000,"Under 3K",
Table1[[#This Row],[MonthlyIncome]]&lt;6000,"3K-6K",
Table1[[#This Row],[MonthlyIncome]]&lt;9000,"6K-9K",
Table1[[#This Row],[MonthlyIncome]]&lt;12000,"9K-12K",
TRUE,"12K+")</f>
        <v>3K-6K</v>
      </c>
      <c r="AN1269">
        <f>1</f>
        <v>1</v>
      </c>
      <c r="AO1269" t="str" cm="1">
        <f t="array" ref="AO1269">_xlfn.IFS(
Table1[[#This Row],[YearsAtCompany]]&lt;=2,"0-2 Years",
Table1[[#This Row],[YearsAtCompany]]&lt;=5,"3-5 Years",
Table1[[#This Row],[YearsAtCompany]]&lt;=10,"6-10 Years",
TRUE,"10+ Years")</f>
        <v>10+ Years</v>
      </c>
    </row>
    <row r="1270" spans="1:41"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tr">
        <f t="shared" si="38"/>
        <v>Operations</v>
      </c>
      <c r="AK1270">
        <f t="shared" si="39"/>
        <v>0</v>
      </c>
      <c r="AL1270">
        <f>IF(Table1[[#This Row],[Attrition]]="Yes", Table1[[#This Row],[MonthlyIncome]]*12*1.5, 0)</f>
        <v>0</v>
      </c>
      <c r="AM1270" t="str" cm="1">
        <f t="array" ref="AM1270">_xlfn.IFS(
Table1[[#This Row],[MonthlyIncome]]&lt;3000,"Under 3K",
Table1[[#This Row],[MonthlyIncome]]&lt;6000,"3K-6K",
Table1[[#This Row],[MonthlyIncome]]&lt;9000,"6K-9K",
Table1[[#This Row],[MonthlyIncome]]&lt;12000,"9K-12K",
TRUE,"12K+")</f>
        <v>12K+</v>
      </c>
      <c r="AN1270">
        <f>1</f>
        <v>1</v>
      </c>
      <c r="AO1270" t="str" cm="1">
        <f t="array" ref="AO1270">_xlfn.IFS(
Table1[[#This Row],[YearsAtCompany]]&lt;=2,"0-2 Years",
Table1[[#This Row],[YearsAtCompany]]&lt;=5,"3-5 Years",
Table1[[#This Row],[YearsAtCompany]]&lt;=10,"6-10 Years",
TRUE,"10+ Years")</f>
        <v>3-5 Years</v>
      </c>
    </row>
    <row r="1271" spans="1:41"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tr">
        <f t="shared" si="38"/>
        <v>Human Resources</v>
      </c>
      <c r="AK1271">
        <f t="shared" si="39"/>
        <v>0</v>
      </c>
      <c r="AL1271">
        <f>IF(Table1[[#This Row],[Attrition]]="Yes", Table1[[#This Row],[MonthlyIncome]]*12*1.5, 0)</f>
        <v>0</v>
      </c>
      <c r="AM1271" t="str" cm="1">
        <f t="array" ref="AM1271">_xlfn.IFS(
Table1[[#This Row],[MonthlyIncome]]&lt;3000,"Under 3K",
Table1[[#This Row],[MonthlyIncome]]&lt;6000,"3K-6K",
Table1[[#This Row],[MonthlyIncome]]&lt;9000,"6K-9K",
Table1[[#This Row],[MonthlyIncome]]&lt;12000,"9K-12K",
TRUE,"12K+")</f>
        <v>3K-6K</v>
      </c>
      <c r="AN1271">
        <f>1</f>
        <v>1</v>
      </c>
      <c r="AO1271" t="str" cm="1">
        <f t="array" ref="AO1271">_xlfn.IFS(
Table1[[#This Row],[YearsAtCompany]]&lt;=2,"0-2 Years",
Table1[[#This Row],[YearsAtCompany]]&lt;=5,"3-5 Years",
Table1[[#This Row],[YearsAtCompany]]&lt;=10,"6-10 Years",
TRUE,"10+ Years")</f>
        <v>6-10 Years</v>
      </c>
    </row>
    <row r="1272" spans="1:41"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tr">
        <f t="shared" si="38"/>
        <v>Sales</v>
      </c>
      <c r="AK1272">
        <f t="shared" si="39"/>
        <v>0</v>
      </c>
      <c r="AL1272">
        <f>IF(Table1[[#This Row],[Attrition]]="Yes", Table1[[#This Row],[MonthlyIncome]]*12*1.5, 0)</f>
        <v>0</v>
      </c>
      <c r="AM1272" t="str" cm="1">
        <f t="array" ref="AM1272">_xlfn.IFS(
Table1[[#This Row],[MonthlyIncome]]&lt;3000,"Under 3K",
Table1[[#This Row],[MonthlyIncome]]&lt;6000,"3K-6K",
Table1[[#This Row],[MonthlyIncome]]&lt;9000,"6K-9K",
Table1[[#This Row],[MonthlyIncome]]&lt;12000,"9K-12K",
TRUE,"12K+")</f>
        <v>6K-9K</v>
      </c>
      <c r="AN1272">
        <f>1</f>
        <v>1</v>
      </c>
      <c r="AO1272" t="str" cm="1">
        <f t="array" ref="AO1272">_xlfn.IFS(
Table1[[#This Row],[YearsAtCompany]]&lt;=2,"0-2 Years",
Table1[[#This Row],[YearsAtCompany]]&lt;=5,"3-5 Years",
Table1[[#This Row],[YearsAtCompany]]&lt;=10,"6-10 Years",
TRUE,"10+ Years")</f>
        <v>0-2 Years</v>
      </c>
    </row>
    <row r="1273" spans="1:41"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tr">
        <f t="shared" si="38"/>
        <v>Sales</v>
      </c>
      <c r="AK1273">
        <f t="shared" si="39"/>
        <v>1</v>
      </c>
      <c r="AL1273">
        <f>IF(Table1[[#This Row],[Attrition]]="Yes", Table1[[#This Row],[MonthlyIncome]]*12*1.5, 0)</f>
        <v>48222</v>
      </c>
      <c r="AM1273" t="str" cm="1">
        <f t="array" ref="AM1273">_xlfn.IFS(
Table1[[#This Row],[MonthlyIncome]]&lt;3000,"Under 3K",
Table1[[#This Row],[MonthlyIncome]]&lt;6000,"3K-6K",
Table1[[#This Row],[MonthlyIncome]]&lt;9000,"6K-9K",
Table1[[#This Row],[MonthlyIncome]]&lt;12000,"9K-12K",
TRUE,"12K+")</f>
        <v>Under 3K</v>
      </c>
      <c r="AN1273">
        <f>1</f>
        <v>1</v>
      </c>
      <c r="AO1273" t="str" cm="1">
        <f t="array" ref="AO1273">_xlfn.IFS(
Table1[[#This Row],[YearsAtCompany]]&lt;=2,"0-2 Years",
Table1[[#This Row],[YearsAtCompany]]&lt;=5,"3-5 Years",
Table1[[#This Row],[YearsAtCompany]]&lt;=10,"6-10 Years",
TRUE,"10+ Years")</f>
        <v>0-2 Years</v>
      </c>
    </row>
    <row r="1274" spans="1:41"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tr">
        <f t="shared" si="38"/>
        <v>Research</v>
      </c>
      <c r="AK1274">
        <f t="shared" si="39"/>
        <v>0</v>
      </c>
      <c r="AL1274">
        <f>IF(Table1[[#This Row],[Attrition]]="Yes", Table1[[#This Row],[MonthlyIncome]]*12*1.5, 0)</f>
        <v>0</v>
      </c>
      <c r="AM1274" t="str" cm="1">
        <f t="array" ref="AM1274">_xlfn.IFS(
Table1[[#This Row],[MonthlyIncome]]&lt;3000,"Under 3K",
Table1[[#This Row],[MonthlyIncome]]&lt;6000,"3K-6K",
Table1[[#This Row],[MonthlyIncome]]&lt;9000,"6K-9K",
Table1[[#This Row],[MonthlyIncome]]&lt;12000,"9K-12K",
TRUE,"12K+")</f>
        <v>3K-6K</v>
      </c>
      <c r="AN1274">
        <f>1</f>
        <v>1</v>
      </c>
      <c r="AO1274" t="str" cm="1">
        <f t="array" ref="AO1274">_xlfn.IFS(
Table1[[#This Row],[YearsAtCompany]]&lt;=2,"0-2 Years",
Table1[[#This Row],[YearsAtCompany]]&lt;=5,"3-5 Years",
Table1[[#This Row],[YearsAtCompany]]&lt;=10,"6-10 Years",
TRUE,"10+ Years")</f>
        <v>3-5 Years</v>
      </c>
    </row>
    <row r="1275" spans="1:41"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tr">
        <f t="shared" si="38"/>
        <v>Research</v>
      </c>
      <c r="AK1275">
        <f t="shared" si="39"/>
        <v>1</v>
      </c>
      <c r="AL1275">
        <f>IF(Table1[[#This Row],[Attrition]]="Yes", Table1[[#This Row],[MonthlyIncome]]*12*1.5, 0)</f>
        <v>43164</v>
      </c>
      <c r="AM1275" t="str" cm="1">
        <f t="array" ref="AM1275">_xlfn.IFS(
Table1[[#This Row],[MonthlyIncome]]&lt;3000,"Under 3K",
Table1[[#This Row],[MonthlyIncome]]&lt;6000,"3K-6K",
Table1[[#This Row],[MonthlyIncome]]&lt;9000,"6K-9K",
Table1[[#This Row],[MonthlyIncome]]&lt;12000,"9K-12K",
TRUE,"12K+")</f>
        <v>Under 3K</v>
      </c>
      <c r="AN1275">
        <f>1</f>
        <v>1</v>
      </c>
      <c r="AO1275" t="str" cm="1">
        <f t="array" ref="AO1275">_xlfn.IFS(
Table1[[#This Row],[YearsAtCompany]]&lt;=2,"0-2 Years",
Table1[[#This Row],[YearsAtCompany]]&lt;=5,"3-5 Years",
Table1[[#This Row],[YearsAtCompany]]&lt;=10,"6-10 Years",
TRUE,"10+ Years")</f>
        <v>0-2 Years</v>
      </c>
    </row>
    <row r="1276" spans="1:41"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tr">
        <f t="shared" si="38"/>
        <v>Sales</v>
      </c>
      <c r="AK1276">
        <f t="shared" si="39"/>
        <v>0</v>
      </c>
      <c r="AL1276">
        <f>IF(Table1[[#This Row],[Attrition]]="Yes", Table1[[#This Row],[MonthlyIncome]]*12*1.5, 0)</f>
        <v>0</v>
      </c>
      <c r="AM1276" t="str" cm="1">
        <f t="array" ref="AM1276">_xlfn.IFS(
Table1[[#This Row],[MonthlyIncome]]&lt;3000,"Under 3K",
Table1[[#This Row],[MonthlyIncome]]&lt;6000,"3K-6K",
Table1[[#This Row],[MonthlyIncome]]&lt;9000,"6K-9K",
Table1[[#This Row],[MonthlyIncome]]&lt;12000,"9K-12K",
TRUE,"12K+")</f>
        <v>3K-6K</v>
      </c>
      <c r="AN1276">
        <f>1</f>
        <v>1</v>
      </c>
      <c r="AO1276" t="str" cm="1">
        <f t="array" ref="AO1276">_xlfn.IFS(
Table1[[#This Row],[YearsAtCompany]]&lt;=2,"0-2 Years",
Table1[[#This Row],[YearsAtCompany]]&lt;=5,"3-5 Years",
Table1[[#This Row],[YearsAtCompany]]&lt;=10,"6-10 Years",
TRUE,"10+ Years")</f>
        <v>10+ Years</v>
      </c>
    </row>
    <row r="1277" spans="1:41"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tr">
        <f t="shared" si="38"/>
        <v>Management</v>
      </c>
      <c r="AK1277">
        <f t="shared" si="39"/>
        <v>0</v>
      </c>
      <c r="AL1277">
        <f>IF(Table1[[#This Row],[Attrition]]="Yes", Table1[[#This Row],[MonthlyIncome]]*12*1.5, 0)</f>
        <v>0</v>
      </c>
      <c r="AM1277" t="str" cm="1">
        <f t="array" ref="AM1277">_xlfn.IFS(
Table1[[#This Row],[MonthlyIncome]]&lt;3000,"Under 3K",
Table1[[#This Row],[MonthlyIncome]]&lt;6000,"3K-6K",
Table1[[#This Row],[MonthlyIncome]]&lt;9000,"6K-9K",
Table1[[#This Row],[MonthlyIncome]]&lt;12000,"9K-12K",
TRUE,"12K+")</f>
        <v>12K+</v>
      </c>
      <c r="AN1277">
        <f>1</f>
        <v>1</v>
      </c>
      <c r="AO1277" t="str" cm="1">
        <f t="array" ref="AO1277">_xlfn.IFS(
Table1[[#This Row],[YearsAtCompany]]&lt;=2,"0-2 Years",
Table1[[#This Row],[YearsAtCompany]]&lt;=5,"3-5 Years",
Table1[[#This Row],[YearsAtCompany]]&lt;=10,"6-10 Years",
TRUE,"10+ Years")</f>
        <v>0-2 Years</v>
      </c>
    </row>
    <row r="1278" spans="1:41"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tr">
        <f t="shared" si="38"/>
        <v>Sales</v>
      </c>
      <c r="AK1278">
        <f t="shared" si="39"/>
        <v>0</v>
      </c>
      <c r="AL1278">
        <f>IF(Table1[[#This Row],[Attrition]]="Yes", Table1[[#This Row],[MonthlyIncome]]*12*1.5, 0)</f>
        <v>0</v>
      </c>
      <c r="AM1278" t="str" cm="1">
        <f t="array" ref="AM1278">_xlfn.IFS(
Table1[[#This Row],[MonthlyIncome]]&lt;3000,"Under 3K",
Table1[[#This Row],[MonthlyIncome]]&lt;6000,"3K-6K",
Table1[[#This Row],[MonthlyIncome]]&lt;9000,"6K-9K",
Table1[[#This Row],[MonthlyIncome]]&lt;12000,"9K-12K",
TRUE,"12K+")</f>
        <v>3K-6K</v>
      </c>
      <c r="AN1278">
        <f>1</f>
        <v>1</v>
      </c>
      <c r="AO1278" t="str" cm="1">
        <f t="array" ref="AO1278">_xlfn.IFS(
Table1[[#This Row],[YearsAtCompany]]&lt;=2,"0-2 Years",
Table1[[#This Row],[YearsAtCompany]]&lt;=5,"3-5 Years",
Table1[[#This Row],[YearsAtCompany]]&lt;=10,"6-10 Years",
TRUE,"10+ Years")</f>
        <v>3-5 Years</v>
      </c>
    </row>
    <row r="1279" spans="1:41"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tr">
        <f t="shared" si="38"/>
        <v>Research</v>
      </c>
      <c r="AK1279">
        <f t="shared" si="39"/>
        <v>0</v>
      </c>
      <c r="AL1279">
        <f>IF(Table1[[#This Row],[Attrition]]="Yes", Table1[[#This Row],[MonthlyIncome]]*12*1.5, 0)</f>
        <v>0</v>
      </c>
      <c r="AM1279" t="str" cm="1">
        <f t="array" ref="AM1279">_xlfn.IFS(
Table1[[#This Row],[MonthlyIncome]]&lt;3000,"Under 3K",
Table1[[#This Row],[MonthlyIncome]]&lt;6000,"3K-6K",
Table1[[#This Row],[MonthlyIncome]]&lt;9000,"6K-9K",
Table1[[#This Row],[MonthlyIncome]]&lt;12000,"9K-12K",
TRUE,"12K+")</f>
        <v>12K+</v>
      </c>
      <c r="AN1279">
        <f>1</f>
        <v>1</v>
      </c>
      <c r="AO1279" t="str" cm="1">
        <f t="array" ref="AO1279">_xlfn.IFS(
Table1[[#This Row],[YearsAtCompany]]&lt;=2,"0-2 Years",
Table1[[#This Row],[YearsAtCompany]]&lt;=5,"3-5 Years",
Table1[[#This Row],[YearsAtCompany]]&lt;=10,"6-10 Years",
TRUE,"10+ Years")</f>
        <v>0-2 Years</v>
      </c>
    </row>
    <row r="1280" spans="1:41"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tr">
        <f t="shared" si="38"/>
        <v>Healthcare</v>
      </c>
      <c r="AK1280">
        <f t="shared" si="39"/>
        <v>0</v>
      </c>
      <c r="AL1280">
        <f>IF(Table1[[#This Row],[Attrition]]="Yes", Table1[[#This Row],[MonthlyIncome]]*12*1.5, 0)</f>
        <v>0</v>
      </c>
      <c r="AM1280" t="str" cm="1">
        <f t="array" ref="AM1280">_xlfn.IFS(
Table1[[#This Row],[MonthlyIncome]]&lt;3000,"Under 3K",
Table1[[#This Row],[MonthlyIncome]]&lt;6000,"3K-6K",
Table1[[#This Row],[MonthlyIncome]]&lt;9000,"6K-9K",
Table1[[#This Row],[MonthlyIncome]]&lt;12000,"9K-12K",
TRUE,"12K+")</f>
        <v>6K-9K</v>
      </c>
      <c r="AN1280">
        <f>1</f>
        <v>1</v>
      </c>
      <c r="AO1280" t="str" cm="1">
        <f t="array" ref="AO1280">_xlfn.IFS(
Table1[[#This Row],[YearsAtCompany]]&lt;=2,"0-2 Years",
Table1[[#This Row],[YearsAtCompany]]&lt;=5,"3-5 Years",
Table1[[#This Row],[YearsAtCompany]]&lt;=10,"6-10 Years",
TRUE,"10+ Years")</f>
        <v>10+ Years</v>
      </c>
    </row>
    <row r="1281" spans="1:41"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tr">
        <f t="shared" si="38"/>
        <v>Research</v>
      </c>
      <c r="AK1281">
        <f t="shared" si="39"/>
        <v>1</v>
      </c>
      <c r="AL1281">
        <f>IF(Table1[[#This Row],[Attrition]]="Yes", Table1[[#This Row],[MonthlyIncome]]*12*1.5, 0)</f>
        <v>42156</v>
      </c>
      <c r="AM1281" t="str" cm="1">
        <f t="array" ref="AM1281">_xlfn.IFS(
Table1[[#This Row],[MonthlyIncome]]&lt;3000,"Under 3K",
Table1[[#This Row],[MonthlyIncome]]&lt;6000,"3K-6K",
Table1[[#This Row],[MonthlyIncome]]&lt;9000,"6K-9K",
Table1[[#This Row],[MonthlyIncome]]&lt;12000,"9K-12K",
TRUE,"12K+")</f>
        <v>Under 3K</v>
      </c>
      <c r="AN1281">
        <f>1</f>
        <v>1</v>
      </c>
      <c r="AO1281" t="str" cm="1">
        <f t="array" ref="AO1281">_xlfn.IFS(
Table1[[#This Row],[YearsAtCompany]]&lt;=2,"0-2 Years",
Table1[[#This Row],[YearsAtCompany]]&lt;=5,"3-5 Years",
Table1[[#This Row],[YearsAtCompany]]&lt;=10,"6-10 Years",
TRUE,"10+ Years")</f>
        <v>3-5 Years</v>
      </c>
    </row>
    <row r="1282" spans="1:41"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tr">
        <f t="shared" si="38"/>
        <v>Human Resources</v>
      </c>
      <c r="AK1282">
        <f t="shared" si="39"/>
        <v>0</v>
      </c>
      <c r="AL1282">
        <f>IF(Table1[[#This Row],[Attrition]]="Yes", Table1[[#This Row],[MonthlyIncome]]*12*1.5, 0)</f>
        <v>0</v>
      </c>
      <c r="AM1282" t="str" cm="1">
        <f t="array" ref="AM1282">_xlfn.IFS(
Table1[[#This Row],[MonthlyIncome]]&lt;3000,"Under 3K",
Table1[[#This Row],[MonthlyIncome]]&lt;6000,"3K-6K",
Table1[[#This Row],[MonthlyIncome]]&lt;9000,"6K-9K",
Table1[[#This Row],[MonthlyIncome]]&lt;12000,"9K-12K",
TRUE,"12K+")</f>
        <v>3K-6K</v>
      </c>
      <c r="AN1282">
        <f>1</f>
        <v>1</v>
      </c>
      <c r="AO1282" t="str" cm="1">
        <f t="array" ref="AO1282">_xlfn.IFS(
Table1[[#This Row],[YearsAtCompany]]&lt;=2,"0-2 Years",
Table1[[#This Row],[YearsAtCompany]]&lt;=5,"3-5 Years",
Table1[[#This Row],[YearsAtCompany]]&lt;=10,"6-10 Years",
TRUE,"10+ Years")</f>
        <v>6-10 Years</v>
      </c>
    </row>
    <row r="1283" spans="1:41"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tr">
        <f t="shared" ref="AJ1283:AJ1346" si="40">_xlfn.XLOOKUP(P1283, $AP$2:$AP$10,$AQ$2:$AQ$10)</f>
        <v>Sales</v>
      </c>
      <c r="AK1283">
        <f t="shared" ref="AK1283:AK1346" si="41">IF(B1283 ="Yes",1,0)</f>
        <v>1</v>
      </c>
      <c r="AL1283">
        <f>IF(Table1[[#This Row],[Attrition]]="Yes", Table1[[#This Row],[MonthlyIncome]]*12*1.5, 0)</f>
        <v>104634</v>
      </c>
      <c r="AM1283" t="str" cm="1">
        <f t="array" ref="AM1283">_xlfn.IFS(
Table1[[#This Row],[MonthlyIncome]]&lt;3000,"Under 3K",
Table1[[#This Row],[MonthlyIncome]]&lt;6000,"3K-6K",
Table1[[#This Row],[MonthlyIncome]]&lt;9000,"6K-9K",
Table1[[#This Row],[MonthlyIncome]]&lt;12000,"9K-12K",
TRUE,"12K+")</f>
        <v>3K-6K</v>
      </c>
      <c r="AN1283">
        <f>1</f>
        <v>1</v>
      </c>
      <c r="AO1283" t="str" cm="1">
        <f t="array" ref="AO1283">_xlfn.IFS(
Table1[[#This Row],[YearsAtCompany]]&lt;=2,"0-2 Years",
Table1[[#This Row],[YearsAtCompany]]&lt;=5,"3-5 Years",
Table1[[#This Row],[YearsAtCompany]]&lt;=10,"6-10 Years",
TRUE,"10+ Years")</f>
        <v>6-10 Years</v>
      </c>
    </row>
    <row r="1284" spans="1:41"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tr">
        <f t="shared" si="40"/>
        <v>Research</v>
      </c>
      <c r="AK1284">
        <f t="shared" si="41"/>
        <v>0</v>
      </c>
      <c r="AL1284">
        <f>IF(Table1[[#This Row],[Attrition]]="Yes", Table1[[#This Row],[MonthlyIncome]]*12*1.5, 0)</f>
        <v>0</v>
      </c>
      <c r="AM1284" t="str" cm="1">
        <f t="array" ref="AM1284">_xlfn.IFS(
Table1[[#This Row],[MonthlyIncome]]&lt;3000,"Under 3K",
Table1[[#This Row],[MonthlyIncome]]&lt;6000,"3K-6K",
Table1[[#This Row],[MonthlyIncome]]&lt;9000,"6K-9K",
Table1[[#This Row],[MonthlyIncome]]&lt;12000,"9K-12K",
TRUE,"12K+")</f>
        <v>3K-6K</v>
      </c>
      <c r="AN1284">
        <f>1</f>
        <v>1</v>
      </c>
      <c r="AO1284" t="str" cm="1">
        <f t="array" ref="AO1284">_xlfn.IFS(
Table1[[#This Row],[YearsAtCompany]]&lt;=2,"0-2 Years",
Table1[[#This Row],[YearsAtCompany]]&lt;=5,"3-5 Years",
Table1[[#This Row],[YearsAtCompany]]&lt;=10,"6-10 Years",
TRUE,"10+ Years")</f>
        <v>6-10 Years</v>
      </c>
    </row>
    <row r="1285" spans="1:41"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tr">
        <f t="shared" si="40"/>
        <v>Research</v>
      </c>
      <c r="AK1285">
        <f t="shared" si="41"/>
        <v>0</v>
      </c>
      <c r="AL1285">
        <f>IF(Table1[[#This Row],[Attrition]]="Yes", Table1[[#This Row],[MonthlyIncome]]*12*1.5, 0)</f>
        <v>0</v>
      </c>
      <c r="AM1285" t="str" cm="1">
        <f t="array" ref="AM1285">_xlfn.IFS(
Table1[[#This Row],[MonthlyIncome]]&lt;3000,"Under 3K",
Table1[[#This Row],[MonthlyIncome]]&lt;6000,"3K-6K",
Table1[[#This Row],[MonthlyIncome]]&lt;9000,"6K-9K",
Table1[[#This Row],[MonthlyIncome]]&lt;12000,"9K-12K",
TRUE,"12K+")</f>
        <v>Under 3K</v>
      </c>
      <c r="AN1285">
        <f>1</f>
        <v>1</v>
      </c>
      <c r="AO1285" t="str" cm="1">
        <f t="array" ref="AO1285">_xlfn.IFS(
Table1[[#This Row],[YearsAtCompany]]&lt;=2,"0-2 Years",
Table1[[#This Row],[YearsAtCompany]]&lt;=5,"3-5 Years",
Table1[[#This Row],[YearsAtCompany]]&lt;=10,"6-10 Years",
TRUE,"10+ Years")</f>
        <v>3-5 Years</v>
      </c>
    </row>
    <row r="1286" spans="1:41"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tr">
        <f t="shared" si="40"/>
        <v>Research</v>
      </c>
      <c r="AK1286">
        <f t="shared" si="41"/>
        <v>0</v>
      </c>
      <c r="AL1286">
        <f>IF(Table1[[#This Row],[Attrition]]="Yes", Table1[[#This Row],[MonthlyIncome]]*12*1.5, 0)</f>
        <v>0</v>
      </c>
      <c r="AM1286" t="str" cm="1">
        <f t="array" ref="AM1286">_xlfn.IFS(
Table1[[#This Row],[MonthlyIncome]]&lt;3000,"Under 3K",
Table1[[#This Row],[MonthlyIncome]]&lt;6000,"3K-6K",
Table1[[#This Row],[MonthlyIncome]]&lt;9000,"6K-9K",
Table1[[#This Row],[MonthlyIncome]]&lt;12000,"9K-12K",
TRUE,"12K+")</f>
        <v>12K+</v>
      </c>
      <c r="AN1286">
        <f>1</f>
        <v>1</v>
      </c>
      <c r="AO1286" t="str" cm="1">
        <f t="array" ref="AO1286">_xlfn.IFS(
Table1[[#This Row],[YearsAtCompany]]&lt;=2,"0-2 Years",
Table1[[#This Row],[YearsAtCompany]]&lt;=5,"3-5 Years",
Table1[[#This Row],[YearsAtCompany]]&lt;=10,"6-10 Years",
TRUE,"10+ Years")</f>
        <v>3-5 Years</v>
      </c>
    </row>
    <row r="1287" spans="1:41"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tr">
        <f t="shared" si="40"/>
        <v>Sales</v>
      </c>
      <c r="AK1287">
        <f t="shared" si="41"/>
        <v>0</v>
      </c>
      <c r="AL1287">
        <f>IF(Table1[[#This Row],[Attrition]]="Yes", Table1[[#This Row],[MonthlyIncome]]*12*1.5, 0)</f>
        <v>0</v>
      </c>
      <c r="AM1287" t="str" cm="1">
        <f t="array" ref="AM1287">_xlfn.IFS(
Table1[[#This Row],[MonthlyIncome]]&lt;3000,"Under 3K",
Table1[[#This Row],[MonthlyIncome]]&lt;6000,"3K-6K",
Table1[[#This Row],[MonthlyIncome]]&lt;9000,"6K-9K",
Table1[[#This Row],[MonthlyIncome]]&lt;12000,"9K-12K",
TRUE,"12K+")</f>
        <v>6K-9K</v>
      </c>
      <c r="AN1287">
        <f>1</f>
        <v>1</v>
      </c>
      <c r="AO1287" t="str" cm="1">
        <f t="array" ref="AO1287">_xlfn.IFS(
Table1[[#This Row],[YearsAtCompany]]&lt;=2,"0-2 Years",
Table1[[#This Row],[YearsAtCompany]]&lt;=5,"3-5 Years",
Table1[[#This Row],[YearsAtCompany]]&lt;=10,"6-10 Years",
TRUE,"10+ Years")</f>
        <v>0-2 Years</v>
      </c>
    </row>
    <row r="1288" spans="1:41"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tr">
        <f t="shared" si="40"/>
        <v>Research</v>
      </c>
      <c r="AK1288">
        <f t="shared" si="41"/>
        <v>0</v>
      </c>
      <c r="AL1288">
        <f>IF(Table1[[#This Row],[Attrition]]="Yes", Table1[[#This Row],[MonthlyIncome]]*12*1.5, 0)</f>
        <v>0</v>
      </c>
      <c r="AM1288" t="str" cm="1">
        <f t="array" ref="AM1288">_xlfn.IFS(
Table1[[#This Row],[MonthlyIncome]]&lt;3000,"Under 3K",
Table1[[#This Row],[MonthlyIncome]]&lt;6000,"3K-6K",
Table1[[#This Row],[MonthlyIncome]]&lt;9000,"6K-9K",
Table1[[#This Row],[MonthlyIncome]]&lt;12000,"9K-12K",
TRUE,"12K+")</f>
        <v>3K-6K</v>
      </c>
      <c r="AN1288">
        <f>1</f>
        <v>1</v>
      </c>
      <c r="AO1288" t="str" cm="1">
        <f t="array" ref="AO1288">_xlfn.IFS(
Table1[[#This Row],[YearsAtCompany]]&lt;=2,"0-2 Years",
Table1[[#This Row],[YearsAtCompany]]&lt;=5,"3-5 Years",
Table1[[#This Row],[YearsAtCompany]]&lt;=10,"6-10 Years",
TRUE,"10+ Years")</f>
        <v>3-5 Years</v>
      </c>
    </row>
    <row r="1289" spans="1:41"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tr">
        <f t="shared" si="40"/>
        <v>Healthcare</v>
      </c>
      <c r="AK1289">
        <f t="shared" si="41"/>
        <v>0</v>
      </c>
      <c r="AL1289">
        <f>IF(Table1[[#This Row],[Attrition]]="Yes", Table1[[#This Row],[MonthlyIncome]]*12*1.5, 0)</f>
        <v>0</v>
      </c>
      <c r="AM1289" t="str" cm="1">
        <f t="array" ref="AM1289">_xlfn.IFS(
Table1[[#This Row],[MonthlyIncome]]&lt;3000,"Under 3K",
Table1[[#This Row],[MonthlyIncome]]&lt;6000,"3K-6K",
Table1[[#This Row],[MonthlyIncome]]&lt;9000,"6K-9K",
Table1[[#This Row],[MonthlyIncome]]&lt;12000,"9K-12K",
TRUE,"12K+")</f>
        <v>3K-6K</v>
      </c>
      <c r="AN1289">
        <f>1</f>
        <v>1</v>
      </c>
      <c r="AO1289" t="str" cm="1">
        <f t="array" ref="AO1289">_xlfn.IFS(
Table1[[#This Row],[YearsAtCompany]]&lt;=2,"0-2 Years",
Table1[[#This Row],[YearsAtCompany]]&lt;=5,"3-5 Years",
Table1[[#This Row],[YearsAtCompany]]&lt;=10,"6-10 Years",
TRUE,"10+ Years")</f>
        <v>0-2 Years</v>
      </c>
    </row>
    <row r="1290" spans="1:41"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tr">
        <f t="shared" si="40"/>
        <v>Operations</v>
      </c>
      <c r="AK1290">
        <f t="shared" si="41"/>
        <v>0</v>
      </c>
      <c r="AL1290">
        <f>IF(Table1[[#This Row],[Attrition]]="Yes", Table1[[#This Row],[MonthlyIncome]]*12*1.5, 0)</f>
        <v>0</v>
      </c>
      <c r="AM1290" t="str" cm="1">
        <f t="array" ref="AM1290">_xlfn.IFS(
Table1[[#This Row],[MonthlyIncome]]&lt;3000,"Under 3K",
Table1[[#This Row],[MonthlyIncome]]&lt;6000,"3K-6K",
Table1[[#This Row],[MonthlyIncome]]&lt;9000,"6K-9K",
Table1[[#This Row],[MonthlyIncome]]&lt;12000,"9K-12K",
TRUE,"12K+")</f>
        <v>3K-6K</v>
      </c>
      <c r="AN1290">
        <f>1</f>
        <v>1</v>
      </c>
      <c r="AO1290" t="str" cm="1">
        <f t="array" ref="AO1290">_xlfn.IFS(
Table1[[#This Row],[YearsAtCompany]]&lt;=2,"0-2 Years",
Table1[[#This Row],[YearsAtCompany]]&lt;=5,"3-5 Years",
Table1[[#This Row],[YearsAtCompany]]&lt;=10,"6-10 Years",
TRUE,"10+ Years")</f>
        <v>6-10 Years</v>
      </c>
    </row>
    <row r="1291" spans="1:41"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tr">
        <f t="shared" si="40"/>
        <v>Human Resources</v>
      </c>
      <c r="AK1291">
        <f t="shared" si="41"/>
        <v>0</v>
      </c>
      <c r="AL1291">
        <f>IF(Table1[[#This Row],[Attrition]]="Yes", Table1[[#This Row],[MonthlyIncome]]*12*1.5, 0)</f>
        <v>0</v>
      </c>
      <c r="AM1291" t="str" cm="1">
        <f t="array" ref="AM1291">_xlfn.IFS(
Table1[[#This Row],[MonthlyIncome]]&lt;3000,"Under 3K",
Table1[[#This Row],[MonthlyIncome]]&lt;6000,"3K-6K",
Table1[[#This Row],[MonthlyIncome]]&lt;9000,"6K-9K",
Table1[[#This Row],[MonthlyIncome]]&lt;12000,"9K-12K",
TRUE,"12K+")</f>
        <v>Under 3K</v>
      </c>
      <c r="AN1291">
        <f>1</f>
        <v>1</v>
      </c>
      <c r="AO1291" t="str" cm="1">
        <f t="array" ref="AO1291">_xlfn.IFS(
Table1[[#This Row],[YearsAtCompany]]&lt;=2,"0-2 Years",
Table1[[#This Row],[YearsAtCompany]]&lt;=5,"3-5 Years",
Table1[[#This Row],[YearsAtCompany]]&lt;=10,"6-10 Years",
TRUE,"10+ Years")</f>
        <v>10+ Years</v>
      </c>
    </row>
    <row r="1292" spans="1:41"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tr">
        <f t="shared" si="40"/>
        <v>Research</v>
      </c>
      <c r="AK1292">
        <f t="shared" si="41"/>
        <v>1</v>
      </c>
      <c r="AL1292">
        <f>IF(Table1[[#This Row],[Attrition]]="Yes", Table1[[#This Row],[MonthlyIncome]]*12*1.5, 0)</f>
        <v>96228</v>
      </c>
      <c r="AM1292" t="str" cm="1">
        <f t="array" ref="AM1292">_xlfn.IFS(
Table1[[#This Row],[MonthlyIncome]]&lt;3000,"Under 3K",
Table1[[#This Row],[MonthlyIncome]]&lt;6000,"3K-6K",
Table1[[#This Row],[MonthlyIncome]]&lt;9000,"6K-9K",
Table1[[#This Row],[MonthlyIncome]]&lt;12000,"9K-12K",
TRUE,"12K+")</f>
        <v>3K-6K</v>
      </c>
      <c r="AN1292">
        <f>1</f>
        <v>1</v>
      </c>
      <c r="AO1292" t="str" cm="1">
        <f t="array" ref="AO1292">_xlfn.IFS(
Table1[[#This Row],[YearsAtCompany]]&lt;=2,"0-2 Years",
Table1[[#This Row],[YearsAtCompany]]&lt;=5,"3-5 Years",
Table1[[#This Row],[YearsAtCompany]]&lt;=10,"6-10 Years",
TRUE,"10+ Years")</f>
        <v>6-10 Years</v>
      </c>
    </row>
    <row r="1293" spans="1:41"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tr">
        <f t="shared" si="40"/>
        <v>Operations</v>
      </c>
      <c r="AK1293">
        <f t="shared" si="41"/>
        <v>1</v>
      </c>
      <c r="AL1293">
        <f>IF(Table1[[#This Row],[Attrition]]="Yes", Table1[[#This Row],[MonthlyIncome]]*12*1.5, 0)</f>
        <v>75834</v>
      </c>
      <c r="AM1293" t="str" cm="1">
        <f t="array" ref="AM1293">_xlfn.IFS(
Table1[[#This Row],[MonthlyIncome]]&lt;3000,"Under 3K",
Table1[[#This Row],[MonthlyIncome]]&lt;6000,"3K-6K",
Table1[[#This Row],[MonthlyIncome]]&lt;9000,"6K-9K",
Table1[[#This Row],[MonthlyIncome]]&lt;12000,"9K-12K",
TRUE,"12K+")</f>
        <v>3K-6K</v>
      </c>
      <c r="AN1293">
        <f>1</f>
        <v>1</v>
      </c>
      <c r="AO1293" t="str" cm="1">
        <f t="array" ref="AO1293">_xlfn.IFS(
Table1[[#This Row],[YearsAtCompany]]&lt;=2,"0-2 Years",
Table1[[#This Row],[YearsAtCompany]]&lt;=5,"3-5 Years",
Table1[[#This Row],[YearsAtCompany]]&lt;=10,"6-10 Years",
TRUE,"10+ Years")</f>
        <v>6-10 Years</v>
      </c>
    </row>
    <row r="1294" spans="1:41"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tr">
        <f t="shared" si="40"/>
        <v>Sales</v>
      </c>
      <c r="AK1294">
        <f t="shared" si="41"/>
        <v>0</v>
      </c>
      <c r="AL1294">
        <f>IF(Table1[[#This Row],[Attrition]]="Yes", Table1[[#This Row],[MonthlyIncome]]*12*1.5, 0)</f>
        <v>0</v>
      </c>
      <c r="AM1294" t="str" cm="1">
        <f t="array" ref="AM1294">_xlfn.IFS(
Table1[[#This Row],[MonthlyIncome]]&lt;3000,"Under 3K",
Table1[[#This Row],[MonthlyIncome]]&lt;6000,"3K-6K",
Table1[[#This Row],[MonthlyIncome]]&lt;9000,"6K-9K",
Table1[[#This Row],[MonthlyIncome]]&lt;12000,"9K-12K",
TRUE,"12K+")</f>
        <v>3K-6K</v>
      </c>
      <c r="AN1294">
        <f>1</f>
        <v>1</v>
      </c>
      <c r="AO1294" t="str" cm="1">
        <f t="array" ref="AO1294">_xlfn.IFS(
Table1[[#This Row],[YearsAtCompany]]&lt;=2,"0-2 Years",
Table1[[#This Row],[YearsAtCompany]]&lt;=5,"3-5 Years",
Table1[[#This Row],[YearsAtCompany]]&lt;=10,"6-10 Years",
TRUE,"10+ Years")</f>
        <v>0-2 Years</v>
      </c>
    </row>
    <row r="1295" spans="1:41"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tr">
        <f t="shared" si="40"/>
        <v>Research</v>
      </c>
      <c r="AK1295">
        <f t="shared" si="41"/>
        <v>0</v>
      </c>
      <c r="AL1295">
        <f>IF(Table1[[#This Row],[Attrition]]="Yes", Table1[[#This Row],[MonthlyIncome]]*12*1.5, 0)</f>
        <v>0</v>
      </c>
      <c r="AM1295" t="str" cm="1">
        <f t="array" ref="AM1295">_xlfn.IFS(
Table1[[#This Row],[MonthlyIncome]]&lt;3000,"Under 3K",
Table1[[#This Row],[MonthlyIncome]]&lt;6000,"3K-6K",
Table1[[#This Row],[MonthlyIncome]]&lt;9000,"6K-9K",
Table1[[#This Row],[MonthlyIncome]]&lt;12000,"9K-12K",
TRUE,"12K+")</f>
        <v>Under 3K</v>
      </c>
      <c r="AN1295">
        <f>1</f>
        <v>1</v>
      </c>
      <c r="AO1295" t="str" cm="1">
        <f t="array" ref="AO1295">_xlfn.IFS(
Table1[[#This Row],[YearsAtCompany]]&lt;=2,"0-2 Years",
Table1[[#This Row],[YearsAtCompany]]&lt;=5,"3-5 Years",
Table1[[#This Row],[YearsAtCompany]]&lt;=10,"6-10 Years",
TRUE,"10+ Years")</f>
        <v>3-5 Years</v>
      </c>
    </row>
    <row r="1296" spans="1:41"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tr">
        <f t="shared" si="40"/>
        <v>Healthcare</v>
      </c>
      <c r="AK1296">
        <f t="shared" si="41"/>
        <v>0</v>
      </c>
      <c r="AL1296">
        <f>IF(Table1[[#This Row],[Attrition]]="Yes", Table1[[#This Row],[MonthlyIncome]]*12*1.5, 0)</f>
        <v>0</v>
      </c>
      <c r="AM1296" t="str" cm="1">
        <f t="array" ref="AM1296">_xlfn.IFS(
Table1[[#This Row],[MonthlyIncome]]&lt;3000,"Under 3K",
Table1[[#This Row],[MonthlyIncome]]&lt;6000,"3K-6K",
Table1[[#This Row],[MonthlyIncome]]&lt;9000,"6K-9K",
Table1[[#This Row],[MonthlyIncome]]&lt;12000,"9K-12K",
TRUE,"12K+")</f>
        <v>6K-9K</v>
      </c>
      <c r="AN1296">
        <f>1</f>
        <v>1</v>
      </c>
      <c r="AO1296" t="str" cm="1">
        <f t="array" ref="AO1296">_xlfn.IFS(
Table1[[#This Row],[YearsAtCompany]]&lt;=2,"0-2 Years",
Table1[[#This Row],[YearsAtCompany]]&lt;=5,"3-5 Years",
Table1[[#This Row],[YearsAtCompany]]&lt;=10,"6-10 Years",
TRUE,"10+ Years")</f>
        <v>3-5 Years</v>
      </c>
    </row>
    <row r="1297" spans="1:41"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tr">
        <f t="shared" si="40"/>
        <v>Sales</v>
      </c>
      <c r="AK1297">
        <f t="shared" si="41"/>
        <v>0</v>
      </c>
      <c r="AL1297">
        <f>IF(Table1[[#This Row],[Attrition]]="Yes", Table1[[#This Row],[MonthlyIncome]]*12*1.5, 0)</f>
        <v>0</v>
      </c>
      <c r="AM1297" t="str" cm="1">
        <f t="array" ref="AM1297">_xlfn.IFS(
Table1[[#This Row],[MonthlyIncome]]&lt;3000,"Under 3K",
Table1[[#This Row],[MonthlyIncome]]&lt;6000,"3K-6K",
Table1[[#This Row],[MonthlyIncome]]&lt;9000,"6K-9K",
Table1[[#This Row],[MonthlyIncome]]&lt;12000,"9K-12K",
TRUE,"12K+")</f>
        <v>9K-12K</v>
      </c>
      <c r="AN1297">
        <f>1</f>
        <v>1</v>
      </c>
      <c r="AO1297" t="str" cm="1">
        <f t="array" ref="AO1297">_xlfn.IFS(
Table1[[#This Row],[YearsAtCompany]]&lt;=2,"0-2 Years",
Table1[[#This Row],[YearsAtCompany]]&lt;=5,"3-5 Years",
Table1[[#This Row],[YearsAtCompany]]&lt;=10,"6-10 Years",
TRUE,"10+ Years")</f>
        <v>10+ Years</v>
      </c>
    </row>
    <row r="1298" spans="1:41"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tr">
        <f t="shared" si="40"/>
        <v>Operations</v>
      </c>
      <c r="AK1298">
        <f t="shared" si="41"/>
        <v>0</v>
      </c>
      <c r="AL1298">
        <f>IF(Table1[[#This Row],[Attrition]]="Yes", Table1[[#This Row],[MonthlyIncome]]*12*1.5, 0)</f>
        <v>0</v>
      </c>
      <c r="AM1298" t="str" cm="1">
        <f t="array" ref="AM1298">_xlfn.IFS(
Table1[[#This Row],[MonthlyIncome]]&lt;3000,"Under 3K",
Table1[[#This Row],[MonthlyIncome]]&lt;6000,"3K-6K",
Table1[[#This Row],[MonthlyIncome]]&lt;9000,"6K-9K",
Table1[[#This Row],[MonthlyIncome]]&lt;12000,"9K-12K",
TRUE,"12K+")</f>
        <v>9K-12K</v>
      </c>
      <c r="AN1298">
        <f>1</f>
        <v>1</v>
      </c>
      <c r="AO1298" t="str" cm="1">
        <f t="array" ref="AO1298">_xlfn.IFS(
Table1[[#This Row],[YearsAtCompany]]&lt;=2,"0-2 Years",
Table1[[#This Row],[YearsAtCompany]]&lt;=5,"3-5 Years",
Table1[[#This Row],[YearsAtCompany]]&lt;=10,"6-10 Years",
TRUE,"10+ Years")</f>
        <v>6-10 Years</v>
      </c>
    </row>
    <row r="1299" spans="1:41"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tr">
        <f t="shared" si="40"/>
        <v>Human Resources</v>
      </c>
      <c r="AK1299">
        <f t="shared" si="41"/>
        <v>1</v>
      </c>
      <c r="AL1299">
        <f>IF(Table1[[#This Row],[Attrition]]="Yes", Table1[[#This Row],[MonthlyIncome]]*12*1.5, 0)</f>
        <v>38664</v>
      </c>
      <c r="AM1299" t="str" cm="1">
        <f t="array" ref="AM1299">_xlfn.IFS(
Table1[[#This Row],[MonthlyIncome]]&lt;3000,"Under 3K",
Table1[[#This Row],[MonthlyIncome]]&lt;6000,"3K-6K",
Table1[[#This Row],[MonthlyIncome]]&lt;9000,"6K-9K",
Table1[[#This Row],[MonthlyIncome]]&lt;12000,"9K-12K",
TRUE,"12K+")</f>
        <v>Under 3K</v>
      </c>
      <c r="AN1299">
        <f>1</f>
        <v>1</v>
      </c>
      <c r="AO1299" t="str" cm="1">
        <f t="array" ref="AO1299">_xlfn.IFS(
Table1[[#This Row],[YearsAtCompany]]&lt;=2,"0-2 Years",
Table1[[#This Row],[YearsAtCompany]]&lt;=5,"3-5 Years",
Table1[[#This Row],[YearsAtCompany]]&lt;=10,"6-10 Years",
TRUE,"10+ Years")</f>
        <v>3-5 Years</v>
      </c>
    </row>
    <row r="1300" spans="1:41"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tr">
        <f t="shared" si="40"/>
        <v>Healthcare</v>
      </c>
      <c r="AK1300">
        <f t="shared" si="41"/>
        <v>1</v>
      </c>
      <c r="AL1300">
        <f>IF(Table1[[#This Row],[Attrition]]="Yes", Table1[[#This Row],[MonthlyIncome]]*12*1.5, 0)</f>
        <v>160668</v>
      </c>
      <c r="AM1300" t="str" cm="1">
        <f t="array" ref="AM1300">_xlfn.IFS(
Table1[[#This Row],[MonthlyIncome]]&lt;3000,"Under 3K",
Table1[[#This Row],[MonthlyIncome]]&lt;6000,"3K-6K",
Table1[[#This Row],[MonthlyIncome]]&lt;9000,"6K-9K",
Table1[[#This Row],[MonthlyIncome]]&lt;12000,"9K-12K",
TRUE,"12K+")</f>
        <v>6K-9K</v>
      </c>
      <c r="AN1300">
        <f>1</f>
        <v>1</v>
      </c>
      <c r="AO1300" t="str" cm="1">
        <f t="array" ref="AO1300">_xlfn.IFS(
Table1[[#This Row],[YearsAtCompany]]&lt;=2,"0-2 Years",
Table1[[#This Row],[YearsAtCompany]]&lt;=5,"3-5 Years",
Table1[[#This Row],[YearsAtCompany]]&lt;=10,"6-10 Years",
TRUE,"10+ Years")</f>
        <v>6-10 Years</v>
      </c>
    </row>
    <row r="1301" spans="1:41"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tr">
        <f t="shared" si="40"/>
        <v>Healthcare</v>
      </c>
      <c r="AK1301">
        <f t="shared" si="41"/>
        <v>0</v>
      </c>
      <c r="AL1301">
        <f>IF(Table1[[#This Row],[Attrition]]="Yes", Table1[[#This Row],[MonthlyIncome]]*12*1.5, 0)</f>
        <v>0</v>
      </c>
      <c r="AM1301" t="str" cm="1">
        <f t="array" ref="AM1301">_xlfn.IFS(
Table1[[#This Row],[MonthlyIncome]]&lt;3000,"Under 3K",
Table1[[#This Row],[MonthlyIncome]]&lt;6000,"3K-6K",
Table1[[#This Row],[MonthlyIncome]]&lt;9000,"6K-9K",
Table1[[#This Row],[MonthlyIncome]]&lt;12000,"9K-12K",
TRUE,"12K+")</f>
        <v>6K-9K</v>
      </c>
      <c r="AN1301">
        <f>1</f>
        <v>1</v>
      </c>
      <c r="AO1301" t="str" cm="1">
        <f t="array" ref="AO1301">_xlfn.IFS(
Table1[[#This Row],[YearsAtCompany]]&lt;=2,"0-2 Years",
Table1[[#This Row],[YearsAtCompany]]&lt;=5,"3-5 Years",
Table1[[#This Row],[YearsAtCompany]]&lt;=10,"6-10 Years",
TRUE,"10+ Years")</f>
        <v>3-5 Years</v>
      </c>
    </row>
    <row r="1302" spans="1:41"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tr">
        <f t="shared" si="40"/>
        <v>Sales</v>
      </c>
      <c r="AK1302">
        <f t="shared" si="41"/>
        <v>0</v>
      </c>
      <c r="AL1302">
        <f>IF(Table1[[#This Row],[Attrition]]="Yes", Table1[[#This Row],[MonthlyIncome]]*12*1.5, 0)</f>
        <v>0</v>
      </c>
      <c r="AM1302" t="str" cm="1">
        <f t="array" ref="AM1302">_xlfn.IFS(
Table1[[#This Row],[MonthlyIncome]]&lt;3000,"Under 3K",
Table1[[#This Row],[MonthlyIncome]]&lt;6000,"3K-6K",
Table1[[#This Row],[MonthlyIncome]]&lt;9000,"6K-9K",
Table1[[#This Row],[MonthlyIncome]]&lt;12000,"9K-12K",
TRUE,"12K+")</f>
        <v>6K-9K</v>
      </c>
      <c r="AN1302">
        <f>1</f>
        <v>1</v>
      </c>
      <c r="AO1302" t="str" cm="1">
        <f t="array" ref="AO1302">_xlfn.IFS(
Table1[[#This Row],[YearsAtCompany]]&lt;=2,"0-2 Years",
Table1[[#This Row],[YearsAtCompany]]&lt;=5,"3-5 Years",
Table1[[#This Row],[YearsAtCompany]]&lt;=10,"6-10 Years",
TRUE,"10+ Years")</f>
        <v>6-10 Years</v>
      </c>
    </row>
    <row r="1303" spans="1:41"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tr">
        <f t="shared" si="40"/>
        <v>Management</v>
      </c>
      <c r="AK1303">
        <f t="shared" si="41"/>
        <v>0</v>
      </c>
      <c r="AL1303">
        <f>IF(Table1[[#This Row],[Attrition]]="Yes", Table1[[#This Row],[MonthlyIncome]]*12*1.5, 0)</f>
        <v>0</v>
      </c>
      <c r="AM1303" t="str" cm="1">
        <f t="array" ref="AM1303">_xlfn.IFS(
Table1[[#This Row],[MonthlyIncome]]&lt;3000,"Under 3K",
Table1[[#This Row],[MonthlyIncome]]&lt;6000,"3K-6K",
Table1[[#This Row],[MonthlyIncome]]&lt;9000,"6K-9K",
Table1[[#This Row],[MonthlyIncome]]&lt;12000,"9K-12K",
TRUE,"12K+")</f>
        <v>12K+</v>
      </c>
      <c r="AN1303">
        <f>1</f>
        <v>1</v>
      </c>
      <c r="AO1303" t="str" cm="1">
        <f t="array" ref="AO1303">_xlfn.IFS(
Table1[[#This Row],[YearsAtCompany]]&lt;=2,"0-2 Years",
Table1[[#This Row],[YearsAtCompany]]&lt;=5,"3-5 Years",
Table1[[#This Row],[YearsAtCompany]]&lt;=10,"6-10 Years",
TRUE,"10+ Years")</f>
        <v>10+ Years</v>
      </c>
    </row>
    <row r="1304" spans="1:41"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tr">
        <f t="shared" si="40"/>
        <v>Research</v>
      </c>
      <c r="AK1304">
        <f t="shared" si="41"/>
        <v>0</v>
      </c>
      <c r="AL1304">
        <f>IF(Table1[[#This Row],[Attrition]]="Yes", Table1[[#This Row],[MonthlyIncome]]*12*1.5, 0)</f>
        <v>0</v>
      </c>
      <c r="AM1304" t="str" cm="1">
        <f t="array" ref="AM1304">_xlfn.IFS(
Table1[[#This Row],[MonthlyIncome]]&lt;3000,"Under 3K",
Table1[[#This Row],[MonthlyIncome]]&lt;6000,"3K-6K",
Table1[[#This Row],[MonthlyIncome]]&lt;9000,"6K-9K",
Table1[[#This Row],[MonthlyIncome]]&lt;12000,"9K-12K",
TRUE,"12K+")</f>
        <v>Under 3K</v>
      </c>
      <c r="AN1304">
        <f>1</f>
        <v>1</v>
      </c>
      <c r="AO1304" t="str" cm="1">
        <f t="array" ref="AO1304">_xlfn.IFS(
Table1[[#This Row],[YearsAtCompany]]&lt;=2,"0-2 Years",
Table1[[#This Row],[YearsAtCompany]]&lt;=5,"3-5 Years",
Table1[[#This Row],[YearsAtCompany]]&lt;=10,"6-10 Years",
TRUE,"10+ Years")</f>
        <v>3-5 Years</v>
      </c>
    </row>
    <row r="1305" spans="1:41"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tr">
        <f t="shared" si="40"/>
        <v>Operations</v>
      </c>
      <c r="AK1305">
        <f t="shared" si="41"/>
        <v>0</v>
      </c>
      <c r="AL1305">
        <f>IF(Table1[[#This Row],[Attrition]]="Yes", Table1[[#This Row],[MonthlyIncome]]*12*1.5, 0)</f>
        <v>0</v>
      </c>
      <c r="AM1305" t="str" cm="1">
        <f t="array" ref="AM1305">_xlfn.IFS(
Table1[[#This Row],[MonthlyIncome]]&lt;3000,"Under 3K",
Table1[[#This Row],[MonthlyIncome]]&lt;6000,"3K-6K",
Table1[[#This Row],[MonthlyIncome]]&lt;9000,"6K-9K",
Table1[[#This Row],[MonthlyIncome]]&lt;12000,"9K-12K",
TRUE,"12K+")</f>
        <v>9K-12K</v>
      </c>
      <c r="AN1305">
        <f>1</f>
        <v>1</v>
      </c>
      <c r="AO1305" t="str" cm="1">
        <f t="array" ref="AO1305">_xlfn.IFS(
Table1[[#This Row],[YearsAtCompany]]&lt;=2,"0-2 Years",
Table1[[#This Row],[YearsAtCompany]]&lt;=5,"3-5 Years",
Table1[[#This Row],[YearsAtCompany]]&lt;=10,"6-10 Years",
TRUE,"10+ Years")</f>
        <v>10+ Years</v>
      </c>
    </row>
    <row r="1306" spans="1:41"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tr">
        <f t="shared" si="40"/>
        <v>Healthcare</v>
      </c>
      <c r="AK1306">
        <f t="shared" si="41"/>
        <v>0</v>
      </c>
      <c r="AL1306">
        <f>IF(Table1[[#This Row],[Attrition]]="Yes", Table1[[#This Row],[MonthlyIncome]]*12*1.5, 0)</f>
        <v>0</v>
      </c>
      <c r="AM1306" t="str" cm="1">
        <f t="array" ref="AM1306">_xlfn.IFS(
Table1[[#This Row],[MonthlyIncome]]&lt;3000,"Under 3K",
Table1[[#This Row],[MonthlyIncome]]&lt;6000,"3K-6K",
Table1[[#This Row],[MonthlyIncome]]&lt;9000,"6K-9K",
Table1[[#This Row],[MonthlyIncome]]&lt;12000,"9K-12K",
TRUE,"12K+")</f>
        <v>3K-6K</v>
      </c>
      <c r="AN1306">
        <f>1</f>
        <v>1</v>
      </c>
      <c r="AO1306" t="str" cm="1">
        <f t="array" ref="AO1306">_xlfn.IFS(
Table1[[#This Row],[YearsAtCompany]]&lt;=2,"0-2 Years",
Table1[[#This Row],[YearsAtCompany]]&lt;=5,"3-5 Years",
Table1[[#This Row],[YearsAtCompany]]&lt;=10,"6-10 Years",
TRUE,"10+ Years")</f>
        <v>6-10 Years</v>
      </c>
    </row>
    <row r="1307" spans="1:41"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tr">
        <f t="shared" si="40"/>
        <v>Research</v>
      </c>
      <c r="AK1307">
        <f t="shared" si="41"/>
        <v>0</v>
      </c>
      <c r="AL1307">
        <f>IF(Table1[[#This Row],[Attrition]]="Yes", Table1[[#This Row],[MonthlyIncome]]*12*1.5, 0)</f>
        <v>0</v>
      </c>
      <c r="AM1307" t="str" cm="1">
        <f t="array" ref="AM1307">_xlfn.IFS(
Table1[[#This Row],[MonthlyIncome]]&lt;3000,"Under 3K",
Table1[[#This Row],[MonthlyIncome]]&lt;6000,"3K-6K",
Table1[[#This Row],[MonthlyIncome]]&lt;9000,"6K-9K",
Table1[[#This Row],[MonthlyIncome]]&lt;12000,"9K-12K",
TRUE,"12K+")</f>
        <v>6K-9K</v>
      </c>
      <c r="AN1307">
        <f>1</f>
        <v>1</v>
      </c>
      <c r="AO1307" t="str" cm="1">
        <f t="array" ref="AO1307">_xlfn.IFS(
Table1[[#This Row],[YearsAtCompany]]&lt;=2,"0-2 Years",
Table1[[#This Row],[YearsAtCompany]]&lt;=5,"3-5 Years",
Table1[[#This Row],[YearsAtCompany]]&lt;=10,"6-10 Years",
TRUE,"10+ Years")</f>
        <v>6-10 Years</v>
      </c>
    </row>
    <row r="1308" spans="1:41"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tr">
        <f t="shared" si="40"/>
        <v>Sales</v>
      </c>
      <c r="AK1308">
        <f t="shared" si="41"/>
        <v>0</v>
      </c>
      <c r="AL1308">
        <f>IF(Table1[[#This Row],[Attrition]]="Yes", Table1[[#This Row],[MonthlyIncome]]*12*1.5, 0)</f>
        <v>0</v>
      </c>
      <c r="AM1308" t="str" cm="1">
        <f t="array" ref="AM1308">_xlfn.IFS(
Table1[[#This Row],[MonthlyIncome]]&lt;3000,"Under 3K",
Table1[[#This Row],[MonthlyIncome]]&lt;6000,"3K-6K",
Table1[[#This Row],[MonthlyIncome]]&lt;9000,"6K-9K",
Table1[[#This Row],[MonthlyIncome]]&lt;12000,"9K-12K",
TRUE,"12K+")</f>
        <v>9K-12K</v>
      </c>
      <c r="AN1308">
        <f>1</f>
        <v>1</v>
      </c>
      <c r="AO1308" t="str" cm="1">
        <f t="array" ref="AO1308">_xlfn.IFS(
Table1[[#This Row],[YearsAtCompany]]&lt;=2,"0-2 Years",
Table1[[#This Row],[YearsAtCompany]]&lt;=5,"3-5 Years",
Table1[[#This Row],[YearsAtCompany]]&lt;=10,"6-10 Years",
TRUE,"10+ Years")</f>
        <v>3-5 Years</v>
      </c>
    </row>
    <row r="1309" spans="1:41"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tr">
        <f t="shared" si="40"/>
        <v>Research</v>
      </c>
      <c r="AK1309">
        <f t="shared" si="41"/>
        <v>0</v>
      </c>
      <c r="AL1309">
        <f>IF(Table1[[#This Row],[Attrition]]="Yes", Table1[[#This Row],[MonthlyIncome]]*12*1.5, 0)</f>
        <v>0</v>
      </c>
      <c r="AM1309" t="str" cm="1">
        <f t="array" ref="AM1309">_xlfn.IFS(
Table1[[#This Row],[MonthlyIncome]]&lt;3000,"Under 3K",
Table1[[#This Row],[MonthlyIncome]]&lt;6000,"3K-6K",
Table1[[#This Row],[MonthlyIncome]]&lt;9000,"6K-9K",
Table1[[#This Row],[MonthlyIncome]]&lt;12000,"9K-12K",
TRUE,"12K+")</f>
        <v>3K-6K</v>
      </c>
      <c r="AN1309">
        <f>1</f>
        <v>1</v>
      </c>
      <c r="AO1309" t="str" cm="1">
        <f t="array" ref="AO1309">_xlfn.IFS(
Table1[[#This Row],[YearsAtCompany]]&lt;=2,"0-2 Years",
Table1[[#This Row],[YearsAtCompany]]&lt;=5,"3-5 Years",
Table1[[#This Row],[YearsAtCompany]]&lt;=10,"6-10 Years",
TRUE,"10+ Years")</f>
        <v>3-5 Years</v>
      </c>
    </row>
    <row r="1310" spans="1:41"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tr">
        <f t="shared" si="40"/>
        <v>Sales</v>
      </c>
      <c r="AK1310">
        <f t="shared" si="41"/>
        <v>0</v>
      </c>
      <c r="AL1310">
        <f>IF(Table1[[#This Row],[Attrition]]="Yes", Table1[[#This Row],[MonthlyIncome]]*12*1.5, 0)</f>
        <v>0</v>
      </c>
      <c r="AM1310" t="str" cm="1">
        <f t="array" ref="AM1310">_xlfn.IFS(
Table1[[#This Row],[MonthlyIncome]]&lt;3000,"Under 3K",
Table1[[#This Row],[MonthlyIncome]]&lt;6000,"3K-6K",
Table1[[#This Row],[MonthlyIncome]]&lt;9000,"6K-9K",
Table1[[#This Row],[MonthlyIncome]]&lt;12000,"9K-12K",
TRUE,"12K+")</f>
        <v>3K-6K</v>
      </c>
      <c r="AN1310">
        <f>1</f>
        <v>1</v>
      </c>
      <c r="AO1310" t="str" cm="1">
        <f t="array" ref="AO1310">_xlfn.IFS(
Table1[[#This Row],[YearsAtCompany]]&lt;=2,"0-2 Years",
Table1[[#This Row],[YearsAtCompany]]&lt;=5,"3-5 Years",
Table1[[#This Row],[YearsAtCompany]]&lt;=10,"6-10 Years",
TRUE,"10+ Years")</f>
        <v>3-5 Years</v>
      </c>
    </row>
    <row r="1311" spans="1:41"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tr">
        <f t="shared" si="40"/>
        <v>Sales</v>
      </c>
      <c r="AK1311">
        <f t="shared" si="41"/>
        <v>0</v>
      </c>
      <c r="AL1311">
        <f>IF(Table1[[#This Row],[Attrition]]="Yes", Table1[[#This Row],[MonthlyIncome]]*12*1.5, 0)</f>
        <v>0</v>
      </c>
      <c r="AM1311" t="str" cm="1">
        <f t="array" ref="AM1311">_xlfn.IFS(
Table1[[#This Row],[MonthlyIncome]]&lt;3000,"Under 3K",
Table1[[#This Row],[MonthlyIncome]]&lt;6000,"3K-6K",
Table1[[#This Row],[MonthlyIncome]]&lt;9000,"6K-9K",
Table1[[#This Row],[MonthlyIncome]]&lt;12000,"9K-12K",
TRUE,"12K+")</f>
        <v>3K-6K</v>
      </c>
      <c r="AN1311">
        <f>1</f>
        <v>1</v>
      </c>
      <c r="AO1311" t="str" cm="1">
        <f t="array" ref="AO1311">_xlfn.IFS(
Table1[[#This Row],[YearsAtCompany]]&lt;=2,"0-2 Years",
Table1[[#This Row],[YearsAtCompany]]&lt;=5,"3-5 Years",
Table1[[#This Row],[YearsAtCompany]]&lt;=10,"6-10 Years",
TRUE,"10+ Years")</f>
        <v>3-5 Years</v>
      </c>
    </row>
    <row r="1312" spans="1:41"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tr">
        <f t="shared" si="40"/>
        <v>Research</v>
      </c>
      <c r="AK1312">
        <f t="shared" si="41"/>
        <v>0</v>
      </c>
      <c r="AL1312">
        <f>IF(Table1[[#This Row],[Attrition]]="Yes", Table1[[#This Row],[MonthlyIncome]]*12*1.5, 0)</f>
        <v>0</v>
      </c>
      <c r="AM1312" t="str" cm="1">
        <f t="array" ref="AM1312">_xlfn.IFS(
Table1[[#This Row],[MonthlyIncome]]&lt;3000,"Under 3K",
Table1[[#This Row],[MonthlyIncome]]&lt;6000,"3K-6K",
Table1[[#This Row],[MonthlyIncome]]&lt;9000,"6K-9K",
Table1[[#This Row],[MonthlyIncome]]&lt;12000,"9K-12K",
TRUE,"12K+")</f>
        <v>12K+</v>
      </c>
      <c r="AN1312">
        <f>1</f>
        <v>1</v>
      </c>
      <c r="AO1312" t="str" cm="1">
        <f t="array" ref="AO1312">_xlfn.IFS(
Table1[[#This Row],[YearsAtCompany]]&lt;=2,"0-2 Years",
Table1[[#This Row],[YearsAtCompany]]&lt;=5,"3-5 Years",
Table1[[#This Row],[YearsAtCompany]]&lt;=10,"6-10 Years",
TRUE,"10+ Years")</f>
        <v>0-2 Years</v>
      </c>
    </row>
    <row r="1313" spans="1:41"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tr">
        <f t="shared" si="40"/>
        <v>Research</v>
      </c>
      <c r="AK1313">
        <f t="shared" si="41"/>
        <v>0</v>
      </c>
      <c r="AL1313">
        <f>IF(Table1[[#This Row],[Attrition]]="Yes", Table1[[#This Row],[MonthlyIncome]]*12*1.5, 0)</f>
        <v>0</v>
      </c>
      <c r="AM1313" t="str" cm="1">
        <f t="array" ref="AM1313">_xlfn.IFS(
Table1[[#This Row],[MonthlyIncome]]&lt;3000,"Under 3K",
Table1[[#This Row],[MonthlyIncome]]&lt;6000,"3K-6K",
Table1[[#This Row],[MonthlyIncome]]&lt;9000,"6K-9K",
Table1[[#This Row],[MonthlyIncome]]&lt;12000,"9K-12K",
TRUE,"12K+")</f>
        <v>Under 3K</v>
      </c>
      <c r="AN1313">
        <f>1</f>
        <v>1</v>
      </c>
      <c r="AO1313" t="str" cm="1">
        <f t="array" ref="AO1313">_xlfn.IFS(
Table1[[#This Row],[YearsAtCompany]]&lt;=2,"0-2 Years",
Table1[[#This Row],[YearsAtCompany]]&lt;=5,"3-5 Years",
Table1[[#This Row],[YearsAtCompany]]&lt;=10,"6-10 Years",
TRUE,"10+ Years")</f>
        <v>0-2 Years</v>
      </c>
    </row>
    <row r="1314" spans="1:41"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tr">
        <f t="shared" si="40"/>
        <v>Human Resources</v>
      </c>
      <c r="AK1314">
        <f t="shared" si="41"/>
        <v>1</v>
      </c>
      <c r="AL1314">
        <f>IF(Table1[[#This Row],[Attrition]]="Yes", Table1[[#This Row],[MonthlyIncome]]*12*1.5, 0)</f>
        <v>53208</v>
      </c>
      <c r="AM1314" t="str" cm="1">
        <f t="array" ref="AM1314">_xlfn.IFS(
Table1[[#This Row],[MonthlyIncome]]&lt;3000,"Under 3K",
Table1[[#This Row],[MonthlyIncome]]&lt;6000,"3K-6K",
Table1[[#This Row],[MonthlyIncome]]&lt;9000,"6K-9K",
Table1[[#This Row],[MonthlyIncome]]&lt;12000,"9K-12K",
TRUE,"12K+")</f>
        <v>Under 3K</v>
      </c>
      <c r="AN1314">
        <f>1</f>
        <v>1</v>
      </c>
      <c r="AO1314" t="str" cm="1">
        <f t="array" ref="AO1314">_xlfn.IFS(
Table1[[#This Row],[YearsAtCompany]]&lt;=2,"0-2 Years",
Table1[[#This Row],[YearsAtCompany]]&lt;=5,"3-5 Years",
Table1[[#This Row],[YearsAtCompany]]&lt;=10,"6-10 Years",
TRUE,"10+ Years")</f>
        <v>0-2 Years</v>
      </c>
    </row>
    <row r="1315" spans="1:41"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tr">
        <f t="shared" si="40"/>
        <v>Human Resources</v>
      </c>
      <c r="AK1315">
        <f t="shared" si="41"/>
        <v>1</v>
      </c>
      <c r="AL1315">
        <f>IF(Table1[[#This Row],[Attrition]]="Yes", Table1[[#This Row],[MonthlyIncome]]*12*1.5, 0)</f>
        <v>42030</v>
      </c>
      <c r="AM1315" t="str" cm="1">
        <f t="array" ref="AM1315">_xlfn.IFS(
Table1[[#This Row],[MonthlyIncome]]&lt;3000,"Under 3K",
Table1[[#This Row],[MonthlyIncome]]&lt;6000,"3K-6K",
Table1[[#This Row],[MonthlyIncome]]&lt;9000,"6K-9K",
Table1[[#This Row],[MonthlyIncome]]&lt;12000,"9K-12K",
TRUE,"12K+")</f>
        <v>Under 3K</v>
      </c>
      <c r="AN1315">
        <f>1</f>
        <v>1</v>
      </c>
      <c r="AO1315" t="str" cm="1">
        <f t="array" ref="AO1315">_xlfn.IFS(
Table1[[#This Row],[YearsAtCompany]]&lt;=2,"0-2 Years",
Table1[[#This Row],[YearsAtCompany]]&lt;=5,"3-5 Years",
Table1[[#This Row],[YearsAtCompany]]&lt;=10,"6-10 Years",
TRUE,"10+ Years")</f>
        <v>0-2 Years</v>
      </c>
    </row>
    <row r="1316" spans="1:41"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tr">
        <f t="shared" si="40"/>
        <v>Sales</v>
      </c>
      <c r="AK1316">
        <f t="shared" si="41"/>
        <v>0</v>
      </c>
      <c r="AL1316">
        <f>IF(Table1[[#This Row],[Attrition]]="Yes", Table1[[#This Row],[MonthlyIncome]]*12*1.5, 0)</f>
        <v>0</v>
      </c>
      <c r="AM1316" t="str" cm="1">
        <f t="array" ref="AM1316">_xlfn.IFS(
Table1[[#This Row],[MonthlyIncome]]&lt;3000,"Under 3K",
Table1[[#This Row],[MonthlyIncome]]&lt;6000,"3K-6K",
Table1[[#This Row],[MonthlyIncome]]&lt;9000,"6K-9K",
Table1[[#This Row],[MonthlyIncome]]&lt;12000,"9K-12K",
TRUE,"12K+")</f>
        <v>3K-6K</v>
      </c>
      <c r="AN1316">
        <f>1</f>
        <v>1</v>
      </c>
      <c r="AO1316" t="str" cm="1">
        <f t="array" ref="AO1316">_xlfn.IFS(
Table1[[#This Row],[YearsAtCompany]]&lt;=2,"0-2 Years",
Table1[[#This Row],[YearsAtCompany]]&lt;=5,"3-5 Years",
Table1[[#This Row],[YearsAtCompany]]&lt;=10,"6-10 Years",
TRUE,"10+ Years")</f>
        <v>6-10 Years</v>
      </c>
    </row>
    <row r="1317" spans="1:41"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tr">
        <f t="shared" si="40"/>
        <v>Research</v>
      </c>
      <c r="AK1317">
        <f t="shared" si="41"/>
        <v>0</v>
      </c>
      <c r="AL1317">
        <f>IF(Table1[[#This Row],[Attrition]]="Yes", Table1[[#This Row],[MonthlyIncome]]*12*1.5, 0)</f>
        <v>0</v>
      </c>
      <c r="AM1317" t="str" cm="1">
        <f t="array" ref="AM1317">_xlfn.IFS(
Table1[[#This Row],[MonthlyIncome]]&lt;3000,"Under 3K",
Table1[[#This Row],[MonthlyIncome]]&lt;6000,"3K-6K",
Table1[[#This Row],[MonthlyIncome]]&lt;9000,"6K-9K",
Table1[[#This Row],[MonthlyIncome]]&lt;12000,"9K-12K",
TRUE,"12K+")</f>
        <v>6K-9K</v>
      </c>
      <c r="AN1317">
        <f>1</f>
        <v>1</v>
      </c>
      <c r="AO1317" t="str" cm="1">
        <f t="array" ref="AO1317">_xlfn.IFS(
Table1[[#This Row],[YearsAtCompany]]&lt;=2,"0-2 Years",
Table1[[#This Row],[YearsAtCompany]]&lt;=5,"3-5 Years",
Table1[[#This Row],[YearsAtCompany]]&lt;=10,"6-10 Years",
TRUE,"10+ Years")</f>
        <v>0-2 Years</v>
      </c>
    </row>
    <row r="1318" spans="1:41"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tr">
        <f t="shared" si="40"/>
        <v>Sales</v>
      </c>
      <c r="AK1318">
        <f t="shared" si="41"/>
        <v>0</v>
      </c>
      <c r="AL1318">
        <f>IF(Table1[[#This Row],[Attrition]]="Yes", Table1[[#This Row],[MonthlyIncome]]*12*1.5, 0)</f>
        <v>0</v>
      </c>
      <c r="AM1318" t="str" cm="1">
        <f t="array" ref="AM1318">_xlfn.IFS(
Table1[[#This Row],[MonthlyIncome]]&lt;3000,"Under 3K",
Table1[[#This Row],[MonthlyIncome]]&lt;6000,"3K-6K",
Table1[[#This Row],[MonthlyIncome]]&lt;9000,"6K-9K",
Table1[[#This Row],[MonthlyIncome]]&lt;12000,"9K-12K",
TRUE,"12K+")</f>
        <v>3K-6K</v>
      </c>
      <c r="AN1318">
        <f>1</f>
        <v>1</v>
      </c>
      <c r="AO1318" t="str" cm="1">
        <f t="array" ref="AO1318">_xlfn.IFS(
Table1[[#This Row],[YearsAtCompany]]&lt;=2,"0-2 Years",
Table1[[#This Row],[YearsAtCompany]]&lt;=5,"3-5 Years",
Table1[[#This Row],[YearsAtCompany]]&lt;=10,"6-10 Years",
TRUE,"10+ Years")</f>
        <v>6-10 Years</v>
      </c>
    </row>
    <row r="1319" spans="1:41"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tr">
        <f t="shared" si="40"/>
        <v>Research</v>
      </c>
      <c r="AK1319">
        <f t="shared" si="41"/>
        <v>0</v>
      </c>
      <c r="AL1319">
        <f>IF(Table1[[#This Row],[Attrition]]="Yes", Table1[[#This Row],[MonthlyIncome]]*12*1.5, 0)</f>
        <v>0</v>
      </c>
      <c r="AM1319" t="str" cm="1">
        <f t="array" ref="AM1319">_xlfn.IFS(
Table1[[#This Row],[MonthlyIncome]]&lt;3000,"Under 3K",
Table1[[#This Row],[MonthlyIncome]]&lt;6000,"3K-6K",
Table1[[#This Row],[MonthlyIncome]]&lt;9000,"6K-9K",
Table1[[#This Row],[MonthlyIncome]]&lt;12000,"9K-12K",
TRUE,"12K+")</f>
        <v>Under 3K</v>
      </c>
      <c r="AN1319">
        <f>1</f>
        <v>1</v>
      </c>
      <c r="AO1319" t="str" cm="1">
        <f t="array" ref="AO1319">_xlfn.IFS(
Table1[[#This Row],[YearsAtCompany]]&lt;=2,"0-2 Years",
Table1[[#This Row],[YearsAtCompany]]&lt;=5,"3-5 Years",
Table1[[#This Row],[YearsAtCompany]]&lt;=10,"6-10 Years",
TRUE,"10+ Years")</f>
        <v>3-5 Years</v>
      </c>
    </row>
    <row r="1320" spans="1:41"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tr">
        <f t="shared" si="40"/>
        <v>Research</v>
      </c>
      <c r="AK1320">
        <f t="shared" si="41"/>
        <v>0</v>
      </c>
      <c r="AL1320">
        <f>IF(Table1[[#This Row],[Attrition]]="Yes", Table1[[#This Row],[MonthlyIncome]]*12*1.5, 0)</f>
        <v>0</v>
      </c>
      <c r="AM1320" t="str" cm="1">
        <f t="array" ref="AM1320">_xlfn.IFS(
Table1[[#This Row],[MonthlyIncome]]&lt;3000,"Under 3K",
Table1[[#This Row],[MonthlyIncome]]&lt;6000,"3K-6K",
Table1[[#This Row],[MonthlyIncome]]&lt;9000,"6K-9K",
Table1[[#This Row],[MonthlyIncome]]&lt;12000,"9K-12K",
TRUE,"12K+")</f>
        <v>3K-6K</v>
      </c>
      <c r="AN1320">
        <f>1</f>
        <v>1</v>
      </c>
      <c r="AO1320" t="str" cm="1">
        <f t="array" ref="AO1320">_xlfn.IFS(
Table1[[#This Row],[YearsAtCompany]]&lt;=2,"0-2 Years",
Table1[[#This Row],[YearsAtCompany]]&lt;=5,"3-5 Years",
Table1[[#This Row],[YearsAtCompany]]&lt;=10,"6-10 Years",
TRUE,"10+ Years")</f>
        <v>10+ Years</v>
      </c>
    </row>
    <row r="1321" spans="1:41"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tr">
        <f t="shared" si="40"/>
        <v>Sales</v>
      </c>
      <c r="AK1321">
        <f t="shared" si="41"/>
        <v>0</v>
      </c>
      <c r="AL1321">
        <f>IF(Table1[[#This Row],[Attrition]]="Yes", Table1[[#This Row],[MonthlyIncome]]*12*1.5, 0)</f>
        <v>0</v>
      </c>
      <c r="AM1321" t="str" cm="1">
        <f t="array" ref="AM1321">_xlfn.IFS(
Table1[[#This Row],[MonthlyIncome]]&lt;3000,"Under 3K",
Table1[[#This Row],[MonthlyIncome]]&lt;6000,"3K-6K",
Table1[[#This Row],[MonthlyIncome]]&lt;9000,"6K-9K",
Table1[[#This Row],[MonthlyIncome]]&lt;12000,"9K-12K",
TRUE,"12K+")</f>
        <v>3K-6K</v>
      </c>
      <c r="AN1321">
        <f>1</f>
        <v>1</v>
      </c>
      <c r="AO1321" t="str" cm="1">
        <f t="array" ref="AO1321">_xlfn.IFS(
Table1[[#This Row],[YearsAtCompany]]&lt;=2,"0-2 Years",
Table1[[#This Row],[YearsAtCompany]]&lt;=5,"3-5 Years",
Table1[[#This Row],[YearsAtCompany]]&lt;=10,"6-10 Years",
TRUE,"10+ Years")</f>
        <v>0-2 Years</v>
      </c>
    </row>
    <row r="1322" spans="1:41"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tr">
        <f t="shared" si="40"/>
        <v>Research</v>
      </c>
      <c r="AK1322">
        <f t="shared" si="41"/>
        <v>0</v>
      </c>
      <c r="AL1322">
        <f>IF(Table1[[#This Row],[Attrition]]="Yes", Table1[[#This Row],[MonthlyIncome]]*12*1.5, 0)</f>
        <v>0</v>
      </c>
      <c r="AM1322" t="str" cm="1">
        <f t="array" ref="AM1322">_xlfn.IFS(
Table1[[#This Row],[MonthlyIncome]]&lt;3000,"Under 3K",
Table1[[#This Row],[MonthlyIncome]]&lt;6000,"3K-6K",
Table1[[#This Row],[MonthlyIncome]]&lt;9000,"6K-9K",
Table1[[#This Row],[MonthlyIncome]]&lt;12000,"9K-12K",
TRUE,"12K+")</f>
        <v>Under 3K</v>
      </c>
      <c r="AN1322">
        <f>1</f>
        <v>1</v>
      </c>
      <c r="AO1322" t="str" cm="1">
        <f t="array" ref="AO1322">_xlfn.IFS(
Table1[[#This Row],[YearsAtCompany]]&lt;=2,"0-2 Years",
Table1[[#This Row],[YearsAtCompany]]&lt;=5,"3-5 Years",
Table1[[#This Row],[YearsAtCompany]]&lt;=10,"6-10 Years",
TRUE,"10+ Years")</f>
        <v>6-10 Years</v>
      </c>
    </row>
    <row r="1323" spans="1:41"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tr">
        <f t="shared" si="40"/>
        <v>Research</v>
      </c>
      <c r="AK1323">
        <f t="shared" si="41"/>
        <v>0</v>
      </c>
      <c r="AL1323">
        <f>IF(Table1[[#This Row],[Attrition]]="Yes", Table1[[#This Row],[MonthlyIncome]]*12*1.5, 0)</f>
        <v>0</v>
      </c>
      <c r="AM1323" t="str" cm="1">
        <f t="array" ref="AM1323">_xlfn.IFS(
Table1[[#This Row],[MonthlyIncome]]&lt;3000,"Under 3K",
Table1[[#This Row],[MonthlyIncome]]&lt;6000,"3K-6K",
Table1[[#This Row],[MonthlyIncome]]&lt;9000,"6K-9K",
Table1[[#This Row],[MonthlyIncome]]&lt;12000,"9K-12K",
TRUE,"12K+")</f>
        <v>Under 3K</v>
      </c>
      <c r="AN1323">
        <f>1</f>
        <v>1</v>
      </c>
      <c r="AO1323" t="str" cm="1">
        <f t="array" ref="AO1323">_xlfn.IFS(
Table1[[#This Row],[YearsAtCompany]]&lt;=2,"0-2 Years",
Table1[[#This Row],[YearsAtCompany]]&lt;=5,"3-5 Years",
Table1[[#This Row],[YearsAtCompany]]&lt;=10,"6-10 Years",
TRUE,"10+ Years")</f>
        <v>0-2 Years</v>
      </c>
    </row>
    <row r="1324" spans="1:41"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tr">
        <f t="shared" si="40"/>
        <v>Operations</v>
      </c>
      <c r="AK1324">
        <f t="shared" si="41"/>
        <v>0</v>
      </c>
      <c r="AL1324">
        <f>IF(Table1[[#This Row],[Attrition]]="Yes", Table1[[#This Row],[MonthlyIncome]]*12*1.5, 0)</f>
        <v>0</v>
      </c>
      <c r="AM1324" t="str" cm="1">
        <f t="array" ref="AM1324">_xlfn.IFS(
Table1[[#This Row],[MonthlyIncome]]&lt;3000,"Under 3K",
Table1[[#This Row],[MonthlyIncome]]&lt;6000,"3K-6K",
Table1[[#This Row],[MonthlyIncome]]&lt;9000,"6K-9K",
Table1[[#This Row],[MonthlyIncome]]&lt;12000,"9K-12K",
TRUE,"12K+")</f>
        <v>6K-9K</v>
      </c>
      <c r="AN1324">
        <f>1</f>
        <v>1</v>
      </c>
      <c r="AO1324" t="str" cm="1">
        <f t="array" ref="AO1324">_xlfn.IFS(
Table1[[#This Row],[YearsAtCompany]]&lt;=2,"0-2 Years",
Table1[[#This Row],[YearsAtCompany]]&lt;=5,"3-5 Years",
Table1[[#This Row],[YearsAtCompany]]&lt;=10,"6-10 Years",
TRUE,"10+ Years")</f>
        <v>6-10 Years</v>
      </c>
    </row>
    <row r="1325" spans="1:41"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tr">
        <f t="shared" si="40"/>
        <v>Human Resources</v>
      </c>
      <c r="AK1325">
        <f t="shared" si="41"/>
        <v>0</v>
      </c>
      <c r="AL1325">
        <f>IF(Table1[[#This Row],[Attrition]]="Yes", Table1[[#This Row],[MonthlyIncome]]*12*1.5, 0)</f>
        <v>0</v>
      </c>
      <c r="AM1325" t="str" cm="1">
        <f t="array" ref="AM1325">_xlfn.IFS(
Table1[[#This Row],[MonthlyIncome]]&lt;3000,"Under 3K",
Table1[[#This Row],[MonthlyIncome]]&lt;6000,"3K-6K",
Table1[[#This Row],[MonthlyIncome]]&lt;9000,"6K-9K",
Table1[[#This Row],[MonthlyIncome]]&lt;12000,"9K-12K",
TRUE,"12K+")</f>
        <v>Under 3K</v>
      </c>
      <c r="AN1325">
        <f>1</f>
        <v>1</v>
      </c>
      <c r="AO1325" t="str" cm="1">
        <f t="array" ref="AO1325">_xlfn.IFS(
Table1[[#This Row],[YearsAtCompany]]&lt;=2,"0-2 Years",
Table1[[#This Row],[YearsAtCompany]]&lt;=5,"3-5 Years",
Table1[[#This Row],[YearsAtCompany]]&lt;=10,"6-10 Years",
TRUE,"10+ Years")</f>
        <v>3-5 Years</v>
      </c>
    </row>
    <row r="1326" spans="1:41"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tr">
        <f t="shared" si="40"/>
        <v>Healthcare</v>
      </c>
      <c r="AK1326">
        <f t="shared" si="41"/>
        <v>0</v>
      </c>
      <c r="AL1326">
        <f>IF(Table1[[#This Row],[Attrition]]="Yes", Table1[[#This Row],[MonthlyIncome]]*12*1.5, 0)</f>
        <v>0</v>
      </c>
      <c r="AM1326" t="str" cm="1">
        <f t="array" ref="AM1326">_xlfn.IFS(
Table1[[#This Row],[MonthlyIncome]]&lt;3000,"Under 3K",
Table1[[#This Row],[MonthlyIncome]]&lt;6000,"3K-6K",
Table1[[#This Row],[MonthlyIncome]]&lt;9000,"6K-9K",
Table1[[#This Row],[MonthlyIncome]]&lt;12000,"9K-12K",
TRUE,"12K+")</f>
        <v>6K-9K</v>
      </c>
      <c r="AN1326">
        <f>1</f>
        <v>1</v>
      </c>
      <c r="AO1326" t="str" cm="1">
        <f t="array" ref="AO1326">_xlfn.IFS(
Table1[[#This Row],[YearsAtCompany]]&lt;=2,"0-2 Years",
Table1[[#This Row],[YearsAtCompany]]&lt;=5,"3-5 Years",
Table1[[#This Row],[YearsAtCompany]]&lt;=10,"6-10 Years",
TRUE,"10+ Years")</f>
        <v>6-10 Years</v>
      </c>
    </row>
    <row r="1327" spans="1:41"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tr">
        <f t="shared" si="40"/>
        <v>Research</v>
      </c>
      <c r="AK1327">
        <f t="shared" si="41"/>
        <v>0</v>
      </c>
      <c r="AL1327">
        <f>IF(Table1[[#This Row],[Attrition]]="Yes", Table1[[#This Row],[MonthlyIncome]]*12*1.5, 0)</f>
        <v>0</v>
      </c>
      <c r="AM1327" t="str" cm="1">
        <f t="array" ref="AM1327">_xlfn.IFS(
Table1[[#This Row],[MonthlyIncome]]&lt;3000,"Under 3K",
Table1[[#This Row],[MonthlyIncome]]&lt;6000,"3K-6K",
Table1[[#This Row],[MonthlyIncome]]&lt;9000,"6K-9K",
Table1[[#This Row],[MonthlyIncome]]&lt;12000,"9K-12K",
TRUE,"12K+")</f>
        <v>3K-6K</v>
      </c>
      <c r="AN1327">
        <f>1</f>
        <v>1</v>
      </c>
      <c r="AO1327" t="str" cm="1">
        <f t="array" ref="AO1327">_xlfn.IFS(
Table1[[#This Row],[YearsAtCompany]]&lt;=2,"0-2 Years",
Table1[[#This Row],[YearsAtCompany]]&lt;=5,"3-5 Years",
Table1[[#This Row],[YearsAtCompany]]&lt;=10,"6-10 Years",
TRUE,"10+ Years")</f>
        <v>0-2 Years</v>
      </c>
    </row>
    <row r="1328" spans="1:41"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tr">
        <f t="shared" si="40"/>
        <v>Sales</v>
      </c>
      <c r="AK1328">
        <f t="shared" si="41"/>
        <v>1</v>
      </c>
      <c r="AL1328">
        <f>IF(Table1[[#This Row],[Attrition]]="Yes", Table1[[#This Row],[MonthlyIncome]]*12*1.5, 0)</f>
        <v>178326</v>
      </c>
      <c r="AM1328" t="str" cm="1">
        <f t="array" ref="AM1328">_xlfn.IFS(
Table1[[#This Row],[MonthlyIncome]]&lt;3000,"Under 3K",
Table1[[#This Row],[MonthlyIncome]]&lt;6000,"3K-6K",
Table1[[#This Row],[MonthlyIncome]]&lt;9000,"6K-9K",
Table1[[#This Row],[MonthlyIncome]]&lt;12000,"9K-12K",
TRUE,"12K+")</f>
        <v>9K-12K</v>
      </c>
      <c r="AN1328">
        <f>1</f>
        <v>1</v>
      </c>
      <c r="AO1328" t="str" cm="1">
        <f t="array" ref="AO1328">_xlfn.IFS(
Table1[[#This Row],[YearsAtCompany]]&lt;=2,"0-2 Years",
Table1[[#This Row],[YearsAtCompany]]&lt;=5,"3-5 Years",
Table1[[#This Row],[YearsAtCompany]]&lt;=10,"6-10 Years",
TRUE,"10+ Years")</f>
        <v>0-2 Years</v>
      </c>
    </row>
    <row r="1329" spans="1:41"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tr">
        <f t="shared" si="40"/>
        <v>Sales</v>
      </c>
      <c r="AK1329">
        <f t="shared" si="41"/>
        <v>0</v>
      </c>
      <c r="AL1329">
        <f>IF(Table1[[#This Row],[Attrition]]="Yes", Table1[[#This Row],[MonthlyIncome]]*12*1.5, 0)</f>
        <v>0</v>
      </c>
      <c r="AM1329" t="str" cm="1">
        <f t="array" ref="AM1329">_xlfn.IFS(
Table1[[#This Row],[MonthlyIncome]]&lt;3000,"Under 3K",
Table1[[#This Row],[MonthlyIncome]]&lt;6000,"3K-6K",
Table1[[#This Row],[MonthlyIncome]]&lt;9000,"6K-9K",
Table1[[#This Row],[MonthlyIncome]]&lt;12000,"9K-12K",
TRUE,"12K+")</f>
        <v>12K+</v>
      </c>
      <c r="AN1329">
        <f>1</f>
        <v>1</v>
      </c>
      <c r="AO1329" t="str" cm="1">
        <f t="array" ref="AO1329">_xlfn.IFS(
Table1[[#This Row],[YearsAtCompany]]&lt;=2,"0-2 Years",
Table1[[#This Row],[YearsAtCompany]]&lt;=5,"3-5 Years",
Table1[[#This Row],[YearsAtCompany]]&lt;=10,"6-10 Years",
TRUE,"10+ Years")</f>
        <v>10+ Years</v>
      </c>
    </row>
    <row r="1330" spans="1:41"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tr">
        <f t="shared" si="40"/>
        <v>Sales</v>
      </c>
      <c r="AK1330">
        <f t="shared" si="41"/>
        <v>0</v>
      </c>
      <c r="AL1330">
        <f>IF(Table1[[#This Row],[Attrition]]="Yes", Table1[[#This Row],[MonthlyIncome]]*12*1.5, 0)</f>
        <v>0</v>
      </c>
      <c r="AM1330" t="str" cm="1">
        <f t="array" ref="AM1330">_xlfn.IFS(
Table1[[#This Row],[MonthlyIncome]]&lt;3000,"Under 3K",
Table1[[#This Row],[MonthlyIncome]]&lt;6000,"3K-6K",
Table1[[#This Row],[MonthlyIncome]]&lt;9000,"6K-9K",
Table1[[#This Row],[MonthlyIncome]]&lt;12000,"9K-12K",
TRUE,"12K+")</f>
        <v>3K-6K</v>
      </c>
      <c r="AN1330">
        <f>1</f>
        <v>1</v>
      </c>
      <c r="AO1330" t="str" cm="1">
        <f t="array" ref="AO1330">_xlfn.IFS(
Table1[[#This Row],[YearsAtCompany]]&lt;=2,"0-2 Years",
Table1[[#This Row],[YearsAtCompany]]&lt;=5,"3-5 Years",
Table1[[#This Row],[YearsAtCompany]]&lt;=10,"6-10 Years",
TRUE,"10+ Years")</f>
        <v>6-10 Years</v>
      </c>
    </row>
    <row r="1331" spans="1:41"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tr">
        <f t="shared" si="40"/>
        <v>Human Resources</v>
      </c>
      <c r="AK1331">
        <f t="shared" si="41"/>
        <v>0</v>
      </c>
      <c r="AL1331">
        <f>IF(Table1[[#This Row],[Attrition]]="Yes", Table1[[#This Row],[MonthlyIncome]]*12*1.5, 0)</f>
        <v>0</v>
      </c>
      <c r="AM1331" t="str" cm="1">
        <f t="array" ref="AM1331">_xlfn.IFS(
Table1[[#This Row],[MonthlyIncome]]&lt;3000,"Under 3K",
Table1[[#This Row],[MonthlyIncome]]&lt;6000,"3K-6K",
Table1[[#This Row],[MonthlyIncome]]&lt;9000,"6K-9K",
Table1[[#This Row],[MonthlyIncome]]&lt;12000,"9K-12K",
TRUE,"12K+")</f>
        <v>Under 3K</v>
      </c>
      <c r="AN1331">
        <f>1</f>
        <v>1</v>
      </c>
      <c r="AO1331" t="str" cm="1">
        <f t="array" ref="AO1331">_xlfn.IFS(
Table1[[#This Row],[YearsAtCompany]]&lt;=2,"0-2 Years",
Table1[[#This Row],[YearsAtCompany]]&lt;=5,"3-5 Years",
Table1[[#This Row],[YearsAtCompany]]&lt;=10,"6-10 Years",
TRUE,"10+ Years")</f>
        <v>0-2 Years</v>
      </c>
    </row>
    <row r="1332" spans="1:41"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tr">
        <f t="shared" si="40"/>
        <v>Management</v>
      </c>
      <c r="AK1332">
        <f t="shared" si="41"/>
        <v>0</v>
      </c>
      <c r="AL1332">
        <f>IF(Table1[[#This Row],[Attrition]]="Yes", Table1[[#This Row],[MonthlyIncome]]*12*1.5, 0)</f>
        <v>0</v>
      </c>
      <c r="AM1332" t="str" cm="1">
        <f t="array" ref="AM1332">_xlfn.IFS(
Table1[[#This Row],[MonthlyIncome]]&lt;3000,"Under 3K",
Table1[[#This Row],[MonthlyIncome]]&lt;6000,"3K-6K",
Table1[[#This Row],[MonthlyIncome]]&lt;9000,"6K-9K",
Table1[[#This Row],[MonthlyIncome]]&lt;12000,"9K-12K",
TRUE,"12K+")</f>
        <v>12K+</v>
      </c>
      <c r="AN1332">
        <f>1</f>
        <v>1</v>
      </c>
      <c r="AO1332" t="str" cm="1">
        <f t="array" ref="AO1332">_xlfn.IFS(
Table1[[#This Row],[YearsAtCompany]]&lt;=2,"0-2 Years",
Table1[[#This Row],[YearsAtCompany]]&lt;=5,"3-5 Years",
Table1[[#This Row],[YearsAtCompany]]&lt;=10,"6-10 Years",
TRUE,"10+ Years")</f>
        <v>10+ Years</v>
      </c>
    </row>
    <row r="1333" spans="1:41"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tr">
        <f t="shared" si="40"/>
        <v>Research</v>
      </c>
      <c r="AK1333">
        <f t="shared" si="41"/>
        <v>0</v>
      </c>
      <c r="AL1333">
        <f>IF(Table1[[#This Row],[Attrition]]="Yes", Table1[[#This Row],[MonthlyIncome]]*12*1.5, 0)</f>
        <v>0</v>
      </c>
      <c r="AM1333" t="str" cm="1">
        <f t="array" ref="AM1333">_xlfn.IFS(
Table1[[#This Row],[MonthlyIncome]]&lt;3000,"Under 3K",
Table1[[#This Row],[MonthlyIncome]]&lt;6000,"3K-6K",
Table1[[#This Row],[MonthlyIncome]]&lt;9000,"6K-9K",
Table1[[#This Row],[MonthlyIncome]]&lt;12000,"9K-12K",
TRUE,"12K+")</f>
        <v>12K+</v>
      </c>
      <c r="AN1333">
        <f>1</f>
        <v>1</v>
      </c>
      <c r="AO1333" t="str" cm="1">
        <f t="array" ref="AO1333">_xlfn.IFS(
Table1[[#This Row],[YearsAtCompany]]&lt;=2,"0-2 Years",
Table1[[#This Row],[YearsAtCompany]]&lt;=5,"3-5 Years",
Table1[[#This Row],[YearsAtCompany]]&lt;=10,"6-10 Years",
TRUE,"10+ Years")</f>
        <v>10+ Years</v>
      </c>
    </row>
    <row r="1334" spans="1:41"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tr">
        <f t="shared" si="40"/>
        <v>Research</v>
      </c>
      <c r="AK1334">
        <f t="shared" si="41"/>
        <v>1</v>
      </c>
      <c r="AL1334">
        <f>IF(Table1[[#This Row],[Attrition]]="Yes", Table1[[#This Row],[MonthlyIncome]]*12*1.5, 0)</f>
        <v>43902</v>
      </c>
      <c r="AM1334" t="str" cm="1">
        <f t="array" ref="AM1334">_xlfn.IFS(
Table1[[#This Row],[MonthlyIncome]]&lt;3000,"Under 3K",
Table1[[#This Row],[MonthlyIncome]]&lt;6000,"3K-6K",
Table1[[#This Row],[MonthlyIncome]]&lt;9000,"6K-9K",
Table1[[#This Row],[MonthlyIncome]]&lt;12000,"9K-12K",
TRUE,"12K+")</f>
        <v>Under 3K</v>
      </c>
      <c r="AN1334">
        <f>1</f>
        <v>1</v>
      </c>
      <c r="AO1334" t="str" cm="1">
        <f t="array" ref="AO1334">_xlfn.IFS(
Table1[[#This Row],[YearsAtCompany]]&lt;=2,"0-2 Years",
Table1[[#This Row],[YearsAtCompany]]&lt;=5,"3-5 Years",
Table1[[#This Row],[YearsAtCompany]]&lt;=10,"6-10 Years",
TRUE,"10+ Years")</f>
        <v>0-2 Years</v>
      </c>
    </row>
    <row r="1335" spans="1:41"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tr">
        <f t="shared" si="40"/>
        <v>Sales</v>
      </c>
      <c r="AK1335">
        <f t="shared" si="41"/>
        <v>1</v>
      </c>
      <c r="AL1335">
        <f>IF(Table1[[#This Row],[Attrition]]="Yes", Table1[[#This Row],[MonthlyIncome]]*12*1.5, 0)</f>
        <v>131652</v>
      </c>
      <c r="AM1335" t="str" cm="1">
        <f t="array" ref="AM1335">_xlfn.IFS(
Table1[[#This Row],[MonthlyIncome]]&lt;3000,"Under 3K",
Table1[[#This Row],[MonthlyIncome]]&lt;6000,"3K-6K",
Table1[[#This Row],[MonthlyIncome]]&lt;9000,"6K-9K",
Table1[[#This Row],[MonthlyIncome]]&lt;12000,"9K-12K",
TRUE,"12K+")</f>
        <v>6K-9K</v>
      </c>
      <c r="AN1335">
        <f>1</f>
        <v>1</v>
      </c>
      <c r="AO1335" t="str" cm="1">
        <f t="array" ref="AO1335">_xlfn.IFS(
Table1[[#This Row],[YearsAtCompany]]&lt;=2,"0-2 Years",
Table1[[#This Row],[YearsAtCompany]]&lt;=5,"3-5 Years",
Table1[[#This Row],[YearsAtCompany]]&lt;=10,"6-10 Years",
TRUE,"10+ Years")</f>
        <v>6-10 Years</v>
      </c>
    </row>
    <row r="1336" spans="1:41"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tr">
        <f t="shared" si="40"/>
        <v>Research</v>
      </c>
      <c r="AK1336">
        <f t="shared" si="41"/>
        <v>0</v>
      </c>
      <c r="AL1336">
        <f>IF(Table1[[#This Row],[Attrition]]="Yes", Table1[[#This Row],[MonthlyIncome]]*12*1.5, 0)</f>
        <v>0</v>
      </c>
      <c r="AM1336" t="str" cm="1">
        <f t="array" ref="AM1336">_xlfn.IFS(
Table1[[#This Row],[MonthlyIncome]]&lt;3000,"Under 3K",
Table1[[#This Row],[MonthlyIncome]]&lt;6000,"3K-6K",
Table1[[#This Row],[MonthlyIncome]]&lt;9000,"6K-9K",
Table1[[#This Row],[MonthlyIncome]]&lt;12000,"9K-12K",
TRUE,"12K+")</f>
        <v>3K-6K</v>
      </c>
      <c r="AN1336">
        <f>1</f>
        <v>1</v>
      </c>
      <c r="AO1336" t="str" cm="1">
        <f t="array" ref="AO1336">_xlfn.IFS(
Table1[[#This Row],[YearsAtCompany]]&lt;=2,"0-2 Years",
Table1[[#This Row],[YearsAtCompany]]&lt;=5,"3-5 Years",
Table1[[#This Row],[YearsAtCompany]]&lt;=10,"6-10 Years",
TRUE,"10+ Years")</f>
        <v>6-10 Years</v>
      </c>
    </row>
    <row r="1337" spans="1:41"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tr">
        <f t="shared" si="40"/>
        <v>Research</v>
      </c>
      <c r="AK1337">
        <f t="shared" si="41"/>
        <v>0</v>
      </c>
      <c r="AL1337">
        <f>IF(Table1[[#This Row],[Attrition]]="Yes", Table1[[#This Row],[MonthlyIncome]]*12*1.5, 0)</f>
        <v>0</v>
      </c>
      <c r="AM1337" t="str" cm="1">
        <f t="array" ref="AM1337">_xlfn.IFS(
Table1[[#This Row],[MonthlyIncome]]&lt;3000,"Under 3K",
Table1[[#This Row],[MonthlyIncome]]&lt;6000,"3K-6K",
Table1[[#This Row],[MonthlyIncome]]&lt;9000,"6K-9K",
Table1[[#This Row],[MonthlyIncome]]&lt;12000,"9K-12K",
TRUE,"12K+")</f>
        <v>3K-6K</v>
      </c>
      <c r="AN1337">
        <f>1</f>
        <v>1</v>
      </c>
      <c r="AO1337" t="str" cm="1">
        <f t="array" ref="AO1337">_xlfn.IFS(
Table1[[#This Row],[YearsAtCompany]]&lt;=2,"0-2 Years",
Table1[[#This Row],[YearsAtCompany]]&lt;=5,"3-5 Years",
Table1[[#This Row],[YearsAtCompany]]&lt;=10,"6-10 Years",
TRUE,"10+ Years")</f>
        <v>0-2 Years</v>
      </c>
    </row>
    <row r="1338" spans="1:41"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tr">
        <f t="shared" si="40"/>
        <v>Research</v>
      </c>
      <c r="AK1338">
        <f t="shared" si="41"/>
        <v>0</v>
      </c>
      <c r="AL1338">
        <f>IF(Table1[[#This Row],[Attrition]]="Yes", Table1[[#This Row],[MonthlyIncome]]*12*1.5, 0)</f>
        <v>0</v>
      </c>
      <c r="AM1338" t="str" cm="1">
        <f t="array" ref="AM1338">_xlfn.IFS(
Table1[[#This Row],[MonthlyIncome]]&lt;3000,"Under 3K",
Table1[[#This Row],[MonthlyIncome]]&lt;6000,"3K-6K",
Table1[[#This Row],[MonthlyIncome]]&lt;9000,"6K-9K",
Table1[[#This Row],[MonthlyIncome]]&lt;12000,"9K-12K",
TRUE,"12K+")</f>
        <v>Under 3K</v>
      </c>
      <c r="AN1338">
        <f>1</f>
        <v>1</v>
      </c>
      <c r="AO1338" t="str" cm="1">
        <f t="array" ref="AO1338">_xlfn.IFS(
Table1[[#This Row],[YearsAtCompany]]&lt;=2,"0-2 Years",
Table1[[#This Row],[YearsAtCompany]]&lt;=5,"3-5 Years",
Table1[[#This Row],[YearsAtCompany]]&lt;=10,"6-10 Years",
TRUE,"10+ Years")</f>
        <v>3-5 Years</v>
      </c>
    </row>
    <row r="1339" spans="1:41"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tr">
        <f t="shared" si="40"/>
        <v>Sales</v>
      </c>
      <c r="AK1339">
        <f t="shared" si="41"/>
        <v>0</v>
      </c>
      <c r="AL1339">
        <f>IF(Table1[[#This Row],[Attrition]]="Yes", Table1[[#This Row],[MonthlyIncome]]*12*1.5, 0)</f>
        <v>0</v>
      </c>
      <c r="AM1339" t="str" cm="1">
        <f t="array" ref="AM1339">_xlfn.IFS(
Table1[[#This Row],[MonthlyIncome]]&lt;3000,"Under 3K",
Table1[[#This Row],[MonthlyIncome]]&lt;6000,"3K-6K",
Table1[[#This Row],[MonthlyIncome]]&lt;9000,"6K-9K",
Table1[[#This Row],[MonthlyIncome]]&lt;12000,"9K-12K",
TRUE,"12K+")</f>
        <v>Under 3K</v>
      </c>
      <c r="AN1339">
        <f>1</f>
        <v>1</v>
      </c>
      <c r="AO1339" t="str" cm="1">
        <f t="array" ref="AO1339">_xlfn.IFS(
Table1[[#This Row],[YearsAtCompany]]&lt;=2,"0-2 Years",
Table1[[#This Row],[YearsAtCompany]]&lt;=5,"3-5 Years",
Table1[[#This Row],[YearsAtCompany]]&lt;=10,"6-10 Years",
TRUE,"10+ Years")</f>
        <v>0-2 Years</v>
      </c>
    </row>
    <row r="1340" spans="1:41"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tr">
        <f t="shared" si="40"/>
        <v>Sales</v>
      </c>
      <c r="AK1340">
        <f t="shared" si="41"/>
        <v>1</v>
      </c>
      <c r="AL1340">
        <f>IF(Table1[[#This Row],[Attrition]]="Yes", Table1[[#This Row],[MonthlyIncome]]*12*1.5, 0)</f>
        <v>19458</v>
      </c>
      <c r="AM1340" t="str" cm="1">
        <f t="array" ref="AM1340">_xlfn.IFS(
Table1[[#This Row],[MonthlyIncome]]&lt;3000,"Under 3K",
Table1[[#This Row],[MonthlyIncome]]&lt;6000,"3K-6K",
Table1[[#This Row],[MonthlyIncome]]&lt;9000,"6K-9K",
Table1[[#This Row],[MonthlyIncome]]&lt;12000,"9K-12K",
TRUE,"12K+")</f>
        <v>Under 3K</v>
      </c>
      <c r="AN1340">
        <f>1</f>
        <v>1</v>
      </c>
      <c r="AO1340" t="str" cm="1">
        <f t="array" ref="AO1340">_xlfn.IFS(
Table1[[#This Row],[YearsAtCompany]]&lt;=2,"0-2 Years",
Table1[[#This Row],[YearsAtCompany]]&lt;=5,"3-5 Years",
Table1[[#This Row],[YearsAtCompany]]&lt;=10,"6-10 Years",
TRUE,"10+ Years")</f>
        <v>0-2 Years</v>
      </c>
    </row>
    <row r="1341" spans="1:41"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tr">
        <f t="shared" si="40"/>
        <v>Research</v>
      </c>
      <c r="AK1341">
        <f t="shared" si="41"/>
        <v>1</v>
      </c>
      <c r="AL1341">
        <f>IF(Table1[[#This Row],[Attrition]]="Yes", Table1[[#This Row],[MonthlyIncome]]*12*1.5, 0)</f>
        <v>44496</v>
      </c>
      <c r="AM1341" t="str" cm="1">
        <f t="array" ref="AM1341">_xlfn.IFS(
Table1[[#This Row],[MonthlyIncome]]&lt;3000,"Under 3K",
Table1[[#This Row],[MonthlyIncome]]&lt;6000,"3K-6K",
Table1[[#This Row],[MonthlyIncome]]&lt;9000,"6K-9K",
Table1[[#This Row],[MonthlyIncome]]&lt;12000,"9K-12K",
TRUE,"12K+")</f>
        <v>Under 3K</v>
      </c>
      <c r="AN1341">
        <f>1</f>
        <v>1</v>
      </c>
      <c r="AO1341" t="str" cm="1">
        <f t="array" ref="AO1341">_xlfn.IFS(
Table1[[#This Row],[YearsAtCompany]]&lt;=2,"0-2 Years",
Table1[[#This Row],[YearsAtCompany]]&lt;=5,"3-5 Years",
Table1[[#This Row],[YearsAtCompany]]&lt;=10,"6-10 Years",
TRUE,"10+ Years")</f>
        <v>0-2 Years</v>
      </c>
    </row>
    <row r="1342" spans="1:41"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tr">
        <f t="shared" si="40"/>
        <v>Sales</v>
      </c>
      <c r="AK1342">
        <f t="shared" si="41"/>
        <v>0</v>
      </c>
      <c r="AL1342">
        <f>IF(Table1[[#This Row],[Attrition]]="Yes", Table1[[#This Row],[MonthlyIncome]]*12*1.5, 0)</f>
        <v>0</v>
      </c>
      <c r="AM1342" t="str" cm="1">
        <f t="array" ref="AM1342">_xlfn.IFS(
Table1[[#This Row],[MonthlyIncome]]&lt;3000,"Under 3K",
Table1[[#This Row],[MonthlyIncome]]&lt;6000,"3K-6K",
Table1[[#This Row],[MonthlyIncome]]&lt;9000,"6K-9K",
Table1[[#This Row],[MonthlyIncome]]&lt;12000,"9K-12K",
TRUE,"12K+")</f>
        <v>3K-6K</v>
      </c>
      <c r="AN1342">
        <f>1</f>
        <v>1</v>
      </c>
      <c r="AO1342" t="str" cm="1">
        <f t="array" ref="AO1342">_xlfn.IFS(
Table1[[#This Row],[YearsAtCompany]]&lt;=2,"0-2 Years",
Table1[[#This Row],[YearsAtCompany]]&lt;=5,"3-5 Years",
Table1[[#This Row],[YearsAtCompany]]&lt;=10,"6-10 Years",
TRUE,"10+ Years")</f>
        <v>6-10 Years</v>
      </c>
    </row>
    <row r="1343" spans="1:41"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tr">
        <f t="shared" si="40"/>
        <v>Research</v>
      </c>
      <c r="AK1343">
        <f t="shared" si="41"/>
        <v>0</v>
      </c>
      <c r="AL1343">
        <f>IF(Table1[[#This Row],[Attrition]]="Yes", Table1[[#This Row],[MonthlyIncome]]*12*1.5, 0)</f>
        <v>0</v>
      </c>
      <c r="AM1343" t="str" cm="1">
        <f t="array" ref="AM1343">_xlfn.IFS(
Table1[[#This Row],[MonthlyIncome]]&lt;3000,"Under 3K",
Table1[[#This Row],[MonthlyIncome]]&lt;6000,"3K-6K",
Table1[[#This Row],[MonthlyIncome]]&lt;9000,"6K-9K",
Table1[[#This Row],[MonthlyIncome]]&lt;12000,"9K-12K",
TRUE,"12K+")</f>
        <v>3K-6K</v>
      </c>
      <c r="AN1343">
        <f>1</f>
        <v>1</v>
      </c>
      <c r="AO1343" t="str" cm="1">
        <f t="array" ref="AO1343">_xlfn.IFS(
Table1[[#This Row],[YearsAtCompany]]&lt;=2,"0-2 Years",
Table1[[#This Row],[YearsAtCompany]]&lt;=5,"3-5 Years",
Table1[[#This Row],[YearsAtCompany]]&lt;=10,"6-10 Years",
TRUE,"10+ Years")</f>
        <v>6-10 Years</v>
      </c>
    </row>
    <row r="1344" spans="1:41"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tr">
        <f t="shared" si="40"/>
        <v>Sales</v>
      </c>
      <c r="AK1344">
        <f t="shared" si="41"/>
        <v>0</v>
      </c>
      <c r="AL1344">
        <f>IF(Table1[[#This Row],[Attrition]]="Yes", Table1[[#This Row],[MonthlyIncome]]*12*1.5, 0)</f>
        <v>0</v>
      </c>
      <c r="AM1344" t="str" cm="1">
        <f t="array" ref="AM1344">_xlfn.IFS(
Table1[[#This Row],[MonthlyIncome]]&lt;3000,"Under 3K",
Table1[[#This Row],[MonthlyIncome]]&lt;6000,"3K-6K",
Table1[[#This Row],[MonthlyIncome]]&lt;9000,"6K-9K",
Table1[[#This Row],[MonthlyIncome]]&lt;12000,"9K-12K",
TRUE,"12K+")</f>
        <v>9K-12K</v>
      </c>
      <c r="AN1344">
        <f>1</f>
        <v>1</v>
      </c>
      <c r="AO1344" t="str" cm="1">
        <f t="array" ref="AO1344">_xlfn.IFS(
Table1[[#This Row],[YearsAtCompany]]&lt;=2,"0-2 Years",
Table1[[#This Row],[YearsAtCompany]]&lt;=5,"3-5 Years",
Table1[[#This Row],[YearsAtCompany]]&lt;=10,"6-10 Years",
TRUE,"10+ Years")</f>
        <v>3-5 Years</v>
      </c>
    </row>
    <row r="1345" spans="1:41"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tr">
        <f t="shared" si="40"/>
        <v>Research</v>
      </c>
      <c r="AK1345">
        <f t="shared" si="41"/>
        <v>0</v>
      </c>
      <c r="AL1345">
        <f>IF(Table1[[#This Row],[Attrition]]="Yes", Table1[[#This Row],[MonthlyIncome]]*12*1.5, 0)</f>
        <v>0</v>
      </c>
      <c r="AM1345" t="str" cm="1">
        <f t="array" ref="AM1345">_xlfn.IFS(
Table1[[#This Row],[MonthlyIncome]]&lt;3000,"Under 3K",
Table1[[#This Row],[MonthlyIncome]]&lt;6000,"3K-6K",
Table1[[#This Row],[MonthlyIncome]]&lt;9000,"6K-9K",
Table1[[#This Row],[MonthlyIncome]]&lt;12000,"9K-12K",
TRUE,"12K+")</f>
        <v>Under 3K</v>
      </c>
      <c r="AN1345">
        <f>1</f>
        <v>1</v>
      </c>
      <c r="AO1345" t="str" cm="1">
        <f t="array" ref="AO1345">_xlfn.IFS(
Table1[[#This Row],[YearsAtCompany]]&lt;=2,"0-2 Years",
Table1[[#This Row],[YearsAtCompany]]&lt;=5,"3-5 Years",
Table1[[#This Row],[YearsAtCompany]]&lt;=10,"6-10 Years",
TRUE,"10+ Years")</f>
        <v>3-5 Years</v>
      </c>
    </row>
    <row r="1346" spans="1:41"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tr">
        <f t="shared" si="40"/>
        <v>Research</v>
      </c>
      <c r="AK1346">
        <f t="shared" si="41"/>
        <v>0</v>
      </c>
      <c r="AL1346">
        <f>IF(Table1[[#This Row],[Attrition]]="Yes", Table1[[#This Row],[MonthlyIncome]]*12*1.5, 0)</f>
        <v>0</v>
      </c>
      <c r="AM1346" t="str" cm="1">
        <f t="array" ref="AM1346">_xlfn.IFS(
Table1[[#This Row],[MonthlyIncome]]&lt;3000,"Under 3K",
Table1[[#This Row],[MonthlyIncome]]&lt;6000,"3K-6K",
Table1[[#This Row],[MonthlyIncome]]&lt;9000,"6K-9K",
Table1[[#This Row],[MonthlyIncome]]&lt;12000,"9K-12K",
TRUE,"12K+")</f>
        <v>3K-6K</v>
      </c>
      <c r="AN1346">
        <f>1</f>
        <v>1</v>
      </c>
      <c r="AO1346" t="str" cm="1">
        <f t="array" ref="AO1346">_xlfn.IFS(
Table1[[#This Row],[YearsAtCompany]]&lt;=2,"0-2 Years",
Table1[[#This Row],[YearsAtCompany]]&lt;=5,"3-5 Years",
Table1[[#This Row],[YearsAtCompany]]&lt;=10,"6-10 Years",
TRUE,"10+ Years")</f>
        <v>3-5 Years</v>
      </c>
    </row>
    <row r="1347" spans="1:41"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tr">
        <f t="shared" ref="AJ1347:AJ1410" si="42">_xlfn.XLOOKUP(P1347, $AP$2:$AP$10,$AQ$2:$AQ$10)</f>
        <v>Operations</v>
      </c>
      <c r="AK1347">
        <f t="shared" ref="AK1347:AK1410" si="43">IF(B1347 ="Yes",1,0)</f>
        <v>0</v>
      </c>
      <c r="AL1347">
        <f>IF(Table1[[#This Row],[Attrition]]="Yes", Table1[[#This Row],[MonthlyIncome]]*12*1.5, 0)</f>
        <v>0</v>
      </c>
      <c r="AM1347" t="str" cm="1">
        <f t="array" ref="AM1347">_xlfn.IFS(
Table1[[#This Row],[MonthlyIncome]]&lt;3000,"Under 3K",
Table1[[#This Row],[MonthlyIncome]]&lt;6000,"3K-6K",
Table1[[#This Row],[MonthlyIncome]]&lt;9000,"6K-9K",
Table1[[#This Row],[MonthlyIncome]]&lt;12000,"9K-12K",
TRUE,"12K+")</f>
        <v>3K-6K</v>
      </c>
      <c r="AN1347">
        <f>1</f>
        <v>1</v>
      </c>
      <c r="AO1347" t="str" cm="1">
        <f t="array" ref="AO1347">_xlfn.IFS(
Table1[[#This Row],[YearsAtCompany]]&lt;=2,"0-2 Years",
Table1[[#This Row],[YearsAtCompany]]&lt;=5,"3-5 Years",
Table1[[#This Row],[YearsAtCompany]]&lt;=10,"6-10 Years",
TRUE,"10+ Years")</f>
        <v>3-5 Years</v>
      </c>
    </row>
    <row r="1348" spans="1:41"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tr">
        <f t="shared" si="42"/>
        <v>Operations</v>
      </c>
      <c r="AK1348">
        <f t="shared" si="43"/>
        <v>0</v>
      </c>
      <c r="AL1348">
        <f>IF(Table1[[#This Row],[Attrition]]="Yes", Table1[[#This Row],[MonthlyIncome]]*12*1.5, 0)</f>
        <v>0</v>
      </c>
      <c r="AM1348" t="str" cm="1">
        <f t="array" ref="AM1348">_xlfn.IFS(
Table1[[#This Row],[MonthlyIncome]]&lt;3000,"Under 3K",
Table1[[#This Row],[MonthlyIncome]]&lt;6000,"3K-6K",
Table1[[#This Row],[MonthlyIncome]]&lt;9000,"6K-9K",
Table1[[#This Row],[MonthlyIncome]]&lt;12000,"9K-12K",
TRUE,"12K+")</f>
        <v>3K-6K</v>
      </c>
      <c r="AN1348">
        <f>1</f>
        <v>1</v>
      </c>
      <c r="AO1348" t="str" cm="1">
        <f t="array" ref="AO1348">_xlfn.IFS(
Table1[[#This Row],[YearsAtCompany]]&lt;=2,"0-2 Years",
Table1[[#This Row],[YearsAtCompany]]&lt;=5,"3-5 Years",
Table1[[#This Row],[YearsAtCompany]]&lt;=10,"6-10 Years",
TRUE,"10+ Years")</f>
        <v>6-10 Years</v>
      </c>
    </row>
    <row r="1349" spans="1:41"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tr">
        <f t="shared" si="42"/>
        <v>Human Resources</v>
      </c>
      <c r="AK1349">
        <f t="shared" si="43"/>
        <v>0</v>
      </c>
      <c r="AL1349">
        <f>IF(Table1[[#This Row],[Attrition]]="Yes", Table1[[#This Row],[MonthlyIncome]]*12*1.5, 0)</f>
        <v>0</v>
      </c>
      <c r="AM1349" t="str" cm="1">
        <f t="array" ref="AM1349">_xlfn.IFS(
Table1[[#This Row],[MonthlyIncome]]&lt;3000,"Under 3K",
Table1[[#This Row],[MonthlyIncome]]&lt;6000,"3K-6K",
Table1[[#This Row],[MonthlyIncome]]&lt;9000,"6K-9K",
Table1[[#This Row],[MonthlyIncome]]&lt;12000,"9K-12K",
TRUE,"12K+")</f>
        <v>3K-6K</v>
      </c>
      <c r="AN1349">
        <f>1</f>
        <v>1</v>
      </c>
      <c r="AO1349" t="str" cm="1">
        <f t="array" ref="AO1349">_xlfn.IFS(
Table1[[#This Row],[YearsAtCompany]]&lt;=2,"0-2 Years",
Table1[[#This Row],[YearsAtCompany]]&lt;=5,"3-5 Years",
Table1[[#This Row],[YearsAtCompany]]&lt;=10,"6-10 Years",
TRUE,"10+ Years")</f>
        <v>6-10 Years</v>
      </c>
    </row>
    <row r="1350" spans="1:41"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tr">
        <f t="shared" si="42"/>
        <v>Management</v>
      </c>
      <c r="AK1350">
        <f t="shared" si="43"/>
        <v>0</v>
      </c>
      <c r="AL1350">
        <f>IF(Table1[[#This Row],[Attrition]]="Yes", Table1[[#This Row],[MonthlyIncome]]*12*1.5, 0)</f>
        <v>0</v>
      </c>
      <c r="AM1350" t="str" cm="1">
        <f t="array" ref="AM1350">_xlfn.IFS(
Table1[[#This Row],[MonthlyIncome]]&lt;3000,"Under 3K",
Table1[[#This Row],[MonthlyIncome]]&lt;6000,"3K-6K",
Table1[[#This Row],[MonthlyIncome]]&lt;9000,"6K-9K",
Table1[[#This Row],[MonthlyIncome]]&lt;12000,"9K-12K",
TRUE,"12K+")</f>
        <v>12K+</v>
      </c>
      <c r="AN1350">
        <f>1</f>
        <v>1</v>
      </c>
      <c r="AO1350" t="str" cm="1">
        <f t="array" ref="AO1350">_xlfn.IFS(
Table1[[#This Row],[YearsAtCompany]]&lt;=2,"0-2 Years",
Table1[[#This Row],[YearsAtCompany]]&lt;=5,"3-5 Years",
Table1[[#This Row],[YearsAtCompany]]&lt;=10,"6-10 Years",
TRUE,"10+ Years")</f>
        <v>10+ Years</v>
      </c>
    </row>
    <row r="1351" spans="1:41"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tr">
        <f t="shared" si="42"/>
        <v>Research</v>
      </c>
      <c r="AK1351">
        <f t="shared" si="43"/>
        <v>0</v>
      </c>
      <c r="AL1351">
        <f>IF(Table1[[#This Row],[Attrition]]="Yes", Table1[[#This Row],[MonthlyIncome]]*12*1.5, 0)</f>
        <v>0</v>
      </c>
      <c r="AM1351" t="str" cm="1">
        <f t="array" ref="AM1351">_xlfn.IFS(
Table1[[#This Row],[MonthlyIncome]]&lt;3000,"Under 3K",
Table1[[#This Row],[MonthlyIncome]]&lt;6000,"3K-6K",
Table1[[#This Row],[MonthlyIncome]]&lt;9000,"6K-9K",
Table1[[#This Row],[MonthlyIncome]]&lt;12000,"9K-12K",
TRUE,"12K+")</f>
        <v>Under 3K</v>
      </c>
      <c r="AN1351">
        <f>1</f>
        <v>1</v>
      </c>
      <c r="AO1351" t="str" cm="1">
        <f t="array" ref="AO1351">_xlfn.IFS(
Table1[[#This Row],[YearsAtCompany]]&lt;=2,"0-2 Years",
Table1[[#This Row],[YearsAtCompany]]&lt;=5,"3-5 Years",
Table1[[#This Row],[YearsAtCompany]]&lt;=10,"6-10 Years",
TRUE,"10+ Years")</f>
        <v>0-2 Years</v>
      </c>
    </row>
    <row r="1352" spans="1:41"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tr">
        <f t="shared" si="42"/>
        <v>Sales</v>
      </c>
      <c r="AK1352">
        <f t="shared" si="43"/>
        <v>0</v>
      </c>
      <c r="AL1352">
        <f>IF(Table1[[#This Row],[Attrition]]="Yes", Table1[[#This Row],[MonthlyIncome]]*12*1.5, 0)</f>
        <v>0</v>
      </c>
      <c r="AM1352" t="str" cm="1">
        <f t="array" ref="AM1352">_xlfn.IFS(
Table1[[#This Row],[MonthlyIncome]]&lt;3000,"Under 3K",
Table1[[#This Row],[MonthlyIncome]]&lt;6000,"3K-6K",
Table1[[#This Row],[MonthlyIncome]]&lt;9000,"6K-9K",
Table1[[#This Row],[MonthlyIncome]]&lt;12000,"9K-12K",
TRUE,"12K+")</f>
        <v>6K-9K</v>
      </c>
      <c r="AN1352">
        <f>1</f>
        <v>1</v>
      </c>
      <c r="AO1352" t="str" cm="1">
        <f t="array" ref="AO1352">_xlfn.IFS(
Table1[[#This Row],[YearsAtCompany]]&lt;=2,"0-2 Years",
Table1[[#This Row],[YearsAtCompany]]&lt;=5,"3-5 Years",
Table1[[#This Row],[YearsAtCompany]]&lt;=10,"6-10 Years",
TRUE,"10+ Years")</f>
        <v>6-10 Years</v>
      </c>
    </row>
    <row r="1353" spans="1:41"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tr">
        <f t="shared" si="42"/>
        <v>Management</v>
      </c>
      <c r="AK1353">
        <f t="shared" si="43"/>
        <v>0</v>
      </c>
      <c r="AL1353">
        <f>IF(Table1[[#This Row],[Attrition]]="Yes", Table1[[#This Row],[MonthlyIncome]]*12*1.5, 0)</f>
        <v>0</v>
      </c>
      <c r="AM1353" t="str" cm="1">
        <f t="array" ref="AM1353">_xlfn.IFS(
Table1[[#This Row],[MonthlyIncome]]&lt;3000,"Under 3K",
Table1[[#This Row],[MonthlyIncome]]&lt;6000,"3K-6K",
Table1[[#This Row],[MonthlyIncome]]&lt;9000,"6K-9K",
Table1[[#This Row],[MonthlyIncome]]&lt;12000,"9K-12K",
TRUE,"12K+")</f>
        <v>12K+</v>
      </c>
      <c r="AN1353">
        <f>1</f>
        <v>1</v>
      </c>
      <c r="AO1353" t="str" cm="1">
        <f t="array" ref="AO1353">_xlfn.IFS(
Table1[[#This Row],[YearsAtCompany]]&lt;=2,"0-2 Years",
Table1[[#This Row],[YearsAtCompany]]&lt;=5,"3-5 Years",
Table1[[#This Row],[YearsAtCompany]]&lt;=10,"6-10 Years",
TRUE,"10+ Years")</f>
        <v>10+ Years</v>
      </c>
    </row>
    <row r="1354" spans="1:41"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tr">
        <f t="shared" si="42"/>
        <v>Healthcare</v>
      </c>
      <c r="AK1354">
        <f t="shared" si="43"/>
        <v>0</v>
      </c>
      <c r="AL1354">
        <f>IF(Table1[[#This Row],[Attrition]]="Yes", Table1[[#This Row],[MonthlyIncome]]*12*1.5, 0)</f>
        <v>0</v>
      </c>
      <c r="AM1354" t="str" cm="1">
        <f t="array" ref="AM1354">_xlfn.IFS(
Table1[[#This Row],[MonthlyIncome]]&lt;3000,"Under 3K",
Table1[[#This Row],[MonthlyIncome]]&lt;6000,"3K-6K",
Table1[[#This Row],[MonthlyIncome]]&lt;9000,"6K-9K",
Table1[[#This Row],[MonthlyIncome]]&lt;12000,"9K-12K",
TRUE,"12K+")</f>
        <v>3K-6K</v>
      </c>
      <c r="AN1354">
        <f>1</f>
        <v>1</v>
      </c>
      <c r="AO1354" t="str" cm="1">
        <f t="array" ref="AO1354">_xlfn.IFS(
Table1[[#This Row],[YearsAtCompany]]&lt;=2,"0-2 Years",
Table1[[#This Row],[YearsAtCompany]]&lt;=5,"3-5 Years",
Table1[[#This Row],[YearsAtCompany]]&lt;=10,"6-10 Years",
TRUE,"10+ Years")</f>
        <v>0-2 Years</v>
      </c>
    </row>
    <row r="1355" spans="1:41"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tr">
        <f t="shared" si="42"/>
        <v>Research</v>
      </c>
      <c r="AK1355">
        <f t="shared" si="43"/>
        <v>1</v>
      </c>
      <c r="AL1355">
        <f>IF(Table1[[#This Row],[Attrition]]="Yes", Table1[[#This Row],[MonthlyIncome]]*12*1.5, 0)</f>
        <v>41526</v>
      </c>
      <c r="AM1355" t="str" cm="1">
        <f t="array" ref="AM1355">_xlfn.IFS(
Table1[[#This Row],[MonthlyIncome]]&lt;3000,"Under 3K",
Table1[[#This Row],[MonthlyIncome]]&lt;6000,"3K-6K",
Table1[[#This Row],[MonthlyIncome]]&lt;9000,"6K-9K",
Table1[[#This Row],[MonthlyIncome]]&lt;12000,"9K-12K",
TRUE,"12K+")</f>
        <v>Under 3K</v>
      </c>
      <c r="AN1355">
        <f>1</f>
        <v>1</v>
      </c>
      <c r="AO1355" t="str" cm="1">
        <f t="array" ref="AO1355">_xlfn.IFS(
Table1[[#This Row],[YearsAtCompany]]&lt;=2,"0-2 Years",
Table1[[#This Row],[YearsAtCompany]]&lt;=5,"3-5 Years",
Table1[[#This Row],[YearsAtCompany]]&lt;=10,"6-10 Years",
TRUE,"10+ Years")</f>
        <v>3-5 Years</v>
      </c>
    </row>
    <row r="1356" spans="1:41"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tr">
        <f t="shared" si="42"/>
        <v>Research</v>
      </c>
      <c r="AK1356">
        <f t="shared" si="43"/>
        <v>1</v>
      </c>
      <c r="AL1356">
        <f>IF(Table1[[#This Row],[Attrition]]="Yes", Table1[[#This Row],[MonthlyIncome]]*12*1.5, 0)</f>
        <v>46566</v>
      </c>
      <c r="AM1356" t="str" cm="1">
        <f t="array" ref="AM1356">_xlfn.IFS(
Table1[[#This Row],[MonthlyIncome]]&lt;3000,"Under 3K",
Table1[[#This Row],[MonthlyIncome]]&lt;6000,"3K-6K",
Table1[[#This Row],[MonthlyIncome]]&lt;9000,"6K-9K",
Table1[[#This Row],[MonthlyIncome]]&lt;12000,"9K-12K",
TRUE,"12K+")</f>
        <v>Under 3K</v>
      </c>
      <c r="AN1356">
        <f>1</f>
        <v>1</v>
      </c>
      <c r="AO1356" t="str" cm="1">
        <f t="array" ref="AO1356">_xlfn.IFS(
Table1[[#This Row],[YearsAtCompany]]&lt;=2,"0-2 Years",
Table1[[#This Row],[YearsAtCompany]]&lt;=5,"3-5 Years",
Table1[[#This Row],[YearsAtCompany]]&lt;=10,"6-10 Years",
TRUE,"10+ Years")</f>
        <v>3-5 Years</v>
      </c>
    </row>
    <row r="1357" spans="1:41"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tr">
        <f t="shared" si="42"/>
        <v>Sales</v>
      </c>
      <c r="AK1357">
        <f t="shared" si="43"/>
        <v>0</v>
      </c>
      <c r="AL1357">
        <f>IF(Table1[[#This Row],[Attrition]]="Yes", Table1[[#This Row],[MonthlyIncome]]*12*1.5, 0)</f>
        <v>0</v>
      </c>
      <c r="AM1357" t="str" cm="1">
        <f t="array" ref="AM1357">_xlfn.IFS(
Table1[[#This Row],[MonthlyIncome]]&lt;3000,"Under 3K",
Table1[[#This Row],[MonthlyIncome]]&lt;6000,"3K-6K",
Table1[[#This Row],[MonthlyIncome]]&lt;9000,"6K-9K",
Table1[[#This Row],[MonthlyIncome]]&lt;12000,"9K-12K",
TRUE,"12K+")</f>
        <v>3K-6K</v>
      </c>
      <c r="AN1357">
        <f>1</f>
        <v>1</v>
      </c>
      <c r="AO1357" t="str" cm="1">
        <f t="array" ref="AO1357">_xlfn.IFS(
Table1[[#This Row],[YearsAtCompany]]&lt;=2,"0-2 Years",
Table1[[#This Row],[YearsAtCompany]]&lt;=5,"3-5 Years",
Table1[[#This Row],[YearsAtCompany]]&lt;=10,"6-10 Years",
TRUE,"10+ Years")</f>
        <v>3-5 Years</v>
      </c>
    </row>
    <row r="1358" spans="1:41"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tr">
        <f t="shared" si="42"/>
        <v>Sales</v>
      </c>
      <c r="AK1358">
        <f t="shared" si="43"/>
        <v>0</v>
      </c>
      <c r="AL1358">
        <f>IF(Table1[[#This Row],[Attrition]]="Yes", Table1[[#This Row],[MonthlyIncome]]*12*1.5, 0)</f>
        <v>0</v>
      </c>
      <c r="AM1358" t="str" cm="1">
        <f t="array" ref="AM1358">_xlfn.IFS(
Table1[[#This Row],[MonthlyIncome]]&lt;3000,"Under 3K",
Table1[[#This Row],[MonthlyIncome]]&lt;6000,"3K-6K",
Table1[[#This Row],[MonthlyIncome]]&lt;9000,"6K-9K",
Table1[[#This Row],[MonthlyIncome]]&lt;12000,"9K-12K",
TRUE,"12K+")</f>
        <v>3K-6K</v>
      </c>
      <c r="AN1358">
        <f>1</f>
        <v>1</v>
      </c>
      <c r="AO1358" t="str" cm="1">
        <f t="array" ref="AO1358">_xlfn.IFS(
Table1[[#This Row],[YearsAtCompany]]&lt;=2,"0-2 Years",
Table1[[#This Row],[YearsAtCompany]]&lt;=5,"3-5 Years",
Table1[[#This Row],[YearsAtCompany]]&lt;=10,"6-10 Years",
TRUE,"10+ Years")</f>
        <v>3-5 Years</v>
      </c>
    </row>
    <row r="1359" spans="1:41"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tr">
        <f t="shared" si="42"/>
        <v>Research</v>
      </c>
      <c r="AK1359">
        <f t="shared" si="43"/>
        <v>0</v>
      </c>
      <c r="AL1359">
        <f>IF(Table1[[#This Row],[Attrition]]="Yes", Table1[[#This Row],[MonthlyIncome]]*12*1.5, 0)</f>
        <v>0</v>
      </c>
      <c r="AM1359" t="str" cm="1">
        <f t="array" ref="AM1359">_xlfn.IFS(
Table1[[#This Row],[MonthlyIncome]]&lt;3000,"Under 3K",
Table1[[#This Row],[MonthlyIncome]]&lt;6000,"3K-6K",
Table1[[#This Row],[MonthlyIncome]]&lt;9000,"6K-9K",
Table1[[#This Row],[MonthlyIncome]]&lt;12000,"9K-12K",
TRUE,"12K+")</f>
        <v>12K+</v>
      </c>
      <c r="AN1359">
        <f>1</f>
        <v>1</v>
      </c>
      <c r="AO1359" t="str" cm="1">
        <f t="array" ref="AO1359">_xlfn.IFS(
Table1[[#This Row],[YearsAtCompany]]&lt;=2,"0-2 Years",
Table1[[#This Row],[YearsAtCompany]]&lt;=5,"3-5 Years",
Table1[[#This Row],[YearsAtCompany]]&lt;=10,"6-10 Years",
TRUE,"10+ Years")</f>
        <v>10+ Years</v>
      </c>
    </row>
    <row r="1360" spans="1:41"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tr">
        <f t="shared" si="42"/>
        <v>Sales</v>
      </c>
      <c r="AK1360">
        <f t="shared" si="43"/>
        <v>0</v>
      </c>
      <c r="AL1360">
        <f>IF(Table1[[#This Row],[Attrition]]="Yes", Table1[[#This Row],[MonthlyIncome]]*12*1.5, 0)</f>
        <v>0</v>
      </c>
      <c r="AM1360" t="str" cm="1">
        <f t="array" ref="AM1360">_xlfn.IFS(
Table1[[#This Row],[MonthlyIncome]]&lt;3000,"Under 3K",
Table1[[#This Row],[MonthlyIncome]]&lt;6000,"3K-6K",
Table1[[#This Row],[MonthlyIncome]]&lt;9000,"6K-9K",
Table1[[#This Row],[MonthlyIncome]]&lt;12000,"9K-12K",
TRUE,"12K+")</f>
        <v>6K-9K</v>
      </c>
      <c r="AN1360">
        <f>1</f>
        <v>1</v>
      </c>
      <c r="AO1360" t="str" cm="1">
        <f t="array" ref="AO1360">_xlfn.IFS(
Table1[[#This Row],[YearsAtCompany]]&lt;=2,"0-2 Years",
Table1[[#This Row],[YearsAtCompany]]&lt;=5,"3-5 Years",
Table1[[#This Row],[YearsAtCompany]]&lt;=10,"6-10 Years",
TRUE,"10+ Years")</f>
        <v>3-5 Years</v>
      </c>
    </row>
    <row r="1361" spans="1:41"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tr">
        <f t="shared" si="42"/>
        <v>Sales</v>
      </c>
      <c r="AK1361">
        <f t="shared" si="43"/>
        <v>0</v>
      </c>
      <c r="AL1361">
        <f>IF(Table1[[#This Row],[Attrition]]="Yes", Table1[[#This Row],[MonthlyIncome]]*12*1.5, 0)</f>
        <v>0</v>
      </c>
      <c r="AM1361" t="str" cm="1">
        <f t="array" ref="AM1361">_xlfn.IFS(
Table1[[#This Row],[MonthlyIncome]]&lt;3000,"Under 3K",
Table1[[#This Row],[MonthlyIncome]]&lt;6000,"3K-6K",
Table1[[#This Row],[MonthlyIncome]]&lt;9000,"6K-9K",
Table1[[#This Row],[MonthlyIncome]]&lt;12000,"9K-12K",
TRUE,"12K+")</f>
        <v>6K-9K</v>
      </c>
      <c r="AN1361">
        <f>1</f>
        <v>1</v>
      </c>
      <c r="AO1361" t="str" cm="1">
        <f t="array" ref="AO1361">_xlfn.IFS(
Table1[[#This Row],[YearsAtCompany]]&lt;=2,"0-2 Years",
Table1[[#This Row],[YearsAtCompany]]&lt;=5,"3-5 Years",
Table1[[#This Row],[YearsAtCompany]]&lt;=10,"6-10 Years",
TRUE,"10+ Years")</f>
        <v>3-5 Years</v>
      </c>
    </row>
    <row r="1362" spans="1:41"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tr">
        <f t="shared" si="42"/>
        <v>Research</v>
      </c>
      <c r="AK1362">
        <f t="shared" si="43"/>
        <v>0</v>
      </c>
      <c r="AL1362">
        <f>IF(Table1[[#This Row],[Attrition]]="Yes", Table1[[#This Row],[MonthlyIncome]]*12*1.5, 0)</f>
        <v>0</v>
      </c>
      <c r="AM1362" t="str" cm="1">
        <f t="array" ref="AM1362">_xlfn.IFS(
Table1[[#This Row],[MonthlyIncome]]&lt;3000,"Under 3K",
Table1[[#This Row],[MonthlyIncome]]&lt;6000,"3K-6K",
Table1[[#This Row],[MonthlyIncome]]&lt;9000,"6K-9K",
Table1[[#This Row],[MonthlyIncome]]&lt;12000,"9K-12K",
TRUE,"12K+")</f>
        <v>3K-6K</v>
      </c>
      <c r="AN1362">
        <f>1</f>
        <v>1</v>
      </c>
      <c r="AO1362" t="str" cm="1">
        <f t="array" ref="AO1362">_xlfn.IFS(
Table1[[#This Row],[YearsAtCompany]]&lt;=2,"0-2 Years",
Table1[[#This Row],[YearsAtCompany]]&lt;=5,"3-5 Years",
Table1[[#This Row],[YearsAtCompany]]&lt;=10,"6-10 Years",
TRUE,"10+ Years")</f>
        <v>0-2 Years</v>
      </c>
    </row>
    <row r="1363" spans="1:41"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tr">
        <f t="shared" si="42"/>
        <v>Research</v>
      </c>
      <c r="AK1363">
        <f t="shared" si="43"/>
        <v>0</v>
      </c>
      <c r="AL1363">
        <f>IF(Table1[[#This Row],[Attrition]]="Yes", Table1[[#This Row],[MonthlyIncome]]*12*1.5, 0)</f>
        <v>0</v>
      </c>
      <c r="AM1363" t="str" cm="1">
        <f t="array" ref="AM1363">_xlfn.IFS(
Table1[[#This Row],[MonthlyIncome]]&lt;3000,"Under 3K",
Table1[[#This Row],[MonthlyIncome]]&lt;6000,"3K-6K",
Table1[[#This Row],[MonthlyIncome]]&lt;9000,"6K-9K",
Table1[[#This Row],[MonthlyIncome]]&lt;12000,"9K-12K",
TRUE,"12K+")</f>
        <v>Under 3K</v>
      </c>
      <c r="AN1363">
        <f>1</f>
        <v>1</v>
      </c>
      <c r="AO1363" t="str" cm="1">
        <f t="array" ref="AO1363">_xlfn.IFS(
Table1[[#This Row],[YearsAtCompany]]&lt;=2,"0-2 Years",
Table1[[#This Row],[YearsAtCompany]]&lt;=5,"3-5 Years",
Table1[[#This Row],[YearsAtCompany]]&lt;=10,"6-10 Years",
TRUE,"10+ Years")</f>
        <v>6-10 Years</v>
      </c>
    </row>
    <row r="1364" spans="1:41"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tr">
        <f t="shared" si="42"/>
        <v>Healthcare</v>
      </c>
      <c r="AK1364">
        <f t="shared" si="43"/>
        <v>0</v>
      </c>
      <c r="AL1364">
        <f>IF(Table1[[#This Row],[Attrition]]="Yes", Table1[[#This Row],[MonthlyIncome]]*12*1.5, 0)</f>
        <v>0</v>
      </c>
      <c r="AM1364" t="str" cm="1">
        <f t="array" ref="AM1364">_xlfn.IFS(
Table1[[#This Row],[MonthlyIncome]]&lt;3000,"Under 3K",
Table1[[#This Row],[MonthlyIncome]]&lt;6000,"3K-6K",
Table1[[#This Row],[MonthlyIncome]]&lt;9000,"6K-9K",
Table1[[#This Row],[MonthlyIncome]]&lt;12000,"9K-12K",
TRUE,"12K+")</f>
        <v>3K-6K</v>
      </c>
      <c r="AN1364">
        <f>1</f>
        <v>1</v>
      </c>
      <c r="AO1364" t="str" cm="1">
        <f t="array" ref="AO1364">_xlfn.IFS(
Table1[[#This Row],[YearsAtCompany]]&lt;=2,"0-2 Years",
Table1[[#This Row],[YearsAtCompany]]&lt;=5,"3-5 Years",
Table1[[#This Row],[YearsAtCompany]]&lt;=10,"6-10 Years",
TRUE,"10+ Years")</f>
        <v>3-5 Years</v>
      </c>
    </row>
    <row r="1365" spans="1:41"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tr">
        <f t="shared" si="42"/>
        <v>Sales</v>
      </c>
      <c r="AK1365">
        <f t="shared" si="43"/>
        <v>0</v>
      </c>
      <c r="AL1365">
        <f>IF(Table1[[#This Row],[Attrition]]="Yes", Table1[[#This Row],[MonthlyIncome]]*12*1.5, 0)</f>
        <v>0</v>
      </c>
      <c r="AM1365" t="str" cm="1">
        <f t="array" ref="AM1365">_xlfn.IFS(
Table1[[#This Row],[MonthlyIncome]]&lt;3000,"Under 3K",
Table1[[#This Row],[MonthlyIncome]]&lt;6000,"3K-6K",
Table1[[#This Row],[MonthlyIncome]]&lt;9000,"6K-9K",
Table1[[#This Row],[MonthlyIncome]]&lt;12000,"9K-12K",
TRUE,"12K+")</f>
        <v>3K-6K</v>
      </c>
      <c r="AN1365">
        <f>1</f>
        <v>1</v>
      </c>
      <c r="AO1365" t="str" cm="1">
        <f t="array" ref="AO1365">_xlfn.IFS(
Table1[[#This Row],[YearsAtCompany]]&lt;=2,"0-2 Years",
Table1[[#This Row],[YearsAtCompany]]&lt;=5,"3-5 Years",
Table1[[#This Row],[YearsAtCompany]]&lt;=10,"6-10 Years",
TRUE,"10+ Years")</f>
        <v>6-10 Years</v>
      </c>
    </row>
    <row r="1366" spans="1:41"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tr">
        <f t="shared" si="42"/>
        <v>Sales</v>
      </c>
      <c r="AK1366">
        <f t="shared" si="43"/>
        <v>0</v>
      </c>
      <c r="AL1366">
        <f>IF(Table1[[#This Row],[Attrition]]="Yes", Table1[[#This Row],[MonthlyIncome]]*12*1.5, 0)</f>
        <v>0</v>
      </c>
      <c r="AM1366" t="str" cm="1">
        <f t="array" ref="AM1366">_xlfn.IFS(
Table1[[#This Row],[MonthlyIncome]]&lt;3000,"Under 3K",
Table1[[#This Row],[MonthlyIncome]]&lt;6000,"3K-6K",
Table1[[#This Row],[MonthlyIncome]]&lt;9000,"6K-9K",
Table1[[#This Row],[MonthlyIncome]]&lt;12000,"9K-12K",
TRUE,"12K+")</f>
        <v>6K-9K</v>
      </c>
      <c r="AN1366">
        <f>1</f>
        <v>1</v>
      </c>
      <c r="AO1366" t="str" cm="1">
        <f t="array" ref="AO1366">_xlfn.IFS(
Table1[[#This Row],[YearsAtCompany]]&lt;=2,"0-2 Years",
Table1[[#This Row],[YearsAtCompany]]&lt;=5,"3-5 Years",
Table1[[#This Row],[YearsAtCompany]]&lt;=10,"6-10 Years",
TRUE,"10+ Years")</f>
        <v>6-10 Years</v>
      </c>
    </row>
    <row r="1367" spans="1:41"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tr">
        <f t="shared" si="42"/>
        <v>Sales</v>
      </c>
      <c r="AK1367">
        <f t="shared" si="43"/>
        <v>1</v>
      </c>
      <c r="AL1367">
        <f>IF(Table1[[#This Row],[Attrition]]="Yes", Table1[[#This Row],[MonthlyIncome]]*12*1.5, 0)</f>
        <v>19638</v>
      </c>
      <c r="AM1367" t="str" cm="1">
        <f t="array" ref="AM1367">_xlfn.IFS(
Table1[[#This Row],[MonthlyIncome]]&lt;3000,"Under 3K",
Table1[[#This Row],[MonthlyIncome]]&lt;6000,"3K-6K",
Table1[[#This Row],[MonthlyIncome]]&lt;9000,"6K-9K",
Table1[[#This Row],[MonthlyIncome]]&lt;12000,"9K-12K",
TRUE,"12K+")</f>
        <v>Under 3K</v>
      </c>
      <c r="AN1367">
        <f>1</f>
        <v>1</v>
      </c>
      <c r="AO1367" t="str" cm="1">
        <f t="array" ref="AO1367">_xlfn.IFS(
Table1[[#This Row],[YearsAtCompany]]&lt;=2,"0-2 Years",
Table1[[#This Row],[YearsAtCompany]]&lt;=5,"3-5 Years",
Table1[[#This Row],[YearsAtCompany]]&lt;=10,"6-10 Years",
TRUE,"10+ Years")</f>
        <v>0-2 Years</v>
      </c>
    </row>
    <row r="1368" spans="1:41"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tr">
        <f t="shared" si="42"/>
        <v>Sales</v>
      </c>
      <c r="AK1368">
        <f t="shared" si="43"/>
        <v>0</v>
      </c>
      <c r="AL1368">
        <f>IF(Table1[[#This Row],[Attrition]]="Yes", Table1[[#This Row],[MonthlyIncome]]*12*1.5, 0)</f>
        <v>0</v>
      </c>
      <c r="AM1368" t="str" cm="1">
        <f t="array" ref="AM1368">_xlfn.IFS(
Table1[[#This Row],[MonthlyIncome]]&lt;3000,"Under 3K",
Table1[[#This Row],[MonthlyIncome]]&lt;6000,"3K-6K",
Table1[[#This Row],[MonthlyIncome]]&lt;9000,"6K-9K",
Table1[[#This Row],[MonthlyIncome]]&lt;12000,"9K-12K",
TRUE,"12K+")</f>
        <v>3K-6K</v>
      </c>
      <c r="AN1368">
        <f>1</f>
        <v>1</v>
      </c>
      <c r="AO1368" t="str" cm="1">
        <f t="array" ref="AO1368">_xlfn.IFS(
Table1[[#This Row],[YearsAtCompany]]&lt;=2,"0-2 Years",
Table1[[#This Row],[YearsAtCompany]]&lt;=5,"3-5 Years",
Table1[[#This Row],[YearsAtCompany]]&lt;=10,"6-10 Years",
TRUE,"10+ Years")</f>
        <v>3-5 Years</v>
      </c>
    </row>
    <row r="1369" spans="1:41"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tr">
        <f t="shared" si="42"/>
        <v>Research</v>
      </c>
      <c r="AK1369">
        <f t="shared" si="43"/>
        <v>0</v>
      </c>
      <c r="AL1369">
        <f>IF(Table1[[#This Row],[Attrition]]="Yes", Table1[[#This Row],[MonthlyIncome]]*12*1.5, 0)</f>
        <v>0</v>
      </c>
      <c r="AM1369" t="str" cm="1">
        <f t="array" ref="AM1369">_xlfn.IFS(
Table1[[#This Row],[MonthlyIncome]]&lt;3000,"Under 3K",
Table1[[#This Row],[MonthlyIncome]]&lt;6000,"3K-6K",
Table1[[#This Row],[MonthlyIncome]]&lt;9000,"6K-9K",
Table1[[#This Row],[MonthlyIncome]]&lt;12000,"9K-12K",
TRUE,"12K+")</f>
        <v>Under 3K</v>
      </c>
      <c r="AN1369">
        <f>1</f>
        <v>1</v>
      </c>
      <c r="AO1369" t="str" cm="1">
        <f t="array" ref="AO1369">_xlfn.IFS(
Table1[[#This Row],[YearsAtCompany]]&lt;=2,"0-2 Years",
Table1[[#This Row],[YearsAtCompany]]&lt;=5,"3-5 Years",
Table1[[#This Row],[YearsAtCompany]]&lt;=10,"6-10 Years",
TRUE,"10+ Years")</f>
        <v>3-5 Years</v>
      </c>
    </row>
    <row r="1370" spans="1:41"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tr">
        <f t="shared" si="42"/>
        <v>Research</v>
      </c>
      <c r="AK1370">
        <f t="shared" si="43"/>
        <v>0</v>
      </c>
      <c r="AL1370">
        <f>IF(Table1[[#This Row],[Attrition]]="Yes", Table1[[#This Row],[MonthlyIncome]]*12*1.5, 0)</f>
        <v>0</v>
      </c>
      <c r="AM1370" t="str" cm="1">
        <f t="array" ref="AM1370">_xlfn.IFS(
Table1[[#This Row],[MonthlyIncome]]&lt;3000,"Under 3K",
Table1[[#This Row],[MonthlyIncome]]&lt;6000,"3K-6K",
Table1[[#This Row],[MonthlyIncome]]&lt;9000,"6K-9K",
Table1[[#This Row],[MonthlyIncome]]&lt;12000,"9K-12K",
TRUE,"12K+")</f>
        <v>3K-6K</v>
      </c>
      <c r="AN1370">
        <f>1</f>
        <v>1</v>
      </c>
      <c r="AO1370" t="str" cm="1">
        <f t="array" ref="AO1370">_xlfn.IFS(
Table1[[#This Row],[YearsAtCompany]]&lt;=2,"0-2 Years",
Table1[[#This Row],[YearsAtCompany]]&lt;=5,"3-5 Years",
Table1[[#This Row],[YearsAtCompany]]&lt;=10,"6-10 Years",
TRUE,"10+ Years")</f>
        <v>10+ Years</v>
      </c>
    </row>
    <row r="1371" spans="1:41"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tr">
        <f t="shared" si="42"/>
        <v>Sales</v>
      </c>
      <c r="AK1371">
        <f t="shared" si="43"/>
        <v>1</v>
      </c>
      <c r="AL1371">
        <f>IF(Table1[[#This Row],[Attrition]]="Yes", Table1[[#This Row],[MonthlyIncome]]*12*1.5, 0)</f>
        <v>177372</v>
      </c>
      <c r="AM1371" t="str" cm="1">
        <f t="array" ref="AM1371">_xlfn.IFS(
Table1[[#This Row],[MonthlyIncome]]&lt;3000,"Under 3K",
Table1[[#This Row],[MonthlyIncome]]&lt;6000,"3K-6K",
Table1[[#This Row],[MonthlyIncome]]&lt;9000,"6K-9K",
Table1[[#This Row],[MonthlyIncome]]&lt;12000,"9K-12K",
TRUE,"12K+")</f>
        <v>9K-12K</v>
      </c>
      <c r="AN1371">
        <f>1</f>
        <v>1</v>
      </c>
      <c r="AO1371" t="str" cm="1">
        <f t="array" ref="AO1371">_xlfn.IFS(
Table1[[#This Row],[YearsAtCompany]]&lt;=2,"0-2 Years",
Table1[[#This Row],[YearsAtCompany]]&lt;=5,"3-5 Years",
Table1[[#This Row],[YearsAtCompany]]&lt;=10,"6-10 Years",
TRUE,"10+ Years")</f>
        <v>0-2 Years</v>
      </c>
    </row>
    <row r="1372" spans="1:41"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tr">
        <f t="shared" si="42"/>
        <v>Research</v>
      </c>
      <c r="AK1372">
        <f t="shared" si="43"/>
        <v>0</v>
      </c>
      <c r="AL1372">
        <f>IF(Table1[[#This Row],[Attrition]]="Yes", Table1[[#This Row],[MonthlyIncome]]*12*1.5, 0)</f>
        <v>0</v>
      </c>
      <c r="AM1372" t="str" cm="1">
        <f t="array" ref="AM1372">_xlfn.IFS(
Table1[[#This Row],[MonthlyIncome]]&lt;3000,"Under 3K",
Table1[[#This Row],[MonthlyIncome]]&lt;6000,"3K-6K",
Table1[[#This Row],[MonthlyIncome]]&lt;9000,"6K-9K",
Table1[[#This Row],[MonthlyIncome]]&lt;12000,"9K-12K",
TRUE,"12K+")</f>
        <v>3K-6K</v>
      </c>
      <c r="AN1372">
        <f>1</f>
        <v>1</v>
      </c>
      <c r="AO1372" t="str" cm="1">
        <f t="array" ref="AO1372">_xlfn.IFS(
Table1[[#This Row],[YearsAtCompany]]&lt;=2,"0-2 Years",
Table1[[#This Row],[YearsAtCompany]]&lt;=5,"3-5 Years",
Table1[[#This Row],[YearsAtCompany]]&lt;=10,"6-10 Years",
TRUE,"10+ Years")</f>
        <v>6-10 Years</v>
      </c>
    </row>
    <row r="1373" spans="1:41"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tr">
        <f t="shared" si="42"/>
        <v>Sales</v>
      </c>
      <c r="AK1373">
        <f t="shared" si="43"/>
        <v>0</v>
      </c>
      <c r="AL1373">
        <f>IF(Table1[[#This Row],[Attrition]]="Yes", Table1[[#This Row],[MonthlyIncome]]*12*1.5, 0)</f>
        <v>0</v>
      </c>
      <c r="AM1373" t="str" cm="1">
        <f t="array" ref="AM1373">_xlfn.IFS(
Table1[[#This Row],[MonthlyIncome]]&lt;3000,"Under 3K",
Table1[[#This Row],[MonthlyIncome]]&lt;6000,"3K-6K",
Table1[[#This Row],[MonthlyIncome]]&lt;9000,"6K-9K",
Table1[[#This Row],[MonthlyIncome]]&lt;12000,"9K-12K",
TRUE,"12K+")</f>
        <v>3K-6K</v>
      </c>
      <c r="AN1373">
        <f>1</f>
        <v>1</v>
      </c>
      <c r="AO1373" t="str" cm="1">
        <f t="array" ref="AO1373">_xlfn.IFS(
Table1[[#This Row],[YearsAtCompany]]&lt;=2,"0-2 Years",
Table1[[#This Row],[YearsAtCompany]]&lt;=5,"3-5 Years",
Table1[[#This Row],[YearsAtCompany]]&lt;=10,"6-10 Years",
TRUE,"10+ Years")</f>
        <v>0-2 Years</v>
      </c>
    </row>
    <row r="1374" spans="1:41"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tr">
        <f t="shared" si="42"/>
        <v>Operations</v>
      </c>
      <c r="AK1374">
        <f t="shared" si="43"/>
        <v>0</v>
      </c>
      <c r="AL1374">
        <f>IF(Table1[[#This Row],[Attrition]]="Yes", Table1[[#This Row],[MonthlyIncome]]*12*1.5, 0)</f>
        <v>0</v>
      </c>
      <c r="AM1374" t="str" cm="1">
        <f t="array" ref="AM1374">_xlfn.IFS(
Table1[[#This Row],[MonthlyIncome]]&lt;3000,"Under 3K",
Table1[[#This Row],[MonthlyIncome]]&lt;6000,"3K-6K",
Table1[[#This Row],[MonthlyIncome]]&lt;9000,"6K-9K",
Table1[[#This Row],[MonthlyIncome]]&lt;12000,"9K-12K",
TRUE,"12K+")</f>
        <v>3K-6K</v>
      </c>
      <c r="AN1374">
        <f>1</f>
        <v>1</v>
      </c>
      <c r="AO1374" t="str" cm="1">
        <f t="array" ref="AO1374">_xlfn.IFS(
Table1[[#This Row],[YearsAtCompany]]&lt;=2,"0-2 Years",
Table1[[#This Row],[YearsAtCompany]]&lt;=5,"3-5 Years",
Table1[[#This Row],[YearsAtCompany]]&lt;=10,"6-10 Years",
TRUE,"10+ Years")</f>
        <v>6-10 Years</v>
      </c>
    </row>
    <row r="1375" spans="1:41"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tr">
        <f t="shared" si="42"/>
        <v>Research</v>
      </c>
      <c r="AK1375">
        <f t="shared" si="43"/>
        <v>0</v>
      </c>
      <c r="AL1375">
        <f>IF(Table1[[#This Row],[Attrition]]="Yes", Table1[[#This Row],[MonthlyIncome]]*12*1.5, 0)</f>
        <v>0</v>
      </c>
      <c r="AM1375" t="str" cm="1">
        <f t="array" ref="AM1375">_xlfn.IFS(
Table1[[#This Row],[MonthlyIncome]]&lt;3000,"Under 3K",
Table1[[#This Row],[MonthlyIncome]]&lt;6000,"3K-6K",
Table1[[#This Row],[MonthlyIncome]]&lt;9000,"6K-9K",
Table1[[#This Row],[MonthlyIncome]]&lt;12000,"9K-12K",
TRUE,"12K+")</f>
        <v>Under 3K</v>
      </c>
      <c r="AN1375">
        <f>1</f>
        <v>1</v>
      </c>
      <c r="AO1375" t="str" cm="1">
        <f t="array" ref="AO1375">_xlfn.IFS(
Table1[[#This Row],[YearsAtCompany]]&lt;=2,"0-2 Years",
Table1[[#This Row],[YearsAtCompany]]&lt;=5,"3-5 Years",
Table1[[#This Row],[YearsAtCompany]]&lt;=10,"6-10 Years",
TRUE,"10+ Years")</f>
        <v>10+ Years</v>
      </c>
    </row>
    <row r="1376" spans="1:41"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tr">
        <f t="shared" si="42"/>
        <v>Management</v>
      </c>
      <c r="AK1376">
        <f t="shared" si="43"/>
        <v>0</v>
      </c>
      <c r="AL1376">
        <f>IF(Table1[[#This Row],[Attrition]]="Yes", Table1[[#This Row],[MonthlyIncome]]*12*1.5, 0)</f>
        <v>0</v>
      </c>
      <c r="AM1376" t="str" cm="1">
        <f t="array" ref="AM1376">_xlfn.IFS(
Table1[[#This Row],[MonthlyIncome]]&lt;3000,"Under 3K",
Table1[[#This Row],[MonthlyIncome]]&lt;6000,"3K-6K",
Table1[[#This Row],[MonthlyIncome]]&lt;9000,"6K-9K",
Table1[[#This Row],[MonthlyIncome]]&lt;12000,"9K-12K",
TRUE,"12K+")</f>
        <v>12K+</v>
      </c>
      <c r="AN1376">
        <f>1</f>
        <v>1</v>
      </c>
      <c r="AO1376" t="str" cm="1">
        <f t="array" ref="AO1376">_xlfn.IFS(
Table1[[#This Row],[YearsAtCompany]]&lt;=2,"0-2 Years",
Table1[[#This Row],[YearsAtCompany]]&lt;=5,"3-5 Years",
Table1[[#This Row],[YearsAtCompany]]&lt;=10,"6-10 Years",
TRUE,"10+ Years")</f>
        <v>0-2 Years</v>
      </c>
    </row>
    <row r="1377" spans="1:41"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tr">
        <f t="shared" si="42"/>
        <v>Research</v>
      </c>
      <c r="AK1377">
        <f t="shared" si="43"/>
        <v>1</v>
      </c>
      <c r="AL1377">
        <f>IF(Table1[[#This Row],[Attrition]]="Yes", Table1[[#This Row],[MonthlyIncome]]*12*1.5, 0)</f>
        <v>43776</v>
      </c>
      <c r="AM1377" t="str" cm="1">
        <f t="array" ref="AM1377">_xlfn.IFS(
Table1[[#This Row],[MonthlyIncome]]&lt;3000,"Under 3K",
Table1[[#This Row],[MonthlyIncome]]&lt;6000,"3K-6K",
Table1[[#This Row],[MonthlyIncome]]&lt;9000,"6K-9K",
Table1[[#This Row],[MonthlyIncome]]&lt;12000,"9K-12K",
TRUE,"12K+")</f>
        <v>Under 3K</v>
      </c>
      <c r="AN1377">
        <f>1</f>
        <v>1</v>
      </c>
      <c r="AO1377" t="str" cm="1">
        <f t="array" ref="AO1377">_xlfn.IFS(
Table1[[#This Row],[YearsAtCompany]]&lt;=2,"0-2 Years",
Table1[[#This Row],[YearsAtCompany]]&lt;=5,"3-5 Years",
Table1[[#This Row],[YearsAtCompany]]&lt;=10,"6-10 Years",
TRUE,"10+ Years")</f>
        <v>3-5 Years</v>
      </c>
    </row>
    <row r="1378" spans="1:41"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tr">
        <f t="shared" si="42"/>
        <v>Research</v>
      </c>
      <c r="AK1378">
        <f t="shared" si="43"/>
        <v>0</v>
      </c>
      <c r="AL1378">
        <f>IF(Table1[[#This Row],[Attrition]]="Yes", Table1[[#This Row],[MonthlyIncome]]*12*1.5, 0)</f>
        <v>0</v>
      </c>
      <c r="AM1378" t="str" cm="1">
        <f t="array" ref="AM1378">_xlfn.IFS(
Table1[[#This Row],[MonthlyIncome]]&lt;3000,"Under 3K",
Table1[[#This Row],[MonthlyIncome]]&lt;6000,"3K-6K",
Table1[[#This Row],[MonthlyIncome]]&lt;9000,"6K-9K",
Table1[[#This Row],[MonthlyIncome]]&lt;12000,"9K-12K",
TRUE,"12K+")</f>
        <v>3K-6K</v>
      </c>
      <c r="AN1378">
        <f>1</f>
        <v>1</v>
      </c>
      <c r="AO1378" t="str" cm="1">
        <f t="array" ref="AO1378">_xlfn.IFS(
Table1[[#This Row],[YearsAtCompany]]&lt;=2,"0-2 Years",
Table1[[#This Row],[YearsAtCompany]]&lt;=5,"3-5 Years",
Table1[[#This Row],[YearsAtCompany]]&lt;=10,"6-10 Years",
TRUE,"10+ Years")</f>
        <v>3-5 Years</v>
      </c>
    </row>
    <row r="1379" spans="1:41"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tr">
        <f t="shared" si="42"/>
        <v>Research</v>
      </c>
      <c r="AK1379">
        <f t="shared" si="43"/>
        <v>0</v>
      </c>
      <c r="AL1379">
        <f>IF(Table1[[#This Row],[Attrition]]="Yes", Table1[[#This Row],[MonthlyIncome]]*12*1.5, 0)</f>
        <v>0</v>
      </c>
      <c r="AM1379" t="str" cm="1">
        <f t="array" ref="AM1379">_xlfn.IFS(
Table1[[#This Row],[MonthlyIncome]]&lt;3000,"Under 3K",
Table1[[#This Row],[MonthlyIncome]]&lt;6000,"3K-6K",
Table1[[#This Row],[MonthlyIncome]]&lt;9000,"6K-9K",
Table1[[#This Row],[MonthlyIncome]]&lt;12000,"9K-12K",
TRUE,"12K+")</f>
        <v>12K+</v>
      </c>
      <c r="AN1379">
        <f>1</f>
        <v>1</v>
      </c>
      <c r="AO1379" t="str" cm="1">
        <f t="array" ref="AO1379">_xlfn.IFS(
Table1[[#This Row],[YearsAtCompany]]&lt;=2,"0-2 Years",
Table1[[#This Row],[YearsAtCompany]]&lt;=5,"3-5 Years",
Table1[[#This Row],[YearsAtCompany]]&lt;=10,"6-10 Years",
TRUE,"10+ Years")</f>
        <v>3-5 Years</v>
      </c>
    </row>
    <row r="1380" spans="1:41"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tr">
        <f t="shared" si="42"/>
        <v>Sales</v>
      </c>
      <c r="AK1380">
        <f t="shared" si="43"/>
        <v>0</v>
      </c>
      <c r="AL1380">
        <f>IF(Table1[[#This Row],[Attrition]]="Yes", Table1[[#This Row],[MonthlyIncome]]*12*1.5, 0)</f>
        <v>0</v>
      </c>
      <c r="AM1380" t="str" cm="1">
        <f t="array" ref="AM1380">_xlfn.IFS(
Table1[[#This Row],[MonthlyIncome]]&lt;3000,"Under 3K",
Table1[[#This Row],[MonthlyIncome]]&lt;6000,"3K-6K",
Table1[[#This Row],[MonthlyIncome]]&lt;9000,"6K-9K",
Table1[[#This Row],[MonthlyIncome]]&lt;12000,"9K-12K",
TRUE,"12K+")</f>
        <v>3K-6K</v>
      </c>
      <c r="AN1380">
        <f>1</f>
        <v>1</v>
      </c>
      <c r="AO1380" t="str" cm="1">
        <f t="array" ref="AO1380">_xlfn.IFS(
Table1[[#This Row],[YearsAtCompany]]&lt;=2,"0-2 Years",
Table1[[#This Row],[YearsAtCompany]]&lt;=5,"3-5 Years",
Table1[[#This Row],[YearsAtCompany]]&lt;=10,"6-10 Years",
TRUE,"10+ Years")</f>
        <v>0-2 Years</v>
      </c>
    </row>
    <row r="1381" spans="1:41"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tr">
        <f t="shared" si="42"/>
        <v>Human Resources</v>
      </c>
      <c r="AK1381">
        <f t="shared" si="43"/>
        <v>1</v>
      </c>
      <c r="AL1381">
        <f>IF(Table1[[#This Row],[Attrition]]="Yes", Table1[[#This Row],[MonthlyIncome]]*12*1.5, 0)</f>
        <v>51534</v>
      </c>
      <c r="AM1381" t="str" cm="1">
        <f t="array" ref="AM1381">_xlfn.IFS(
Table1[[#This Row],[MonthlyIncome]]&lt;3000,"Under 3K",
Table1[[#This Row],[MonthlyIncome]]&lt;6000,"3K-6K",
Table1[[#This Row],[MonthlyIncome]]&lt;9000,"6K-9K",
Table1[[#This Row],[MonthlyIncome]]&lt;12000,"9K-12K",
TRUE,"12K+")</f>
        <v>Under 3K</v>
      </c>
      <c r="AN1381">
        <f>1</f>
        <v>1</v>
      </c>
      <c r="AO1381" t="str" cm="1">
        <f t="array" ref="AO1381">_xlfn.IFS(
Table1[[#This Row],[YearsAtCompany]]&lt;=2,"0-2 Years",
Table1[[#This Row],[YearsAtCompany]]&lt;=5,"3-5 Years",
Table1[[#This Row],[YearsAtCompany]]&lt;=10,"6-10 Years",
TRUE,"10+ Years")</f>
        <v>0-2 Years</v>
      </c>
    </row>
    <row r="1382" spans="1:41"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tr">
        <f t="shared" si="42"/>
        <v>Sales</v>
      </c>
      <c r="AK1382">
        <f t="shared" si="43"/>
        <v>0</v>
      </c>
      <c r="AL1382">
        <f>IF(Table1[[#This Row],[Attrition]]="Yes", Table1[[#This Row],[MonthlyIncome]]*12*1.5, 0)</f>
        <v>0</v>
      </c>
      <c r="AM1382" t="str" cm="1">
        <f t="array" ref="AM1382">_xlfn.IFS(
Table1[[#This Row],[MonthlyIncome]]&lt;3000,"Under 3K",
Table1[[#This Row],[MonthlyIncome]]&lt;6000,"3K-6K",
Table1[[#This Row],[MonthlyIncome]]&lt;9000,"6K-9K",
Table1[[#This Row],[MonthlyIncome]]&lt;12000,"9K-12K",
TRUE,"12K+")</f>
        <v>3K-6K</v>
      </c>
      <c r="AN1382">
        <f>1</f>
        <v>1</v>
      </c>
      <c r="AO1382" t="str" cm="1">
        <f t="array" ref="AO1382">_xlfn.IFS(
Table1[[#This Row],[YearsAtCompany]]&lt;=2,"0-2 Years",
Table1[[#This Row],[YearsAtCompany]]&lt;=5,"3-5 Years",
Table1[[#This Row],[YearsAtCompany]]&lt;=10,"6-10 Years",
TRUE,"10+ Years")</f>
        <v>3-5 Years</v>
      </c>
    </row>
    <row r="1383" spans="1:41"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tr">
        <f t="shared" si="42"/>
        <v>Research</v>
      </c>
      <c r="AK1383">
        <f t="shared" si="43"/>
        <v>0</v>
      </c>
      <c r="AL1383">
        <f>IF(Table1[[#This Row],[Attrition]]="Yes", Table1[[#This Row],[MonthlyIncome]]*12*1.5, 0)</f>
        <v>0</v>
      </c>
      <c r="AM1383" t="str" cm="1">
        <f t="array" ref="AM1383">_xlfn.IFS(
Table1[[#This Row],[MonthlyIncome]]&lt;3000,"Under 3K",
Table1[[#This Row],[MonthlyIncome]]&lt;6000,"3K-6K",
Table1[[#This Row],[MonthlyIncome]]&lt;9000,"6K-9K",
Table1[[#This Row],[MonthlyIncome]]&lt;12000,"9K-12K",
TRUE,"12K+")</f>
        <v>Under 3K</v>
      </c>
      <c r="AN1383">
        <f>1</f>
        <v>1</v>
      </c>
      <c r="AO1383" t="str" cm="1">
        <f t="array" ref="AO1383">_xlfn.IFS(
Table1[[#This Row],[YearsAtCompany]]&lt;=2,"0-2 Years",
Table1[[#This Row],[YearsAtCompany]]&lt;=5,"3-5 Years",
Table1[[#This Row],[YearsAtCompany]]&lt;=10,"6-10 Years",
TRUE,"10+ Years")</f>
        <v>3-5 Years</v>
      </c>
    </row>
    <row r="1384" spans="1:41"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tr">
        <f t="shared" si="42"/>
        <v>Research</v>
      </c>
      <c r="AK1384">
        <f t="shared" si="43"/>
        <v>0</v>
      </c>
      <c r="AL1384">
        <f>IF(Table1[[#This Row],[Attrition]]="Yes", Table1[[#This Row],[MonthlyIncome]]*12*1.5, 0)</f>
        <v>0</v>
      </c>
      <c r="AM1384" t="str" cm="1">
        <f t="array" ref="AM1384">_xlfn.IFS(
Table1[[#This Row],[MonthlyIncome]]&lt;3000,"Under 3K",
Table1[[#This Row],[MonthlyIncome]]&lt;6000,"3K-6K",
Table1[[#This Row],[MonthlyIncome]]&lt;9000,"6K-9K",
Table1[[#This Row],[MonthlyIncome]]&lt;12000,"9K-12K",
TRUE,"12K+")</f>
        <v>3K-6K</v>
      </c>
      <c r="AN1384">
        <f>1</f>
        <v>1</v>
      </c>
      <c r="AO1384" t="str" cm="1">
        <f t="array" ref="AO1384">_xlfn.IFS(
Table1[[#This Row],[YearsAtCompany]]&lt;=2,"0-2 Years",
Table1[[#This Row],[YearsAtCompany]]&lt;=5,"3-5 Years",
Table1[[#This Row],[YearsAtCompany]]&lt;=10,"6-10 Years",
TRUE,"10+ Years")</f>
        <v>3-5 Years</v>
      </c>
    </row>
    <row r="1385" spans="1:41"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tr">
        <f t="shared" si="42"/>
        <v>Research</v>
      </c>
      <c r="AK1385">
        <f t="shared" si="43"/>
        <v>0</v>
      </c>
      <c r="AL1385">
        <f>IF(Table1[[#This Row],[Attrition]]="Yes", Table1[[#This Row],[MonthlyIncome]]*12*1.5, 0)</f>
        <v>0</v>
      </c>
      <c r="AM1385" t="str" cm="1">
        <f t="array" ref="AM1385">_xlfn.IFS(
Table1[[#This Row],[MonthlyIncome]]&lt;3000,"Under 3K",
Table1[[#This Row],[MonthlyIncome]]&lt;6000,"3K-6K",
Table1[[#This Row],[MonthlyIncome]]&lt;9000,"6K-9K",
Table1[[#This Row],[MonthlyIncome]]&lt;12000,"9K-12K",
TRUE,"12K+")</f>
        <v>Under 3K</v>
      </c>
      <c r="AN1385">
        <f>1</f>
        <v>1</v>
      </c>
      <c r="AO1385" t="str" cm="1">
        <f t="array" ref="AO1385">_xlfn.IFS(
Table1[[#This Row],[YearsAtCompany]]&lt;=2,"0-2 Years",
Table1[[#This Row],[YearsAtCompany]]&lt;=5,"3-5 Years",
Table1[[#This Row],[YearsAtCompany]]&lt;=10,"6-10 Years",
TRUE,"10+ Years")</f>
        <v>3-5 Years</v>
      </c>
    </row>
    <row r="1386" spans="1:41"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tr">
        <f t="shared" si="42"/>
        <v>Sales</v>
      </c>
      <c r="AK1386">
        <f t="shared" si="43"/>
        <v>0</v>
      </c>
      <c r="AL1386">
        <f>IF(Table1[[#This Row],[Attrition]]="Yes", Table1[[#This Row],[MonthlyIncome]]*12*1.5, 0)</f>
        <v>0</v>
      </c>
      <c r="AM1386" t="str" cm="1">
        <f t="array" ref="AM1386">_xlfn.IFS(
Table1[[#This Row],[MonthlyIncome]]&lt;3000,"Under 3K",
Table1[[#This Row],[MonthlyIncome]]&lt;6000,"3K-6K",
Table1[[#This Row],[MonthlyIncome]]&lt;9000,"6K-9K",
Table1[[#This Row],[MonthlyIncome]]&lt;12000,"9K-12K",
TRUE,"12K+")</f>
        <v>9K-12K</v>
      </c>
      <c r="AN1386">
        <f>1</f>
        <v>1</v>
      </c>
      <c r="AO1386" t="str" cm="1">
        <f t="array" ref="AO1386">_xlfn.IFS(
Table1[[#This Row],[YearsAtCompany]]&lt;=2,"0-2 Years",
Table1[[#This Row],[YearsAtCompany]]&lt;=5,"3-5 Years",
Table1[[#This Row],[YearsAtCompany]]&lt;=10,"6-10 Years",
TRUE,"10+ Years")</f>
        <v>10+ Years</v>
      </c>
    </row>
    <row r="1387" spans="1:41"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tr">
        <f t="shared" si="42"/>
        <v>Sales</v>
      </c>
      <c r="AK1387">
        <f t="shared" si="43"/>
        <v>0</v>
      </c>
      <c r="AL1387">
        <f>IF(Table1[[#This Row],[Attrition]]="Yes", Table1[[#This Row],[MonthlyIncome]]*12*1.5, 0)</f>
        <v>0</v>
      </c>
      <c r="AM1387" t="str" cm="1">
        <f t="array" ref="AM1387">_xlfn.IFS(
Table1[[#This Row],[MonthlyIncome]]&lt;3000,"Under 3K",
Table1[[#This Row],[MonthlyIncome]]&lt;6000,"3K-6K",
Table1[[#This Row],[MonthlyIncome]]&lt;9000,"6K-9K",
Table1[[#This Row],[MonthlyIncome]]&lt;12000,"9K-12K",
TRUE,"12K+")</f>
        <v>6K-9K</v>
      </c>
      <c r="AN1387">
        <f>1</f>
        <v>1</v>
      </c>
      <c r="AO1387" t="str" cm="1">
        <f t="array" ref="AO1387">_xlfn.IFS(
Table1[[#This Row],[YearsAtCompany]]&lt;=2,"0-2 Years",
Table1[[#This Row],[YearsAtCompany]]&lt;=5,"3-5 Years",
Table1[[#This Row],[YearsAtCompany]]&lt;=10,"6-10 Years",
TRUE,"10+ Years")</f>
        <v>6-10 Years</v>
      </c>
    </row>
    <row r="1388" spans="1:41"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tr">
        <f t="shared" si="42"/>
        <v>Research</v>
      </c>
      <c r="AK1388">
        <f t="shared" si="43"/>
        <v>0</v>
      </c>
      <c r="AL1388">
        <f>IF(Table1[[#This Row],[Attrition]]="Yes", Table1[[#This Row],[MonthlyIncome]]*12*1.5, 0)</f>
        <v>0</v>
      </c>
      <c r="AM1388" t="str" cm="1">
        <f t="array" ref="AM1388">_xlfn.IFS(
Table1[[#This Row],[MonthlyIncome]]&lt;3000,"Under 3K",
Table1[[#This Row],[MonthlyIncome]]&lt;6000,"3K-6K",
Table1[[#This Row],[MonthlyIncome]]&lt;9000,"6K-9K",
Table1[[#This Row],[MonthlyIncome]]&lt;12000,"9K-12K",
TRUE,"12K+")</f>
        <v>Under 3K</v>
      </c>
      <c r="AN1388">
        <f>1</f>
        <v>1</v>
      </c>
      <c r="AO1388" t="str" cm="1">
        <f t="array" ref="AO1388">_xlfn.IFS(
Table1[[#This Row],[YearsAtCompany]]&lt;=2,"0-2 Years",
Table1[[#This Row],[YearsAtCompany]]&lt;=5,"3-5 Years",
Table1[[#This Row],[YearsAtCompany]]&lt;=10,"6-10 Years",
TRUE,"10+ Years")</f>
        <v>6-10 Years</v>
      </c>
    </row>
    <row r="1389" spans="1:41"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tr">
        <f t="shared" si="42"/>
        <v>Healthcare</v>
      </c>
      <c r="AK1389">
        <f t="shared" si="43"/>
        <v>0</v>
      </c>
      <c r="AL1389">
        <f>IF(Table1[[#This Row],[Attrition]]="Yes", Table1[[#This Row],[MonthlyIncome]]*12*1.5, 0)</f>
        <v>0</v>
      </c>
      <c r="AM1389" t="str" cm="1">
        <f t="array" ref="AM1389">_xlfn.IFS(
Table1[[#This Row],[MonthlyIncome]]&lt;3000,"Under 3K",
Table1[[#This Row],[MonthlyIncome]]&lt;6000,"3K-6K",
Table1[[#This Row],[MonthlyIncome]]&lt;9000,"6K-9K",
Table1[[#This Row],[MonthlyIncome]]&lt;12000,"9K-12K",
TRUE,"12K+")</f>
        <v>3K-6K</v>
      </c>
      <c r="AN1389">
        <f>1</f>
        <v>1</v>
      </c>
      <c r="AO1389" t="str" cm="1">
        <f t="array" ref="AO1389">_xlfn.IFS(
Table1[[#This Row],[YearsAtCompany]]&lt;=2,"0-2 Years",
Table1[[#This Row],[YearsAtCompany]]&lt;=5,"3-5 Years",
Table1[[#This Row],[YearsAtCompany]]&lt;=10,"6-10 Years",
TRUE,"10+ Years")</f>
        <v>3-5 Years</v>
      </c>
    </row>
    <row r="1390" spans="1:41"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tr">
        <f t="shared" si="42"/>
        <v>Healthcare</v>
      </c>
      <c r="AK1390">
        <f t="shared" si="43"/>
        <v>0</v>
      </c>
      <c r="AL1390">
        <f>IF(Table1[[#This Row],[Attrition]]="Yes", Table1[[#This Row],[MonthlyIncome]]*12*1.5, 0)</f>
        <v>0</v>
      </c>
      <c r="AM1390" t="str" cm="1">
        <f t="array" ref="AM1390">_xlfn.IFS(
Table1[[#This Row],[MonthlyIncome]]&lt;3000,"Under 3K",
Table1[[#This Row],[MonthlyIncome]]&lt;6000,"3K-6K",
Table1[[#This Row],[MonthlyIncome]]&lt;9000,"6K-9K",
Table1[[#This Row],[MonthlyIncome]]&lt;12000,"9K-12K",
TRUE,"12K+")</f>
        <v>6K-9K</v>
      </c>
      <c r="AN1390">
        <f>1</f>
        <v>1</v>
      </c>
      <c r="AO1390" t="str" cm="1">
        <f t="array" ref="AO1390">_xlfn.IFS(
Table1[[#This Row],[YearsAtCompany]]&lt;=2,"0-2 Years",
Table1[[#This Row],[YearsAtCompany]]&lt;=5,"3-5 Years",
Table1[[#This Row],[YearsAtCompany]]&lt;=10,"6-10 Years",
TRUE,"10+ Years")</f>
        <v>3-5 Years</v>
      </c>
    </row>
    <row r="1391" spans="1:41"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tr">
        <f t="shared" si="42"/>
        <v>Research</v>
      </c>
      <c r="AK1391">
        <f t="shared" si="43"/>
        <v>0</v>
      </c>
      <c r="AL1391">
        <f>IF(Table1[[#This Row],[Attrition]]="Yes", Table1[[#This Row],[MonthlyIncome]]*12*1.5, 0)</f>
        <v>0</v>
      </c>
      <c r="AM1391" t="str" cm="1">
        <f t="array" ref="AM1391">_xlfn.IFS(
Table1[[#This Row],[MonthlyIncome]]&lt;3000,"Under 3K",
Table1[[#This Row],[MonthlyIncome]]&lt;6000,"3K-6K",
Table1[[#This Row],[MonthlyIncome]]&lt;9000,"6K-9K",
Table1[[#This Row],[MonthlyIncome]]&lt;12000,"9K-12K",
TRUE,"12K+")</f>
        <v>3K-6K</v>
      </c>
      <c r="AN1391">
        <f>1</f>
        <v>1</v>
      </c>
      <c r="AO1391" t="str" cm="1">
        <f t="array" ref="AO1391">_xlfn.IFS(
Table1[[#This Row],[YearsAtCompany]]&lt;=2,"0-2 Years",
Table1[[#This Row],[YearsAtCompany]]&lt;=5,"3-5 Years",
Table1[[#This Row],[YearsAtCompany]]&lt;=10,"6-10 Years",
TRUE,"10+ Years")</f>
        <v>6-10 Years</v>
      </c>
    </row>
    <row r="1392" spans="1:41"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tr">
        <f t="shared" si="42"/>
        <v>Research</v>
      </c>
      <c r="AK1392">
        <f t="shared" si="43"/>
        <v>1</v>
      </c>
      <c r="AL1392">
        <f>IF(Table1[[#This Row],[Attrition]]="Yes", Table1[[#This Row],[MonthlyIncome]]*12*1.5, 0)</f>
        <v>42606</v>
      </c>
      <c r="AM1392" t="str" cm="1">
        <f t="array" ref="AM1392">_xlfn.IFS(
Table1[[#This Row],[MonthlyIncome]]&lt;3000,"Under 3K",
Table1[[#This Row],[MonthlyIncome]]&lt;6000,"3K-6K",
Table1[[#This Row],[MonthlyIncome]]&lt;9000,"6K-9K",
Table1[[#This Row],[MonthlyIncome]]&lt;12000,"9K-12K",
TRUE,"12K+")</f>
        <v>Under 3K</v>
      </c>
      <c r="AN1392">
        <f>1</f>
        <v>1</v>
      </c>
      <c r="AO1392" t="str" cm="1">
        <f t="array" ref="AO1392">_xlfn.IFS(
Table1[[#This Row],[YearsAtCompany]]&lt;=2,"0-2 Years",
Table1[[#This Row],[YearsAtCompany]]&lt;=5,"3-5 Years",
Table1[[#This Row],[YearsAtCompany]]&lt;=10,"6-10 Years",
TRUE,"10+ Years")</f>
        <v>3-5 Years</v>
      </c>
    </row>
    <row r="1393" spans="1:41"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tr">
        <f t="shared" si="42"/>
        <v>Sales</v>
      </c>
      <c r="AK1393">
        <f t="shared" si="43"/>
        <v>0</v>
      </c>
      <c r="AL1393">
        <f>IF(Table1[[#This Row],[Attrition]]="Yes", Table1[[#This Row],[MonthlyIncome]]*12*1.5, 0)</f>
        <v>0</v>
      </c>
      <c r="AM1393" t="str" cm="1">
        <f t="array" ref="AM1393">_xlfn.IFS(
Table1[[#This Row],[MonthlyIncome]]&lt;3000,"Under 3K",
Table1[[#This Row],[MonthlyIncome]]&lt;6000,"3K-6K",
Table1[[#This Row],[MonthlyIncome]]&lt;9000,"6K-9K",
Table1[[#This Row],[MonthlyIncome]]&lt;12000,"9K-12K",
TRUE,"12K+")</f>
        <v>Under 3K</v>
      </c>
      <c r="AN1393">
        <f>1</f>
        <v>1</v>
      </c>
      <c r="AO1393" t="str" cm="1">
        <f t="array" ref="AO1393">_xlfn.IFS(
Table1[[#This Row],[YearsAtCompany]]&lt;=2,"0-2 Years",
Table1[[#This Row],[YearsAtCompany]]&lt;=5,"3-5 Years",
Table1[[#This Row],[YearsAtCompany]]&lt;=10,"6-10 Years",
TRUE,"10+ Years")</f>
        <v>0-2 Years</v>
      </c>
    </row>
    <row r="1394" spans="1:41"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tr">
        <f t="shared" si="42"/>
        <v>Sales</v>
      </c>
      <c r="AK1394">
        <f t="shared" si="43"/>
        <v>0</v>
      </c>
      <c r="AL1394">
        <f>IF(Table1[[#This Row],[Attrition]]="Yes", Table1[[#This Row],[MonthlyIncome]]*12*1.5, 0)</f>
        <v>0</v>
      </c>
      <c r="AM1394" t="str" cm="1">
        <f t="array" ref="AM1394">_xlfn.IFS(
Table1[[#This Row],[MonthlyIncome]]&lt;3000,"Under 3K",
Table1[[#This Row],[MonthlyIncome]]&lt;6000,"3K-6K",
Table1[[#This Row],[MonthlyIncome]]&lt;9000,"6K-9K",
Table1[[#This Row],[MonthlyIncome]]&lt;12000,"9K-12K",
TRUE,"12K+")</f>
        <v>3K-6K</v>
      </c>
      <c r="AN1394">
        <f>1</f>
        <v>1</v>
      </c>
      <c r="AO1394" t="str" cm="1">
        <f t="array" ref="AO1394">_xlfn.IFS(
Table1[[#This Row],[YearsAtCompany]]&lt;=2,"0-2 Years",
Table1[[#This Row],[YearsAtCompany]]&lt;=5,"3-5 Years",
Table1[[#This Row],[YearsAtCompany]]&lt;=10,"6-10 Years",
TRUE,"10+ Years")</f>
        <v>6-10 Years</v>
      </c>
    </row>
    <row r="1395" spans="1:41"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tr">
        <f t="shared" si="42"/>
        <v>Sales</v>
      </c>
      <c r="AK1395">
        <f t="shared" si="43"/>
        <v>0</v>
      </c>
      <c r="AL1395">
        <f>IF(Table1[[#This Row],[Attrition]]="Yes", Table1[[#This Row],[MonthlyIncome]]*12*1.5, 0)</f>
        <v>0</v>
      </c>
      <c r="AM1395" t="str" cm="1">
        <f t="array" ref="AM1395">_xlfn.IFS(
Table1[[#This Row],[MonthlyIncome]]&lt;3000,"Under 3K",
Table1[[#This Row],[MonthlyIncome]]&lt;6000,"3K-6K",
Table1[[#This Row],[MonthlyIncome]]&lt;9000,"6K-9K",
Table1[[#This Row],[MonthlyIncome]]&lt;12000,"9K-12K",
TRUE,"12K+")</f>
        <v>3K-6K</v>
      </c>
      <c r="AN1395">
        <f>1</f>
        <v>1</v>
      </c>
      <c r="AO1395" t="str" cm="1">
        <f t="array" ref="AO1395">_xlfn.IFS(
Table1[[#This Row],[YearsAtCompany]]&lt;=2,"0-2 Years",
Table1[[#This Row],[YearsAtCompany]]&lt;=5,"3-5 Years",
Table1[[#This Row],[YearsAtCompany]]&lt;=10,"6-10 Years",
TRUE,"10+ Years")</f>
        <v>6-10 Years</v>
      </c>
    </row>
    <row r="1396" spans="1:41"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tr">
        <f t="shared" si="42"/>
        <v>Operations</v>
      </c>
      <c r="AK1396">
        <f t="shared" si="43"/>
        <v>0</v>
      </c>
      <c r="AL1396">
        <f>IF(Table1[[#This Row],[Attrition]]="Yes", Table1[[#This Row],[MonthlyIncome]]*12*1.5, 0)</f>
        <v>0</v>
      </c>
      <c r="AM1396" t="str" cm="1">
        <f t="array" ref="AM1396">_xlfn.IFS(
Table1[[#This Row],[MonthlyIncome]]&lt;3000,"Under 3K",
Table1[[#This Row],[MonthlyIncome]]&lt;6000,"3K-6K",
Table1[[#This Row],[MonthlyIncome]]&lt;9000,"6K-9K",
Table1[[#This Row],[MonthlyIncome]]&lt;12000,"9K-12K",
TRUE,"12K+")</f>
        <v>9K-12K</v>
      </c>
      <c r="AN1396">
        <f>1</f>
        <v>1</v>
      </c>
      <c r="AO1396" t="str" cm="1">
        <f t="array" ref="AO1396">_xlfn.IFS(
Table1[[#This Row],[YearsAtCompany]]&lt;=2,"0-2 Years",
Table1[[#This Row],[YearsAtCompany]]&lt;=5,"3-5 Years",
Table1[[#This Row],[YearsAtCompany]]&lt;=10,"6-10 Years",
TRUE,"10+ Years")</f>
        <v>0-2 Years</v>
      </c>
    </row>
    <row r="1397" spans="1:41"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tr">
        <f t="shared" si="42"/>
        <v>Sales</v>
      </c>
      <c r="AK1397">
        <f t="shared" si="43"/>
        <v>1</v>
      </c>
      <c r="AL1397">
        <f>IF(Table1[[#This Row],[Attrition]]="Yes", Table1[[#This Row],[MonthlyIncome]]*12*1.5, 0)</f>
        <v>101106</v>
      </c>
      <c r="AM1397" t="str" cm="1">
        <f t="array" ref="AM1397">_xlfn.IFS(
Table1[[#This Row],[MonthlyIncome]]&lt;3000,"Under 3K",
Table1[[#This Row],[MonthlyIncome]]&lt;6000,"3K-6K",
Table1[[#This Row],[MonthlyIncome]]&lt;9000,"6K-9K",
Table1[[#This Row],[MonthlyIncome]]&lt;12000,"9K-12K",
TRUE,"12K+")</f>
        <v>3K-6K</v>
      </c>
      <c r="AN1397">
        <f>1</f>
        <v>1</v>
      </c>
      <c r="AO1397" t="str" cm="1">
        <f t="array" ref="AO1397">_xlfn.IFS(
Table1[[#This Row],[YearsAtCompany]]&lt;=2,"0-2 Years",
Table1[[#This Row],[YearsAtCompany]]&lt;=5,"3-5 Years",
Table1[[#This Row],[YearsAtCompany]]&lt;=10,"6-10 Years",
TRUE,"10+ Years")</f>
        <v>6-10 Years</v>
      </c>
    </row>
    <row r="1398" spans="1:41"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tr">
        <f t="shared" si="42"/>
        <v>Sales</v>
      </c>
      <c r="AK1398">
        <f t="shared" si="43"/>
        <v>1</v>
      </c>
      <c r="AL1398">
        <f>IF(Table1[[#This Row],[Attrition]]="Yes", Table1[[#This Row],[MonthlyIncome]]*12*1.5, 0)</f>
        <v>188064</v>
      </c>
      <c r="AM1398" t="str" cm="1">
        <f t="array" ref="AM1398">_xlfn.IFS(
Table1[[#This Row],[MonthlyIncome]]&lt;3000,"Under 3K",
Table1[[#This Row],[MonthlyIncome]]&lt;6000,"3K-6K",
Table1[[#This Row],[MonthlyIncome]]&lt;9000,"6K-9K",
Table1[[#This Row],[MonthlyIncome]]&lt;12000,"9K-12K",
TRUE,"12K+")</f>
        <v>9K-12K</v>
      </c>
      <c r="AN1398">
        <f>1</f>
        <v>1</v>
      </c>
      <c r="AO1398" t="str" cm="1">
        <f t="array" ref="AO1398">_xlfn.IFS(
Table1[[#This Row],[YearsAtCompany]]&lt;=2,"0-2 Years",
Table1[[#This Row],[YearsAtCompany]]&lt;=5,"3-5 Years",
Table1[[#This Row],[YearsAtCompany]]&lt;=10,"6-10 Years",
TRUE,"10+ Years")</f>
        <v>0-2 Years</v>
      </c>
    </row>
    <row r="1399" spans="1:41"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tr">
        <f t="shared" si="42"/>
        <v>Research</v>
      </c>
      <c r="AK1399">
        <f t="shared" si="43"/>
        <v>0</v>
      </c>
      <c r="AL1399">
        <f>IF(Table1[[#This Row],[Attrition]]="Yes", Table1[[#This Row],[MonthlyIncome]]*12*1.5, 0)</f>
        <v>0</v>
      </c>
      <c r="AM1399" t="str" cm="1">
        <f t="array" ref="AM1399">_xlfn.IFS(
Table1[[#This Row],[MonthlyIncome]]&lt;3000,"Under 3K",
Table1[[#This Row],[MonthlyIncome]]&lt;6000,"3K-6K",
Table1[[#This Row],[MonthlyIncome]]&lt;9000,"6K-9K",
Table1[[#This Row],[MonthlyIncome]]&lt;12000,"9K-12K",
TRUE,"12K+")</f>
        <v>Under 3K</v>
      </c>
      <c r="AN1399">
        <f>1</f>
        <v>1</v>
      </c>
      <c r="AO1399" t="str" cm="1">
        <f t="array" ref="AO1399">_xlfn.IFS(
Table1[[#This Row],[YearsAtCompany]]&lt;=2,"0-2 Years",
Table1[[#This Row],[YearsAtCompany]]&lt;=5,"3-5 Years",
Table1[[#This Row],[YearsAtCompany]]&lt;=10,"6-10 Years",
TRUE,"10+ Years")</f>
        <v>3-5 Years</v>
      </c>
    </row>
    <row r="1400" spans="1:41"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tr">
        <f t="shared" si="42"/>
        <v>Healthcare</v>
      </c>
      <c r="AK1400">
        <f t="shared" si="43"/>
        <v>0</v>
      </c>
      <c r="AL1400">
        <f>IF(Table1[[#This Row],[Attrition]]="Yes", Table1[[#This Row],[MonthlyIncome]]*12*1.5, 0)</f>
        <v>0</v>
      </c>
      <c r="AM1400" t="str" cm="1">
        <f t="array" ref="AM1400">_xlfn.IFS(
Table1[[#This Row],[MonthlyIncome]]&lt;3000,"Under 3K",
Table1[[#This Row],[MonthlyIncome]]&lt;6000,"3K-6K",
Table1[[#This Row],[MonthlyIncome]]&lt;9000,"6K-9K",
Table1[[#This Row],[MonthlyIncome]]&lt;12000,"9K-12K",
TRUE,"12K+")</f>
        <v>3K-6K</v>
      </c>
      <c r="AN1400">
        <f>1</f>
        <v>1</v>
      </c>
      <c r="AO1400" t="str" cm="1">
        <f t="array" ref="AO1400">_xlfn.IFS(
Table1[[#This Row],[YearsAtCompany]]&lt;=2,"0-2 Years",
Table1[[#This Row],[YearsAtCompany]]&lt;=5,"3-5 Years",
Table1[[#This Row],[YearsAtCompany]]&lt;=10,"6-10 Years",
TRUE,"10+ Years")</f>
        <v>6-10 Years</v>
      </c>
    </row>
    <row r="1401" spans="1:41"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tr">
        <f t="shared" si="42"/>
        <v>Healthcare</v>
      </c>
      <c r="AK1401">
        <f t="shared" si="43"/>
        <v>0</v>
      </c>
      <c r="AL1401">
        <f>IF(Table1[[#This Row],[Attrition]]="Yes", Table1[[#This Row],[MonthlyIncome]]*12*1.5, 0)</f>
        <v>0</v>
      </c>
      <c r="AM1401" t="str" cm="1">
        <f t="array" ref="AM1401">_xlfn.IFS(
Table1[[#This Row],[MonthlyIncome]]&lt;3000,"Under 3K",
Table1[[#This Row],[MonthlyIncome]]&lt;6000,"3K-6K",
Table1[[#This Row],[MonthlyIncome]]&lt;9000,"6K-9K",
Table1[[#This Row],[MonthlyIncome]]&lt;12000,"9K-12K",
TRUE,"12K+")</f>
        <v>6K-9K</v>
      </c>
      <c r="AN1401">
        <f>1</f>
        <v>1</v>
      </c>
      <c r="AO1401" t="str" cm="1">
        <f t="array" ref="AO1401">_xlfn.IFS(
Table1[[#This Row],[YearsAtCompany]]&lt;=2,"0-2 Years",
Table1[[#This Row],[YearsAtCompany]]&lt;=5,"3-5 Years",
Table1[[#This Row],[YearsAtCompany]]&lt;=10,"6-10 Years",
TRUE,"10+ Years")</f>
        <v>6-10 Years</v>
      </c>
    </row>
    <row r="1402" spans="1:41"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tr">
        <f t="shared" si="42"/>
        <v>Human Resources</v>
      </c>
      <c r="AK1402">
        <f t="shared" si="43"/>
        <v>0</v>
      </c>
      <c r="AL1402">
        <f>IF(Table1[[#This Row],[Attrition]]="Yes", Table1[[#This Row],[MonthlyIncome]]*12*1.5, 0)</f>
        <v>0</v>
      </c>
      <c r="AM1402" t="str" cm="1">
        <f t="array" ref="AM1402">_xlfn.IFS(
Table1[[#This Row],[MonthlyIncome]]&lt;3000,"Under 3K",
Table1[[#This Row],[MonthlyIncome]]&lt;6000,"3K-6K",
Table1[[#This Row],[MonthlyIncome]]&lt;9000,"6K-9K",
Table1[[#This Row],[MonthlyIncome]]&lt;12000,"9K-12K",
TRUE,"12K+")</f>
        <v>Under 3K</v>
      </c>
      <c r="AN1402">
        <f>1</f>
        <v>1</v>
      </c>
      <c r="AO1402" t="str" cm="1">
        <f t="array" ref="AO1402">_xlfn.IFS(
Table1[[#This Row],[YearsAtCompany]]&lt;=2,"0-2 Years",
Table1[[#This Row],[YearsAtCompany]]&lt;=5,"3-5 Years",
Table1[[#This Row],[YearsAtCompany]]&lt;=10,"6-10 Years",
TRUE,"10+ Years")</f>
        <v>6-10 Years</v>
      </c>
    </row>
    <row r="1403" spans="1:41"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tr">
        <f t="shared" si="42"/>
        <v>Management</v>
      </c>
      <c r="AK1403">
        <f t="shared" si="43"/>
        <v>0</v>
      </c>
      <c r="AL1403">
        <f>IF(Table1[[#This Row],[Attrition]]="Yes", Table1[[#This Row],[MonthlyIncome]]*12*1.5, 0)</f>
        <v>0</v>
      </c>
      <c r="AM1403" t="str" cm="1">
        <f t="array" ref="AM1403">_xlfn.IFS(
Table1[[#This Row],[MonthlyIncome]]&lt;3000,"Under 3K",
Table1[[#This Row],[MonthlyIncome]]&lt;6000,"3K-6K",
Table1[[#This Row],[MonthlyIncome]]&lt;9000,"6K-9K",
Table1[[#This Row],[MonthlyIncome]]&lt;12000,"9K-12K",
TRUE,"12K+")</f>
        <v>12K+</v>
      </c>
      <c r="AN1403">
        <f>1</f>
        <v>1</v>
      </c>
      <c r="AO1403" t="str" cm="1">
        <f t="array" ref="AO1403">_xlfn.IFS(
Table1[[#This Row],[YearsAtCompany]]&lt;=2,"0-2 Years",
Table1[[#This Row],[YearsAtCompany]]&lt;=5,"3-5 Years",
Table1[[#This Row],[YearsAtCompany]]&lt;=10,"6-10 Years",
TRUE,"10+ Years")</f>
        <v>6-10 Years</v>
      </c>
    </row>
    <row r="1404" spans="1:41"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tr">
        <f t="shared" si="42"/>
        <v>Research</v>
      </c>
      <c r="AK1404">
        <f t="shared" si="43"/>
        <v>0</v>
      </c>
      <c r="AL1404">
        <f>IF(Table1[[#This Row],[Attrition]]="Yes", Table1[[#This Row],[MonthlyIncome]]*12*1.5, 0)</f>
        <v>0</v>
      </c>
      <c r="AM1404" t="str" cm="1">
        <f t="array" ref="AM1404">_xlfn.IFS(
Table1[[#This Row],[MonthlyIncome]]&lt;3000,"Under 3K",
Table1[[#This Row],[MonthlyIncome]]&lt;6000,"3K-6K",
Table1[[#This Row],[MonthlyIncome]]&lt;9000,"6K-9K",
Table1[[#This Row],[MonthlyIncome]]&lt;12000,"9K-12K",
TRUE,"12K+")</f>
        <v>Under 3K</v>
      </c>
      <c r="AN1404">
        <f>1</f>
        <v>1</v>
      </c>
      <c r="AO1404" t="str" cm="1">
        <f t="array" ref="AO1404">_xlfn.IFS(
Table1[[#This Row],[YearsAtCompany]]&lt;=2,"0-2 Years",
Table1[[#This Row],[YearsAtCompany]]&lt;=5,"3-5 Years",
Table1[[#This Row],[YearsAtCompany]]&lt;=10,"6-10 Years",
TRUE,"10+ Years")</f>
        <v>0-2 Years</v>
      </c>
    </row>
    <row r="1405" spans="1:41"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tr">
        <f t="shared" si="42"/>
        <v>Sales</v>
      </c>
      <c r="AK1405">
        <f t="shared" si="43"/>
        <v>0</v>
      </c>
      <c r="AL1405">
        <f>IF(Table1[[#This Row],[Attrition]]="Yes", Table1[[#This Row],[MonthlyIncome]]*12*1.5, 0)</f>
        <v>0</v>
      </c>
      <c r="AM1405" t="str" cm="1">
        <f t="array" ref="AM1405">_xlfn.IFS(
Table1[[#This Row],[MonthlyIncome]]&lt;3000,"Under 3K",
Table1[[#This Row],[MonthlyIncome]]&lt;6000,"3K-6K",
Table1[[#This Row],[MonthlyIncome]]&lt;9000,"6K-9K",
Table1[[#This Row],[MonthlyIncome]]&lt;12000,"9K-12K",
TRUE,"12K+")</f>
        <v>12K+</v>
      </c>
      <c r="AN1405">
        <f>1</f>
        <v>1</v>
      </c>
      <c r="AO1405" t="str" cm="1">
        <f t="array" ref="AO1405">_xlfn.IFS(
Table1[[#This Row],[YearsAtCompany]]&lt;=2,"0-2 Years",
Table1[[#This Row],[YearsAtCompany]]&lt;=5,"3-5 Years",
Table1[[#This Row],[YearsAtCompany]]&lt;=10,"6-10 Years",
TRUE,"10+ Years")</f>
        <v>10+ Years</v>
      </c>
    </row>
    <row r="1406" spans="1:41"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tr">
        <f t="shared" si="42"/>
        <v>Research</v>
      </c>
      <c r="AK1406">
        <f t="shared" si="43"/>
        <v>0</v>
      </c>
      <c r="AL1406">
        <f>IF(Table1[[#This Row],[Attrition]]="Yes", Table1[[#This Row],[MonthlyIncome]]*12*1.5, 0)</f>
        <v>0</v>
      </c>
      <c r="AM1406" t="str" cm="1">
        <f t="array" ref="AM1406">_xlfn.IFS(
Table1[[#This Row],[MonthlyIncome]]&lt;3000,"Under 3K",
Table1[[#This Row],[MonthlyIncome]]&lt;6000,"3K-6K",
Table1[[#This Row],[MonthlyIncome]]&lt;9000,"6K-9K",
Table1[[#This Row],[MonthlyIncome]]&lt;12000,"9K-12K",
TRUE,"12K+")</f>
        <v>3K-6K</v>
      </c>
      <c r="AN1406">
        <f>1</f>
        <v>1</v>
      </c>
      <c r="AO1406" t="str" cm="1">
        <f t="array" ref="AO1406">_xlfn.IFS(
Table1[[#This Row],[YearsAtCompany]]&lt;=2,"0-2 Years",
Table1[[#This Row],[YearsAtCompany]]&lt;=5,"3-5 Years",
Table1[[#This Row],[YearsAtCompany]]&lt;=10,"6-10 Years",
TRUE,"10+ Years")</f>
        <v>10+ Years</v>
      </c>
    </row>
    <row r="1407" spans="1:41"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tr">
        <f t="shared" si="42"/>
        <v>Research</v>
      </c>
      <c r="AK1407">
        <f t="shared" si="43"/>
        <v>0</v>
      </c>
      <c r="AL1407">
        <f>IF(Table1[[#This Row],[Attrition]]="Yes", Table1[[#This Row],[MonthlyIncome]]*12*1.5, 0)</f>
        <v>0</v>
      </c>
      <c r="AM1407" t="str" cm="1">
        <f t="array" ref="AM1407">_xlfn.IFS(
Table1[[#This Row],[MonthlyIncome]]&lt;3000,"Under 3K",
Table1[[#This Row],[MonthlyIncome]]&lt;6000,"3K-6K",
Table1[[#This Row],[MonthlyIncome]]&lt;9000,"6K-9K",
Table1[[#This Row],[MonthlyIncome]]&lt;12000,"9K-12K",
TRUE,"12K+")</f>
        <v>9K-12K</v>
      </c>
      <c r="AN1407">
        <f>1</f>
        <v>1</v>
      </c>
      <c r="AO1407" t="str" cm="1">
        <f t="array" ref="AO1407">_xlfn.IFS(
Table1[[#This Row],[YearsAtCompany]]&lt;=2,"0-2 Years",
Table1[[#This Row],[YearsAtCompany]]&lt;=5,"3-5 Years",
Table1[[#This Row],[YearsAtCompany]]&lt;=10,"6-10 Years",
TRUE,"10+ Years")</f>
        <v>10+ Years</v>
      </c>
    </row>
    <row r="1408" spans="1:41"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tr">
        <f t="shared" si="42"/>
        <v>Operations</v>
      </c>
      <c r="AK1408">
        <f t="shared" si="43"/>
        <v>0</v>
      </c>
      <c r="AL1408">
        <f>IF(Table1[[#This Row],[Attrition]]="Yes", Table1[[#This Row],[MonthlyIncome]]*12*1.5, 0)</f>
        <v>0</v>
      </c>
      <c r="AM1408" t="str" cm="1">
        <f t="array" ref="AM1408">_xlfn.IFS(
Table1[[#This Row],[MonthlyIncome]]&lt;3000,"Under 3K",
Table1[[#This Row],[MonthlyIncome]]&lt;6000,"3K-6K",
Table1[[#This Row],[MonthlyIncome]]&lt;9000,"6K-9K",
Table1[[#This Row],[MonthlyIncome]]&lt;12000,"9K-12K",
TRUE,"12K+")</f>
        <v>3K-6K</v>
      </c>
      <c r="AN1408">
        <f>1</f>
        <v>1</v>
      </c>
      <c r="AO1408" t="str" cm="1">
        <f t="array" ref="AO1408">_xlfn.IFS(
Table1[[#This Row],[YearsAtCompany]]&lt;=2,"0-2 Years",
Table1[[#This Row],[YearsAtCompany]]&lt;=5,"3-5 Years",
Table1[[#This Row],[YearsAtCompany]]&lt;=10,"6-10 Years",
TRUE,"10+ Years")</f>
        <v>3-5 Years</v>
      </c>
    </row>
    <row r="1409" spans="1:41"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tr">
        <f t="shared" si="42"/>
        <v>Healthcare</v>
      </c>
      <c r="AK1409">
        <f t="shared" si="43"/>
        <v>0</v>
      </c>
      <c r="AL1409">
        <f>IF(Table1[[#This Row],[Attrition]]="Yes", Table1[[#This Row],[MonthlyIncome]]*12*1.5, 0)</f>
        <v>0</v>
      </c>
      <c r="AM1409" t="str" cm="1">
        <f t="array" ref="AM1409">_xlfn.IFS(
Table1[[#This Row],[MonthlyIncome]]&lt;3000,"Under 3K",
Table1[[#This Row],[MonthlyIncome]]&lt;6000,"3K-6K",
Table1[[#This Row],[MonthlyIncome]]&lt;9000,"6K-9K",
Table1[[#This Row],[MonthlyIncome]]&lt;12000,"9K-12K",
TRUE,"12K+")</f>
        <v>3K-6K</v>
      </c>
      <c r="AN1409">
        <f>1</f>
        <v>1</v>
      </c>
      <c r="AO1409" t="str" cm="1">
        <f t="array" ref="AO1409">_xlfn.IFS(
Table1[[#This Row],[YearsAtCompany]]&lt;=2,"0-2 Years",
Table1[[#This Row],[YearsAtCompany]]&lt;=5,"3-5 Years",
Table1[[#This Row],[YearsAtCompany]]&lt;=10,"6-10 Years",
TRUE,"10+ Years")</f>
        <v>3-5 Years</v>
      </c>
    </row>
    <row r="1410" spans="1:41"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tr">
        <f t="shared" si="42"/>
        <v>Research</v>
      </c>
      <c r="AK1410">
        <f t="shared" si="43"/>
        <v>0</v>
      </c>
      <c r="AL1410">
        <f>IF(Table1[[#This Row],[Attrition]]="Yes", Table1[[#This Row],[MonthlyIncome]]*12*1.5, 0)</f>
        <v>0</v>
      </c>
      <c r="AM1410" t="str" cm="1">
        <f t="array" ref="AM1410">_xlfn.IFS(
Table1[[#This Row],[MonthlyIncome]]&lt;3000,"Under 3K",
Table1[[#This Row],[MonthlyIncome]]&lt;6000,"3K-6K",
Table1[[#This Row],[MonthlyIncome]]&lt;9000,"6K-9K",
Table1[[#This Row],[MonthlyIncome]]&lt;12000,"9K-12K",
TRUE,"12K+")</f>
        <v>Under 3K</v>
      </c>
      <c r="AN1410">
        <f>1</f>
        <v>1</v>
      </c>
      <c r="AO1410" t="str" cm="1">
        <f t="array" ref="AO1410">_xlfn.IFS(
Table1[[#This Row],[YearsAtCompany]]&lt;=2,"0-2 Years",
Table1[[#This Row],[YearsAtCompany]]&lt;=5,"3-5 Years",
Table1[[#This Row],[YearsAtCompany]]&lt;=10,"6-10 Years",
TRUE,"10+ Years")</f>
        <v>3-5 Years</v>
      </c>
    </row>
    <row r="1411" spans="1:41"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tr">
        <f t="shared" ref="AJ1411:AJ1471" si="44">_xlfn.XLOOKUP(P1411, $AP$2:$AP$10,$AQ$2:$AQ$10)</f>
        <v>Research</v>
      </c>
      <c r="AK1411">
        <f t="shared" ref="AK1411:AK1471" si="45">IF(B1411 ="Yes",1,0)</f>
        <v>0</v>
      </c>
      <c r="AL1411">
        <f>IF(Table1[[#This Row],[Attrition]]="Yes", Table1[[#This Row],[MonthlyIncome]]*12*1.5, 0)</f>
        <v>0</v>
      </c>
      <c r="AM1411" t="str" cm="1">
        <f t="array" ref="AM1411">_xlfn.IFS(
Table1[[#This Row],[MonthlyIncome]]&lt;3000,"Under 3K",
Table1[[#This Row],[MonthlyIncome]]&lt;6000,"3K-6K",
Table1[[#This Row],[MonthlyIncome]]&lt;9000,"6K-9K",
Table1[[#This Row],[MonthlyIncome]]&lt;12000,"9K-12K",
TRUE,"12K+")</f>
        <v>6K-9K</v>
      </c>
      <c r="AN1411">
        <f>1</f>
        <v>1</v>
      </c>
      <c r="AO1411" t="str" cm="1">
        <f t="array" ref="AO1411">_xlfn.IFS(
Table1[[#This Row],[YearsAtCompany]]&lt;=2,"0-2 Years",
Table1[[#This Row],[YearsAtCompany]]&lt;=5,"3-5 Years",
Table1[[#This Row],[YearsAtCompany]]&lt;=10,"6-10 Years",
TRUE,"10+ Years")</f>
        <v>6-10 Years</v>
      </c>
    </row>
    <row r="1412" spans="1:41"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tr">
        <f t="shared" si="44"/>
        <v>Sales</v>
      </c>
      <c r="AK1412">
        <f t="shared" si="45"/>
        <v>0</v>
      </c>
      <c r="AL1412">
        <f>IF(Table1[[#This Row],[Attrition]]="Yes", Table1[[#This Row],[MonthlyIncome]]*12*1.5, 0)</f>
        <v>0</v>
      </c>
      <c r="AM1412" t="str" cm="1">
        <f t="array" ref="AM1412">_xlfn.IFS(
Table1[[#This Row],[MonthlyIncome]]&lt;3000,"Under 3K",
Table1[[#This Row],[MonthlyIncome]]&lt;6000,"3K-6K",
Table1[[#This Row],[MonthlyIncome]]&lt;9000,"6K-9K",
Table1[[#This Row],[MonthlyIncome]]&lt;12000,"9K-12K",
TRUE,"12K+")</f>
        <v>3K-6K</v>
      </c>
      <c r="AN1412">
        <f>1</f>
        <v>1</v>
      </c>
      <c r="AO1412" t="str" cm="1">
        <f t="array" ref="AO1412">_xlfn.IFS(
Table1[[#This Row],[YearsAtCompany]]&lt;=2,"0-2 Years",
Table1[[#This Row],[YearsAtCompany]]&lt;=5,"3-5 Years",
Table1[[#This Row],[YearsAtCompany]]&lt;=10,"6-10 Years",
TRUE,"10+ Years")</f>
        <v>10+ Years</v>
      </c>
    </row>
    <row r="1413" spans="1:41"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tr">
        <f t="shared" si="44"/>
        <v>Human Resources</v>
      </c>
      <c r="AK1413">
        <f t="shared" si="45"/>
        <v>0</v>
      </c>
      <c r="AL1413">
        <f>IF(Table1[[#This Row],[Attrition]]="Yes", Table1[[#This Row],[MonthlyIncome]]*12*1.5, 0)</f>
        <v>0</v>
      </c>
      <c r="AM1413" t="str" cm="1">
        <f t="array" ref="AM1413">_xlfn.IFS(
Table1[[#This Row],[MonthlyIncome]]&lt;3000,"Under 3K",
Table1[[#This Row],[MonthlyIncome]]&lt;6000,"3K-6K",
Table1[[#This Row],[MonthlyIncome]]&lt;9000,"6K-9K",
Table1[[#This Row],[MonthlyIncome]]&lt;12000,"9K-12K",
TRUE,"12K+")</f>
        <v>Under 3K</v>
      </c>
      <c r="AN1413">
        <f>1</f>
        <v>1</v>
      </c>
      <c r="AO1413" t="str" cm="1">
        <f t="array" ref="AO1413">_xlfn.IFS(
Table1[[#This Row],[YearsAtCompany]]&lt;=2,"0-2 Years",
Table1[[#This Row],[YearsAtCompany]]&lt;=5,"3-5 Years",
Table1[[#This Row],[YearsAtCompany]]&lt;=10,"6-10 Years",
TRUE,"10+ Years")</f>
        <v>0-2 Years</v>
      </c>
    </row>
    <row r="1414" spans="1:41"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tr">
        <f t="shared" si="44"/>
        <v>Research</v>
      </c>
      <c r="AK1414">
        <f t="shared" si="45"/>
        <v>0</v>
      </c>
      <c r="AL1414">
        <f>IF(Table1[[#This Row],[Attrition]]="Yes", Table1[[#This Row],[MonthlyIncome]]*12*1.5, 0)</f>
        <v>0</v>
      </c>
      <c r="AM1414" t="str" cm="1">
        <f t="array" ref="AM1414">_xlfn.IFS(
Table1[[#This Row],[MonthlyIncome]]&lt;3000,"Under 3K",
Table1[[#This Row],[MonthlyIncome]]&lt;6000,"3K-6K",
Table1[[#This Row],[MonthlyIncome]]&lt;9000,"6K-9K",
Table1[[#This Row],[MonthlyIncome]]&lt;12000,"9K-12K",
TRUE,"12K+")</f>
        <v>3K-6K</v>
      </c>
      <c r="AN1414">
        <f>1</f>
        <v>1</v>
      </c>
      <c r="AO1414" t="str" cm="1">
        <f t="array" ref="AO1414">_xlfn.IFS(
Table1[[#This Row],[YearsAtCompany]]&lt;=2,"0-2 Years",
Table1[[#This Row],[YearsAtCompany]]&lt;=5,"3-5 Years",
Table1[[#This Row],[YearsAtCompany]]&lt;=10,"6-10 Years",
TRUE,"10+ Years")</f>
        <v>10+ Years</v>
      </c>
    </row>
    <row r="1415" spans="1:41"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tr">
        <f t="shared" si="44"/>
        <v>Research</v>
      </c>
      <c r="AK1415">
        <f t="shared" si="45"/>
        <v>0</v>
      </c>
      <c r="AL1415">
        <f>IF(Table1[[#This Row],[Attrition]]="Yes", Table1[[#This Row],[MonthlyIncome]]*12*1.5, 0)</f>
        <v>0</v>
      </c>
      <c r="AM1415" t="str" cm="1">
        <f t="array" ref="AM1415">_xlfn.IFS(
Table1[[#This Row],[MonthlyIncome]]&lt;3000,"Under 3K",
Table1[[#This Row],[MonthlyIncome]]&lt;6000,"3K-6K",
Table1[[#This Row],[MonthlyIncome]]&lt;9000,"6K-9K",
Table1[[#This Row],[MonthlyIncome]]&lt;12000,"9K-12K",
TRUE,"12K+")</f>
        <v>3K-6K</v>
      </c>
      <c r="AN1415">
        <f>1</f>
        <v>1</v>
      </c>
      <c r="AO1415" t="str" cm="1">
        <f t="array" ref="AO1415">_xlfn.IFS(
Table1[[#This Row],[YearsAtCompany]]&lt;=2,"0-2 Years",
Table1[[#This Row],[YearsAtCompany]]&lt;=5,"3-5 Years",
Table1[[#This Row],[YearsAtCompany]]&lt;=10,"6-10 Years",
TRUE,"10+ Years")</f>
        <v>0-2 Years</v>
      </c>
    </row>
    <row r="1416" spans="1:41"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tr">
        <f t="shared" si="44"/>
        <v>Healthcare</v>
      </c>
      <c r="AK1416">
        <f t="shared" si="45"/>
        <v>0</v>
      </c>
      <c r="AL1416">
        <f>IF(Table1[[#This Row],[Attrition]]="Yes", Table1[[#This Row],[MonthlyIncome]]*12*1.5, 0)</f>
        <v>0</v>
      </c>
      <c r="AM1416" t="str" cm="1">
        <f t="array" ref="AM1416">_xlfn.IFS(
Table1[[#This Row],[MonthlyIncome]]&lt;3000,"Under 3K",
Table1[[#This Row],[MonthlyIncome]]&lt;6000,"3K-6K",
Table1[[#This Row],[MonthlyIncome]]&lt;9000,"6K-9K",
Table1[[#This Row],[MonthlyIncome]]&lt;12000,"9K-12K",
TRUE,"12K+")</f>
        <v>6K-9K</v>
      </c>
      <c r="AN1416">
        <f>1</f>
        <v>1</v>
      </c>
      <c r="AO1416" t="str" cm="1">
        <f t="array" ref="AO1416">_xlfn.IFS(
Table1[[#This Row],[YearsAtCompany]]&lt;=2,"0-2 Years",
Table1[[#This Row],[YearsAtCompany]]&lt;=5,"3-5 Years",
Table1[[#This Row],[YearsAtCompany]]&lt;=10,"6-10 Years",
TRUE,"10+ Years")</f>
        <v>10+ Years</v>
      </c>
    </row>
    <row r="1417" spans="1:41"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tr">
        <f t="shared" si="44"/>
        <v>Research</v>
      </c>
      <c r="AK1417">
        <f t="shared" si="45"/>
        <v>0</v>
      </c>
      <c r="AL1417">
        <f>IF(Table1[[#This Row],[Attrition]]="Yes", Table1[[#This Row],[MonthlyIncome]]*12*1.5, 0)</f>
        <v>0</v>
      </c>
      <c r="AM1417" t="str" cm="1">
        <f t="array" ref="AM1417">_xlfn.IFS(
Table1[[#This Row],[MonthlyIncome]]&lt;3000,"Under 3K",
Table1[[#This Row],[MonthlyIncome]]&lt;6000,"3K-6K",
Table1[[#This Row],[MonthlyIncome]]&lt;9000,"6K-9K",
Table1[[#This Row],[MonthlyIncome]]&lt;12000,"9K-12K",
TRUE,"12K+")</f>
        <v>Under 3K</v>
      </c>
      <c r="AN1417">
        <f>1</f>
        <v>1</v>
      </c>
      <c r="AO1417" t="str" cm="1">
        <f t="array" ref="AO1417">_xlfn.IFS(
Table1[[#This Row],[YearsAtCompany]]&lt;=2,"0-2 Years",
Table1[[#This Row],[YearsAtCompany]]&lt;=5,"3-5 Years",
Table1[[#This Row],[YearsAtCompany]]&lt;=10,"6-10 Years",
TRUE,"10+ Years")</f>
        <v>0-2 Years</v>
      </c>
    </row>
    <row r="1418" spans="1:41"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tr">
        <f t="shared" si="44"/>
        <v>Sales</v>
      </c>
      <c r="AK1418">
        <f t="shared" si="45"/>
        <v>0</v>
      </c>
      <c r="AL1418">
        <f>IF(Table1[[#This Row],[Attrition]]="Yes", Table1[[#This Row],[MonthlyIncome]]*12*1.5, 0)</f>
        <v>0</v>
      </c>
      <c r="AM1418" t="str" cm="1">
        <f t="array" ref="AM1418">_xlfn.IFS(
Table1[[#This Row],[MonthlyIncome]]&lt;3000,"Under 3K",
Table1[[#This Row],[MonthlyIncome]]&lt;6000,"3K-6K",
Table1[[#This Row],[MonthlyIncome]]&lt;9000,"6K-9K",
Table1[[#This Row],[MonthlyIncome]]&lt;12000,"9K-12K",
TRUE,"12K+")</f>
        <v>3K-6K</v>
      </c>
      <c r="AN1418">
        <f>1</f>
        <v>1</v>
      </c>
      <c r="AO1418" t="str" cm="1">
        <f t="array" ref="AO1418">_xlfn.IFS(
Table1[[#This Row],[YearsAtCompany]]&lt;=2,"0-2 Years",
Table1[[#This Row],[YearsAtCompany]]&lt;=5,"3-5 Years",
Table1[[#This Row],[YearsAtCompany]]&lt;=10,"6-10 Years",
TRUE,"10+ Years")</f>
        <v>10+ Years</v>
      </c>
    </row>
    <row r="1419" spans="1:41"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tr">
        <f t="shared" si="44"/>
        <v>Sales</v>
      </c>
      <c r="AK1419">
        <f t="shared" si="45"/>
        <v>0</v>
      </c>
      <c r="AL1419">
        <f>IF(Table1[[#This Row],[Attrition]]="Yes", Table1[[#This Row],[MonthlyIncome]]*12*1.5, 0)</f>
        <v>0</v>
      </c>
      <c r="AM1419" t="str" cm="1">
        <f t="array" ref="AM1419">_xlfn.IFS(
Table1[[#This Row],[MonthlyIncome]]&lt;3000,"Under 3K",
Table1[[#This Row],[MonthlyIncome]]&lt;6000,"3K-6K",
Table1[[#This Row],[MonthlyIncome]]&lt;9000,"6K-9K",
Table1[[#This Row],[MonthlyIncome]]&lt;12000,"9K-12K",
TRUE,"12K+")</f>
        <v>3K-6K</v>
      </c>
      <c r="AN1419">
        <f>1</f>
        <v>1</v>
      </c>
      <c r="AO1419" t="str" cm="1">
        <f t="array" ref="AO1419">_xlfn.IFS(
Table1[[#This Row],[YearsAtCompany]]&lt;=2,"0-2 Years",
Table1[[#This Row],[YearsAtCompany]]&lt;=5,"3-5 Years",
Table1[[#This Row],[YearsAtCompany]]&lt;=10,"6-10 Years",
TRUE,"10+ Years")</f>
        <v>0-2 Years</v>
      </c>
    </row>
    <row r="1420" spans="1:41"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tr">
        <f t="shared" si="44"/>
        <v>Operations</v>
      </c>
      <c r="AK1420">
        <f t="shared" si="45"/>
        <v>0</v>
      </c>
      <c r="AL1420">
        <f>IF(Table1[[#This Row],[Attrition]]="Yes", Table1[[#This Row],[MonthlyIncome]]*12*1.5, 0)</f>
        <v>0</v>
      </c>
      <c r="AM1420" t="str" cm="1">
        <f t="array" ref="AM1420">_xlfn.IFS(
Table1[[#This Row],[MonthlyIncome]]&lt;3000,"Under 3K",
Table1[[#This Row],[MonthlyIncome]]&lt;6000,"3K-6K",
Table1[[#This Row],[MonthlyIncome]]&lt;9000,"6K-9K",
Table1[[#This Row],[MonthlyIncome]]&lt;12000,"9K-12K",
TRUE,"12K+")</f>
        <v>3K-6K</v>
      </c>
      <c r="AN1420">
        <f>1</f>
        <v>1</v>
      </c>
      <c r="AO1420" t="str" cm="1">
        <f t="array" ref="AO1420">_xlfn.IFS(
Table1[[#This Row],[YearsAtCompany]]&lt;=2,"0-2 Years",
Table1[[#This Row],[YearsAtCompany]]&lt;=5,"3-5 Years",
Table1[[#This Row],[YearsAtCompany]]&lt;=10,"6-10 Years",
TRUE,"10+ Years")</f>
        <v>6-10 Years</v>
      </c>
    </row>
    <row r="1421" spans="1:41"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tr">
        <f t="shared" si="44"/>
        <v>Research</v>
      </c>
      <c r="AK1421">
        <f t="shared" si="45"/>
        <v>0</v>
      </c>
      <c r="AL1421">
        <f>IF(Table1[[#This Row],[Attrition]]="Yes", Table1[[#This Row],[MonthlyIncome]]*12*1.5, 0)</f>
        <v>0</v>
      </c>
      <c r="AM1421" t="str" cm="1">
        <f t="array" ref="AM1421">_xlfn.IFS(
Table1[[#This Row],[MonthlyIncome]]&lt;3000,"Under 3K",
Table1[[#This Row],[MonthlyIncome]]&lt;6000,"3K-6K",
Table1[[#This Row],[MonthlyIncome]]&lt;9000,"6K-9K",
Table1[[#This Row],[MonthlyIncome]]&lt;12000,"9K-12K",
TRUE,"12K+")</f>
        <v>3K-6K</v>
      </c>
      <c r="AN1421">
        <f>1</f>
        <v>1</v>
      </c>
      <c r="AO1421" t="str" cm="1">
        <f t="array" ref="AO1421">_xlfn.IFS(
Table1[[#This Row],[YearsAtCompany]]&lt;=2,"0-2 Years",
Table1[[#This Row],[YearsAtCompany]]&lt;=5,"3-5 Years",
Table1[[#This Row],[YearsAtCompany]]&lt;=10,"6-10 Years",
TRUE,"10+ Years")</f>
        <v>3-5 Years</v>
      </c>
    </row>
    <row r="1422" spans="1:41"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tr">
        <f t="shared" si="44"/>
        <v>Research</v>
      </c>
      <c r="AK1422">
        <f t="shared" si="45"/>
        <v>0</v>
      </c>
      <c r="AL1422">
        <f>IF(Table1[[#This Row],[Attrition]]="Yes", Table1[[#This Row],[MonthlyIncome]]*12*1.5, 0)</f>
        <v>0</v>
      </c>
      <c r="AM1422" t="str" cm="1">
        <f t="array" ref="AM1422">_xlfn.IFS(
Table1[[#This Row],[MonthlyIncome]]&lt;3000,"Under 3K",
Table1[[#This Row],[MonthlyIncome]]&lt;6000,"3K-6K",
Table1[[#This Row],[MonthlyIncome]]&lt;9000,"6K-9K",
Table1[[#This Row],[MonthlyIncome]]&lt;12000,"9K-12K",
TRUE,"12K+")</f>
        <v>Under 3K</v>
      </c>
      <c r="AN1422">
        <f>1</f>
        <v>1</v>
      </c>
      <c r="AO1422" t="str" cm="1">
        <f t="array" ref="AO1422">_xlfn.IFS(
Table1[[#This Row],[YearsAtCompany]]&lt;=2,"0-2 Years",
Table1[[#This Row],[YearsAtCompany]]&lt;=5,"3-5 Years",
Table1[[#This Row],[YearsAtCompany]]&lt;=10,"6-10 Years",
TRUE,"10+ Years")</f>
        <v>3-5 Years</v>
      </c>
    </row>
    <row r="1423" spans="1:41"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tr">
        <f t="shared" si="44"/>
        <v>Research</v>
      </c>
      <c r="AK1423">
        <f t="shared" si="45"/>
        <v>0</v>
      </c>
      <c r="AL1423">
        <f>IF(Table1[[#This Row],[Attrition]]="Yes", Table1[[#This Row],[MonthlyIncome]]*12*1.5, 0)</f>
        <v>0</v>
      </c>
      <c r="AM1423" t="str" cm="1">
        <f t="array" ref="AM1423">_xlfn.IFS(
Table1[[#This Row],[MonthlyIncome]]&lt;3000,"Under 3K",
Table1[[#This Row],[MonthlyIncome]]&lt;6000,"3K-6K",
Table1[[#This Row],[MonthlyIncome]]&lt;9000,"6K-9K",
Table1[[#This Row],[MonthlyIncome]]&lt;12000,"9K-12K",
TRUE,"12K+")</f>
        <v>9K-12K</v>
      </c>
      <c r="AN1423">
        <f>1</f>
        <v>1</v>
      </c>
      <c r="AO1423" t="str" cm="1">
        <f t="array" ref="AO1423">_xlfn.IFS(
Table1[[#This Row],[YearsAtCompany]]&lt;=2,"0-2 Years",
Table1[[#This Row],[YearsAtCompany]]&lt;=5,"3-5 Years",
Table1[[#This Row],[YearsAtCompany]]&lt;=10,"6-10 Years",
TRUE,"10+ Years")</f>
        <v>10+ Years</v>
      </c>
    </row>
    <row r="1424" spans="1:41"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tr">
        <f t="shared" si="44"/>
        <v>Research</v>
      </c>
      <c r="AK1424">
        <f t="shared" si="45"/>
        <v>0</v>
      </c>
      <c r="AL1424">
        <f>IF(Table1[[#This Row],[Attrition]]="Yes", Table1[[#This Row],[MonthlyIncome]]*12*1.5, 0)</f>
        <v>0</v>
      </c>
      <c r="AM1424" t="str" cm="1">
        <f t="array" ref="AM1424">_xlfn.IFS(
Table1[[#This Row],[MonthlyIncome]]&lt;3000,"Under 3K",
Table1[[#This Row],[MonthlyIncome]]&lt;6000,"3K-6K",
Table1[[#This Row],[MonthlyIncome]]&lt;9000,"6K-9K",
Table1[[#This Row],[MonthlyIncome]]&lt;12000,"9K-12K",
TRUE,"12K+")</f>
        <v>Under 3K</v>
      </c>
      <c r="AN1424">
        <f>1</f>
        <v>1</v>
      </c>
      <c r="AO1424" t="str" cm="1">
        <f t="array" ref="AO1424">_xlfn.IFS(
Table1[[#This Row],[YearsAtCompany]]&lt;=2,"0-2 Years",
Table1[[#This Row],[YearsAtCompany]]&lt;=5,"3-5 Years",
Table1[[#This Row],[YearsAtCompany]]&lt;=10,"6-10 Years",
TRUE,"10+ Years")</f>
        <v>0-2 Years</v>
      </c>
    </row>
    <row r="1425" spans="1:41"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tr">
        <f t="shared" si="44"/>
        <v>Research</v>
      </c>
      <c r="AK1425">
        <f t="shared" si="45"/>
        <v>0</v>
      </c>
      <c r="AL1425">
        <f>IF(Table1[[#This Row],[Attrition]]="Yes", Table1[[#This Row],[MonthlyIncome]]*12*1.5, 0)</f>
        <v>0</v>
      </c>
      <c r="AM1425" t="str" cm="1">
        <f t="array" ref="AM1425">_xlfn.IFS(
Table1[[#This Row],[MonthlyIncome]]&lt;3000,"Under 3K",
Table1[[#This Row],[MonthlyIncome]]&lt;6000,"3K-6K",
Table1[[#This Row],[MonthlyIncome]]&lt;9000,"6K-9K",
Table1[[#This Row],[MonthlyIncome]]&lt;12000,"9K-12K",
TRUE,"12K+")</f>
        <v>3K-6K</v>
      </c>
      <c r="AN1425">
        <f>1</f>
        <v>1</v>
      </c>
      <c r="AO1425" t="str" cm="1">
        <f t="array" ref="AO1425">_xlfn.IFS(
Table1[[#This Row],[YearsAtCompany]]&lt;=2,"0-2 Years",
Table1[[#This Row],[YearsAtCompany]]&lt;=5,"3-5 Years",
Table1[[#This Row],[YearsAtCompany]]&lt;=10,"6-10 Years",
TRUE,"10+ Years")</f>
        <v>3-5 Years</v>
      </c>
    </row>
    <row r="1426" spans="1:41"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tr">
        <f t="shared" si="44"/>
        <v>Research</v>
      </c>
      <c r="AK1426">
        <f t="shared" si="45"/>
        <v>0</v>
      </c>
      <c r="AL1426">
        <f>IF(Table1[[#This Row],[Attrition]]="Yes", Table1[[#This Row],[MonthlyIncome]]*12*1.5, 0)</f>
        <v>0</v>
      </c>
      <c r="AM1426" t="str" cm="1">
        <f t="array" ref="AM1426">_xlfn.IFS(
Table1[[#This Row],[MonthlyIncome]]&lt;3000,"Under 3K",
Table1[[#This Row],[MonthlyIncome]]&lt;6000,"3K-6K",
Table1[[#This Row],[MonthlyIncome]]&lt;9000,"6K-9K",
Table1[[#This Row],[MonthlyIncome]]&lt;12000,"9K-12K",
TRUE,"12K+")</f>
        <v>3K-6K</v>
      </c>
      <c r="AN1426">
        <f>1</f>
        <v>1</v>
      </c>
      <c r="AO1426" t="str" cm="1">
        <f t="array" ref="AO1426">_xlfn.IFS(
Table1[[#This Row],[YearsAtCompany]]&lt;=2,"0-2 Years",
Table1[[#This Row],[YearsAtCompany]]&lt;=5,"3-5 Years",
Table1[[#This Row],[YearsAtCompany]]&lt;=10,"6-10 Years",
TRUE,"10+ Years")</f>
        <v>6-10 Years</v>
      </c>
    </row>
    <row r="1427" spans="1:41"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tr">
        <f t="shared" si="44"/>
        <v>Healthcare</v>
      </c>
      <c r="AK1427">
        <f t="shared" si="45"/>
        <v>0</v>
      </c>
      <c r="AL1427">
        <f>IF(Table1[[#This Row],[Attrition]]="Yes", Table1[[#This Row],[MonthlyIncome]]*12*1.5, 0)</f>
        <v>0</v>
      </c>
      <c r="AM1427" t="str" cm="1">
        <f t="array" ref="AM1427">_xlfn.IFS(
Table1[[#This Row],[MonthlyIncome]]&lt;3000,"Under 3K",
Table1[[#This Row],[MonthlyIncome]]&lt;6000,"3K-6K",
Table1[[#This Row],[MonthlyIncome]]&lt;9000,"6K-9K",
Table1[[#This Row],[MonthlyIncome]]&lt;12000,"9K-12K",
TRUE,"12K+")</f>
        <v>3K-6K</v>
      </c>
      <c r="AN1427">
        <f>1</f>
        <v>1</v>
      </c>
      <c r="AO1427" t="str" cm="1">
        <f t="array" ref="AO1427">_xlfn.IFS(
Table1[[#This Row],[YearsAtCompany]]&lt;=2,"0-2 Years",
Table1[[#This Row],[YearsAtCompany]]&lt;=5,"3-5 Years",
Table1[[#This Row],[YearsAtCompany]]&lt;=10,"6-10 Years",
TRUE,"10+ Years")</f>
        <v>6-10 Years</v>
      </c>
    </row>
    <row r="1428" spans="1:41"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tr">
        <f t="shared" si="44"/>
        <v>Research</v>
      </c>
      <c r="AK1428">
        <f t="shared" si="45"/>
        <v>0</v>
      </c>
      <c r="AL1428">
        <f>IF(Table1[[#This Row],[Attrition]]="Yes", Table1[[#This Row],[MonthlyIncome]]*12*1.5, 0)</f>
        <v>0</v>
      </c>
      <c r="AM1428" t="str" cm="1">
        <f t="array" ref="AM1428">_xlfn.IFS(
Table1[[#This Row],[MonthlyIncome]]&lt;3000,"Under 3K",
Table1[[#This Row],[MonthlyIncome]]&lt;6000,"3K-6K",
Table1[[#This Row],[MonthlyIncome]]&lt;9000,"6K-9K",
Table1[[#This Row],[MonthlyIncome]]&lt;12000,"9K-12K",
TRUE,"12K+")</f>
        <v>Under 3K</v>
      </c>
      <c r="AN1428">
        <f>1</f>
        <v>1</v>
      </c>
      <c r="AO1428" t="str" cm="1">
        <f t="array" ref="AO1428">_xlfn.IFS(
Table1[[#This Row],[YearsAtCompany]]&lt;=2,"0-2 Years",
Table1[[#This Row],[YearsAtCompany]]&lt;=5,"3-5 Years",
Table1[[#This Row],[YearsAtCompany]]&lt;=10,"6-10 Years",
TRUE,"10+ Years")</f>
        <v>6-10 Years</v>
      </c>
    </row>
    <row r="1429" spans="1:41"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tr">
        <f t="shared" si="44"/>
        <v>Research</v>
      </c>
      <c r="AK1429">
        <f t="shared" si="45"/>
        <v>0</v>
      </c>
      <c r="AL1429">
        <f>IF(Table1[[#This Row],[Attrition]]="Yes", Table1[[#This Row],[MonthlyIncome]]*12*1.5, 0)</f>
        <v>0</v>
      </c>
      <c r="AM1429" t="str" cm="1">
        <f t="array" ref="AM1429">_xlfn.IFS(
Table1[[#This Row],[MonthlyIncome]]&lt;3000,"Under 3K",
Table1[[#This Row],[MonthlyIncome]]&lt;6000,"3K-6K",
Table1[[#This Row],[MonthlyIncome]]&lt;9000,"6K-9K",
Table1[[#This Row],[MonthlyIncome]]&lt;12000,"9K-12K",
TRUE,"12K+")</f>
        <v>Under 3K</v>
      </c>
      <c r="AN1429">
        <f>1</f>
        <v>1</v>
      </c>
      <c r="AO1429" t="str" cm="1">
        <f t="array" ref="AO1429">_xlfn.IFS(
Table1[[#This Row],[YearsAtCompany]]&lt;=2,"0-2 Years",
Table1[[#This Row],[YearsAtCompany]]&lt;=5,"3-5 Years",
Table1[[#This Row],[YearsAtCompany]]&lt;=10,"6-10 Years",
TRUE,"10+ Years")</f>
        <v>0-2 Years</v>
      </c>
    </row>
    <row r="1430" spans="1:41"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tr">
        <f t="shared" si="44"/>
        <v>Sales</v>
      </c>
      <c r="AK1430">
        <f t="shared" si="45"/>
        <v>0</v>
      </c>
      <c r="AL1430">
        <f>IF(Table1[[#This Row],[Attrition]]="Yes", Table1[[#This Row],[MonthlyIncome]]*12*1.5, 0)</f>
        <v>0</v>
      </c>
      <c r="AM1430" t="str" cm="1">
        <f t="array" ref="AM1430">_xlfn.IFS(
Table1[[#This Row],[MonthlyIncome]]&lt;3000,"Under 3K",
Table1[[#This Row],[MonthlyIncome]]&lt;6000,"3K-6K",
Table1[[#This Row],[MonthlyIncome]]&lt;9000,"6K-9K",
Table1[[#This Row],[MonthlyIncome]]&lt;12000,"9K-12K",
TRUE,"12K+")</f>
        <v>Under 3K</v>
      </c>
      <c r="AN1430">
        <f>1</f>
        <v>1</v>
      </c>
      <c r="AO1430" t="str" cm="1">
        <f t="array" ref="AO1430">_xlfn.IFS(
Table1[[#This Row],[YearsAtCompany]]&lt;=2,"0-2 Years",
Table1[[#This Row],[YearsAtCompany]]&lt;=5,"3-5 Years",
Table1[[#This Row],[YearsAtCompany]]&lt;=10,"6-10 Years",
TRUE,"10+ Years")</f>
        <v>0-2 Years</v>
      </c>
    </row>
    <row r="1431" spans="1:41"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tr">
        <f t="shared" si="44"/>
        <v>Research</v>
      </c>
      <c r="AK1431">
        <f t="shared" si="45"/>
        <v>0</v>
      </c>
      <c r="AL1431">
        <f>IF(Table1[[#This Row],[Attrition]]="Yes", Table1[[#This Row],[MonthlyIncome]]*12*1.5, 0)</f>
        <v>0</v>
      </c>
      <c r="AM1431" t="str" cm="1">
        <f t="array" ref="AM1431">_xlfn.IFS(
Table1[[#This Row],[MonthlyIncome]]&lt;3000,"Under 3K",
Table1[[#This Row],[MonthlyIncome]]&lt;6000,"3K-6K",
Table1[[#This Row],[MonthlyIncome]]&lt;9000,"6K-9K",
Table1[[#This Row],[MonthlyIncome]]&lt;12000,"9K-12K",
TRUE,"12K+")</f>
        <v>3K-6K</v>
      </c>
      <c r="AN1431">
        <f>1</f>
        <v>1</v>
      </c>
      <c r="AO1431" t="str" cm="1">
        <f t="array" ref="AO1431">_xlfn.IFS(
Table1[[#This Row],[YearsAtCompany]]&lt;=2,"0-2 Years",
Table1[[#This Row],[YearsAtCompany]]&lt;=5,"3-5 Years",
Table1[[#This Row],[YearsAtCompany]]&lt;=10,"6-10 Years",
TRUE,"10+ Years")</f>
        <v>6-10 Years</v>
      </c>
    </row>
    <row r="1432" spans="1:41"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tr">
        <f t="shared" si="44"/>
        <v>Research</v>
      </c>
      <c r="AK1432">
        <f t="shared" si="45"/>
        <v>0</v>
      </c>
      <c r="AL1432">
        <f>IF(Table1[[#This Row],[Attrition]]="Yes", Table1[[#This Row],[MonthlyIncome]]*12*1.5, 0)</f>
        <v>0</v>
      </c>
      <c r="AM1432" t="str" cm="1">
        <f t="array" ref="AM1432">_xlfn.IFS(
Table1[[#This Row],[MonthlyIncome]]&lt;3000,"Under 3K",
Table1[[#This Row],[MonthlyIncome]]&lt;6000,"3K-6K",
Table1[[#This Row],[MonthlyIncome]]&lt;9000,"6K-9K",
Table1[[#This Row],[MonthlyIncome]]&lt;12000,"9K-12K",
TRUE,"12K+")</f>
        <v>12K+</v>
      </c>
      <c r="AN1432">
        <f>1</f>
        <v>1</v>
      </c>
      <c r="AO1432" t="str" cm="1">
        <f t="array" ref="AO1432">_xlfn.IFS(
Table1[[#This Row],[YearsAtCompany]]&lt;=2,"0-2 Years",
Table1[[#This Row],[YearsAtCompany]]&lt;=5,"3-5 Years",
Table1[[#This Row],[YearsAtCompany]]&lt;=10,"6-10 Years",
TRUE,"10+ Years")</f>
        <v>10+ Years</v>
      </c>
    </row>
    <row r="1433" spans="1:41"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tr">
        <f t="shared" si="44"/>
        <v>Sales</v>
      </c>
      <c r="AK1433">
        <f t="shared" si="45"/>
        <v>0</v>
      </c>
      <c r="AL1433">
        <f>IF(Table1[[#This Row],[Attrition]]="Yes", Table1[[#This Row],[MonthlyIncome]]*12*1.5, 0)</f>
        <v>0</v>
      </c>
      <c r="AM1433" t="str" cm="1">
        <f t="array" ref="AM1433">_xlfn.IFS(
Table1[[#This Row],[MonthlyIncome]]&lt;3000,"Under 3K",
Table1[[#This Row],[MonthlyIncome]]&lt;6000,"3K-6K",
Table1[[#This Row],[MonthlyIncome]]&lt;9000,"6K-9K",
Table1[[#This Row],[MonthlyIncome]]&lt;12000,"9K-12K",
TRUE,"12K+")</f>
        <v>9K-12K</v>
      </c>
      <c r="AN1433">
        <f>1</f>
        <v>1</v>
      </c>
      <c r="AO1433" t="str" cm="1">
        <f t="array" ref="AO1433">_xlfn.IFS(
Table1[[#This Row],[YearsAtCompany]]&lt;=2,"0-2 Years",
Table1[[#This Row],[YearsAtCompany]]&lt;=5,"3-5 Years",
Table1[[#This Row],[YearsAtCompany]]&lt;=10,"6-10 Years",
TRUE,"10+ Years")</f>
        <v>10+ Years</v>
      </c>
    </row>
    <row r="1434" spans="1:41"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tr">
        <f t="shared" si="44"/>
        <v>Research</v>
      </c>
      <c r="AK1434">
        <f t="shared" si="45"/>
        <v>0</v>
      </c>
      <c r="AL1434">
        <f>IF(Table1[[#This Row],[Attrition]]="Yes", Table1[[#This Row],[MonthlyIncome]]*12*1.5, 0)</f>
        <v>0</v>
      </c>
      <c r="AM1434" t="str" cm="1">
        <f t="array" ref="AM1434">_xlfn.IFS(
Table1[[#This Row],[MonthlyIncome]]&lt;3000,"Under 3K",
Table1[[#This Row],[MonthlyIncome]]&lt;6000,"3K-6K",
Table1[[#This Row],[MonthlyIncome]]&lt;9000,"6K-9K",
Table1[[#This Row],[MonthlyIncome]]&lt;12000,"9K-12K",
TRUE,"12K+")</f>
        <v>12K+</v>
      </c>
      <c r="AN1434">
        <f>1</f>
        <v>1</v>
      </c>
      <c r="AO1434" t="str" cm="1">
        <f t="array" ref="AO1434">_xlfn.IFS(
Table1[[#This Row],[YearsAtCompany]]&lt;=2,"0-2 Years",
Table1[[#This Row],[YearsAtCompany]]&lt;=5,"3-5 Years",
Table1[[#This Row],[YearsAtCompany]]&lt;=10,"6-10 Years",
TRUE,"10+ Years")</f>
        <v>10+ Years</v>
      </c>
    </row>
    <row r="1435" spans="1:41"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tr">
        <f t="shared" si="44"/>
        <v>Sales</v>
      </c>
      <c r="AK1435">
        <f t="shared" si="45"/>
        <v>0</v>
      </c>
      <c r="AL1435">
        <f>IF(Table1[[#This Row],[Attrition]]="Yes", Table1[[#This Row],[MonthlyIncome]]*12*1.5, 0)</f>
        <v>0</v>
      </c>
      <c r="AM1435" t="str" cm="1">
        <f t="array" ref="AM1435">_xlfn.IFS(
Table1[[#This Row],[MonthlyIncome]]&lt;3000,"Under 3K",
Table1[[#This Row],[MonthlyIncome]]&lt;6000,"3K-6K",
Table1[[#This Row],[MonthlyIncome]]&lt;9000,"6K-9K",
Table1[[#This Row],[MonthlyIncome]]&lt;12000,"9K-12K",
TRUE,"12K+")</f>
        <v>3K-6K</v>
      </c>
      <c r="AN1435">
        <f>1</f>
        <v>1</v>
      </c>
      <c r="AO1435" t="str" cm="1">
        <f t="array" ref="AO1435">_xlfn.IFS(
Table1[[#This Row],[YearsAtCompany]]&lt;=2,"0-2 Years",
Table1[[#This Row],[YearsAtCompany]]&lt;=5,"3-5 Years",
Table1[[#This Row],[YearsAtCompany]]&lt;=10,"6-10 Years",
TRUE,"10+ Years")</f>
        <v>3-5 Years</v>
      </c>
    </row>
    <row r="1436" spans="1:41"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tr">
        <f t="shared" si="44"/>
        <v>Sales</v>
      </c>
      <c r="AK1436">
        <f t="shared" si="45"/>
        <v>0</v>
      </c>
      <c r="AL1436">
        <f>IF(Table1[[#This Row],[Attrition]]="Yes", Table1[[#This Row],[MonthlyIncome]]*12*1.5, 0)</f>
        <v>0</v>
      </c>
      <c r="AM1436" t="str" cm="1">
        <f t="array" ref="AM1436">_xlfn.IFS(
Table1[[#This Row],[MonthlyIncome]]&lt;3000,"Under 3K",
Table1[[#This Row],[MonthlyIncome]]&lt;6000,"3K-6K",
Table1[[#This Row],[MonthlyIncome]]&lt;9000,"6K-9K",
Table1[[#This Row],[MonthlyIncome]]&lt;12000,"9K-12K",
TRUE,"12K+")</f>
        <v>3K-6K</v>
      </c>
      <c r="AN1436">
        <f>1</f>
        <v>1</v>
      </c>
      <c r="AO1436" t="str" cm="1">
        <f t="array" ref="AO1436">_xlfn.IFS(
Table1[[#This Row],[YearsAtCompany]]&lt;=2,"0-2 Years",
Table1[[#This Row],[YearsAtCompany]]&lt;=5,"3-5 Years",
Table1[[#This Row],[YearsAtCompany]]&lt;=10,"6-10 Years",
TRUE,"10+ Years")</f>
        <v>6-10 Years</v>
      </c>
    </row>
    <row r="1437" spans="1:41"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tr">
        <f t="shared" si="44"/>
        <v>Research</v>
      </c>
      <c r="AK1437">
        <f t="shared" si="45"/>
        <v>0</v>
      </c>
      <c r="AL1437">
        <f>IF(Table1[[#This Row],[Attrition]]="Yes", Table1[[#This Row],[MonthlyIncome]]*12*1.5, 0)</f>
        <v>0</v>
      </c>
      <c r="AM1437" t="str" cm="1">
        <f t="array" ref="AM1437">_xlfn.IFS(
Table1[[#This Row],[MonthlyIncome]]&lt;3000,"Under 3K",
Table1[[#This Row],[MonthlyIncome]]&lt;6000,"3K-6K",
Table1[[#This Row],[MonthlyIncome]]&lt;9000,"6K-9K",
Table1[[#This Row],[MonthlyIncome]]&lt;12000,"9K-12K",
TRUE,"12K+")</f>
        <v>Under 3K</v>
      </c>
      <c r="AN1437">
        <f>1</f>
        <v>1</v>
      </c>
      <c r="AO1437" t="str" cm="1">
        <f t="array" ref="AO1437">_xlfn.IFS(
Table1[[#This Row],[YearsAtCompany]]&lt;=2,"0-2 Years",
Table1[[#This Row],[YearsAtCompany]]&lt;=5,"3-5 Years",
Table1[[#This Row],[YearsAtCompany]]&lt;=10,"6-10 Years",
TRUE,"10+ Years")</f>
        <v>3-5 Years</v>
      </c>
    </row>
    <row r="1438" spans="1:41"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tr">
        <f t="shared" si="44"/>
        <v>Sales</v>
      </c>
      <c r="AK1438">
        <f t="shared" si="45"/>
        <v>0</v>
      </c>
      <c r="AL1438">
        <f>IF(Table1[[#This Row],[Attrition]]="Yes", Table1[[#This Row],[MonthlyIncome]]*12*1.5, 0)</f>
        <v>0</v>
      </c>
      <c r="AM1438" t="str" cm="1">
        <f t="array" ref="AM1438">_xlfn.IFS(
Table1[[#This Row],[MonthlyIncome]]&lt;3000,"Under 3K",
Table1[[#This Row],[MonthlyIncome]]&lt;6000,"3K-6K",
Table1[[#This Row],[MonthlyIncome]]&lt;9000,"6K-9K",
Table1[[#This Row],[MonthlyIncome]]&lt;12000,"9K-12K",
TRUE,"12K+")</f>
        <v>Under 3K</v>
      </c>
      <c r="AN1438">
        <f>1</f>
        <v>1</v>
      </c>
      <c r="AO1438" t="str" cm="1">
        <f t="array" ref="AO1438">_xlfn.IFS(
Table1[[#This Row],[YearsAtCompany]]&lt;=2,"0-2 Years",
Table1[[#This Row],[YearsAtCompany]]&lt;=5,"3-5 Years",
Table1[[#This Row],[YearsAtCompany]]&lt;=10,"6-10 Years",
TRUE,"10+ Years")</f>
        <v>0-2 Years</v>
      </c>
    </row>
    <row r="1439" spans="1:41"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tr">
        <f t="shared" si="44"/>
        <v>Management</v>
      </c>
      <c r="AK1439">
        <f t="shared" si="45"/>
        <v>0</v>
      </c>
      <c r="AL1439">
        <f>IF(Table1[[#This Row],[Attrition]]="Yes", Table1[[#This Row],[MonthlyIncome]]*12*1.5, 0)</f>
        <v>0</v>
      </c>
      <c r="AM1439" t="str" cm="1">
        <f t="array" ref="AM1439">_xlfn.IFS(
Table1[[#This Row],[MonthlyIncome]]&lt;3000,"Under 3K",
Table1[[#This Row],[MonthlyIncome]]&lt;6000,"3K-6K",
Table1[[#This Row],[MonthlyIncome]]&lt;9000,"6K-9K",
Table1[[#This Row],[MonthlyIncome]]&lt;12000,"9K-12K",
TRUE,"12K+")</f>
        <v>12K+</v>
      </c>
      <c r="AN1439">
        <f>1</f>
        <v>1</v>
      </c>
      <c r="AO1439" t="str" cm="1">
        <f t="array" ref="AO1439">_xlfn.IFS(
Table1[[#This Row],[YearsAtCompany]]&lt;=2,"0-2 Years",
Table1[[#This Row],[YearsAtCompany]]&lt;=5,"3-5 Years",
Table1[[#This Row],[YearsAtCompany]]&lt;=10,"6-10 Years",
TRUE,"10+ Years")</f>
        <v>6-10 Years</v>
      </c>
    </row>
    <row r="1440" spans="1:41"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tr">
        <f t="shared" si="44"/>
        <v>Sales</v>
      </c>
      <c r="AK1440">
        <f t="shared" si="45"/>
        <v>1</v>
      </c>
      <c r="AL1440">
        <f>IF(Table1[[#This Row],[Attrition]]="Yes", Table1[[#This Row],[MonthlyIncome]]*12*1.5, 0)</f>
        <v>32220</v>
      </c>
      <c r="AM1440" t="str" cm="1">
        <f t="array" ref="AM1440">_xlfn.IFS(
Table1[[#This Row],[MonthlyIncome]]&lt;3000,"Under 3K",
Table1[[#This Row],[MonthlyIncome]]&lt;6000,"3K-6K",
Table1[[#This Row],[MonthlyIncome]]&lt;9000,"6K-9K",
Table1[[#This Row],[MonthlyIncome]]&lt;12000,"9K-12K",
TRUE,"12K+")</f>
        <v>Under 3K</v>
      </c>
      <c r="AN1440">
        <f>1</f>
        <v>1</v>
      </c>
      <c r="AO1440" t="str" cm="1">
        <f t="array" ref="AO1440">_xlfn.IFS(
Table1[[#This Row],[YearsAtCompany]]&lt;=2,"0-2 Years",
Table1[[#This Row],[YearsAtCompany]]&lt;=5,"3-5 Years",
Table1[[#This Row],[YearsAtCompany]]&lt;=10,"6-10 Years",
TRUE,"10+ Years")</f>
        <v>0-2 Years</v>
      </c>
    </row>
    <row r="1441" spans="1:41"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tr">
        <f t="shared" si="44"/>
        <v>Sales</v>
      </c>
      <c r="AK1441">
        <f t="shared" si="45"/>
        <v>0</v>
      </c>
      <c r="AL1441">
        <f>IF(Table1[[#This Row],[Attrition]]="Yes", Table1[[#This Row],[MonthlyIncome]]*12*1.5, 0)</f>
        <v>0</v>
      </c>
      <c r="AM1441" t="str" cm="1">
        <f t="array" ref="AM1441">_xlfn.IFS(
Table1[[#This Row],[MonthlyIncome]]&lt;3000,"Under 3K",
Table1[[#This Row],[MonthlyIncome]]&lt;6000,"3K-6K",
Table1[[#This Row],[MonthlyIncome]]&lt;9000,"6K-9K",
Table1[[#This Row],[MonthlyIncome]]&lt;12000,"9K-12K",
TRUE,"12K+")</f>
        <v>6K-9K</v>
      </c>
      <c r="AN1441">
        <f>1</f>
        <v>1</v>
      </c>
      <c r="AO1441" t="str" cm="1">
        <f t="array" ref="AO1441">_xlfn.IFS(
Table1[[#This Row],[YearsAtCompany]]&lt;=2,"0-2 Years",
Table1[[#This Row],[YearsAtCompany]]&lt;=5,"3-5 Years",
Table1[[#This Row],[YearsAtCompany]]&lt;=10,"6-10 Years",
TRUE,"10+ Years")</f>
        <v>6-10 Years</v>
      </c>
    </row>
    <row r="1442" spans="1:41"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tr">
        <f t="shared" si="44"/>
        <v>Operations</v>
      </c>
      <c r="AK1442">
        <f t="shared" si="45"/>
        <v>0</v>
      </c>
      <c r="AL1442">
        <f>IF(Table1[[#This Row],[Attrition]]="Yes", Table1[[#This Row],[MonthlyIncome]]*12*1.5, 0)</f>
        <v>0</v>
      </c>
      <c r="AM1442" t="str" cm="1">
        <f t="array" ref="AM1442">_xlfn.IFS(
Table1[[#This Row],[MonthlyIncome]]&lt;3000,"Under 3K",
Table1[[#This Row],[MonthlyIncome]]&lt;6000,"3K-6K",
Table1[[#This Row],[MonthlyIncome]]&lt;9000,"6K-9K",
Table1[[#This Row],[MonthlyIncome]]&lt;12000,"9K-12K",
TRUE,"12K+")</f>
        <v>3K-6K</v>
      </c>
      <c r="AN1442">
        <f>1</f>
        <v>1</v>
      </c>
      <c r="AO1442" t="str" cm="1">
        <f t="array" ref="AO1442">_xlfn.IFS(
Table1[[#This Row],[YearsAtCompany]]&lt;=2,"0-2 Years",
Table1[[#This Row],[YearsAtCompany]]&lt;=5,"3-5 Years",
Table1[[#This Row],[YearsAtCompany]]&lt;=10,"6-10 Years",
TRUE,"10+ Years")</f>
        <v>3-5 Years</v>
      </c>
    </row>
    <row r="1443" spans="1:41"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tr">
        <f t="shared" si="44"/>
        <v>Healthcare</v>
      </c>
      <c r="AK1443">
        <f t="shared" si="45"/>
        <v>0</v>
      </c>
      <c r="AL1443">
        <f>IF(Table1[[#This Row],[Attrition]]="Yes", Table1[[#This Row],[MonthlyIncome]]*12*1.5, 0)</f>
        <v>0</v>
      </c>
      <c r="AM1443" t="str" cm="1">
        <f t="array" ref="AM1443">_xlfn.IFS(
Table1[[#This Row],[MonthlyIncome]]&lt;3000,"Under 3K",
Table1[[#This Row],[MonthlyIncome]]&lt;6000,"3K-6K",
Table1[[#This Row],[MonthlyIncome]]&lt;9000,"6K-9K",
Table1[[#This Row],[MonthlyIncome]]&lt;12000,"9K-12K",
TRUE,"12K+")</f>
        <v>6K-9K</v>
      </c>
      <c r="AN1443">
        <f>1</f>
        <v>1</v>
      </c>
      <c r="AO1443" t="str" cm="1">
        <f t="array" ref="AO1443">_xlfn.IFS(
Table1[[#This Row],[YearsAtCompany]]&lt;=2,"0-2 Years",
Table1[[#This Row],[YearsAtCompany]]&lt;=5,"3-5 Years",
Table1[[#This Row],[YearsAtCompany]]&lt;=10,"6-10 Years",
TRUE,"10+ Years")</f>
        <v>10+ Years</v>
      </c>
    </row>
    <row r="1444" spans="1:41"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tr">
        <f t="shared" si="44"/>
        <v>Research</v>
      </c>
      <c r="AK1444">
        <f t="shared" si="45"/>
        <v>1</v>
      </c>
      <c r="AL1444">
        <f>IF(Table1[[#This Row],[Attrition]]="Yes", Table1[[#This Row],[MonthlyIncome]]*12*1.5, 0)</f>
        <v>86166</v>
      </c>
      <c r="AM1444" t="str" cm="1">
        <f t="array" ref="AM1444">_xlfn.IFS(
Table1[[#This Row],[MonthlyIncome]]&lt;3000,"Under 3K",
Table1[[#This Row],[MonthlyIncome]]&lt;6000,"3K-6K",
Table1[[#This Row],[MonthlyIncome]]&lt;9000,"6K-9K",
Table1[[#This Row],[MonthlyIncome]]&lt;12000,"9K-12K",
TRUE,"12K+")</f>
        <v>3K-6K</v>
      </c>
      <c r="AN1444">
        <f>1</f>
        <v>1</v>
      </c>
      <c r="AO1444" t="str" cm="1">
        <f t="array" ref="AO1444">_xlfn.IFS(
Table1[[#This Row],[YearsAtCompany]]&lt;=2,"0-2 Years",
Table1[[#This Row],[YearsAtCompany]]&lt;=5,"3-5 Years",
Table1[[#This Row],[YearsAtCompany]]&lt;=10,"6-10 Years",
TRUE,"10+ Years")</f>
        <v>0-2 Years</v>
      </c>
    </row>
    <row r="1445" spans="1:41"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tr">
        <f t="shared" si="44"/>
        <v>Management</v>
      </c>
      <c r="AK1445">
        <f t="shared" si="45"/>
        <v>0</v>
      </c>
      <c r="AL1445">
        <f>IF(Table1[[#This Row],[Attrition]]="Yes", Table1[[#This Row],[MonthlyIncome]]*12*1.5, 0)</f>
        <v>0</v>
      </c>
      <c r="AM1445" t="str" cm="1">
        <f t="array" ref="AM1445">_xlfn.IFS(
Table1[[#This Row],[MonthlyIncome]]&lt;3000,"Under 3K",
Table1[[#This Row],[MonthlyIncome]]&lt;6000,"3K-6K",
Table1[[#This Row],[MonthlyIncome]]&lt;9000,"6K-9K",
Table1[[#This Row],[MonthlyIncome]]&lt;12000,"9K-12K",
TRUE,"12K+")</f>
        <v>12K+</v>
      </c>
      <c r="AN1445">
        <f>1</f>
        <v>1</v>
      </c>
      <c r="AO1445" t="str" cm="1">
        <f t="array" ref="AO1445">_xlfn.IFS(
Table1[[#This Row],[YearsAtCompany]]&lt;=2,"0-2 Years",
Table1[[#This Row],[YearsAtCompany]]&lt;=5,"3-5 Years",
Table1[[#This Row],[YearsAtCompany]]&lt;=10,"6-10 Years",
TRUE,"10+ Years")</f>
        <v>10+ Years</v>
      </c>
    </row>
    <row r="1446" spans="1:41"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tr">
        <f t="shared" si="44"/>
        <v>Research</v>
      </c>
      <c r="AK1446">
        <f t="shared" si="45"/>
        <v>1</v>
      </c>
      <c r="AL1446">
        <f>IF(Table1[[#This Row],[Attrition]]="Yes", Table1[[#This Row],[MonthlyIncome]]*12*1.5, 0)</f>
        <v>42102</v>
      </c>
      <c r="AM1446" t="str" cm="1">
        <f t="array" ref="AM1446">_xlfn.IFS(
Table1[[#This Row],[MonthlyIncome]]&lt;3000,"Under 3K",
Table1[[#This Row],[MonthlyIncome]]&lt;6000,"3K-6K",
Table1[[#This Row],[MonthlyIncome]]&lt;9000,"6K-9K",
Table1[[#This Row],[MonthlyIncome]]&lt;12000,"9K-12K",
TRUE,"12K+")</f>
        <v>Under 3K</v>
      </c>
      <c r="AN1446">
        <f>1</f>
        <v>1</v>
      </c>
      <c r="AO1446" t="str" cm="1">
        <f t="array" ref="AO1446">_xlfn.IFS(
Table1[[#This Row],[YearsAtCompany]]&lt;=2,"0-2 Years",
Table1[[#This Row],[YearsAtCompany]]&lt;=5,"3-5 Years",
Table1[[#This Row],[YearsAtCompany]]&lt;=10,"6-10 Years",
TRUE,"10+ Years")</f>
        <v>6-10 Years</v>
      </c>
    </row>
    <row r="1447" spans="1:41"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tr">
        <f t="shared" si="44"/>
        <v>Operations</v>
      </c>
      <c r="AK1447">
        <f t="shared" si="45"/>
        <v>0</v>
      </c>
      <c r="AL1447">
        <f>IF(Table1[[#This Row],[Attrition]]="Yes", Table1[[#This Row],[MonthlyIncome]]*12*1.5, 0)</f>
        <v>0</v>
      </c>
      <c r="AM1447" t="str" cm="1">
        <f t="array" ref="AM1447">_xlfn.IFS(
Table1[[#This Row],[MonthlyIncome]]&lt;3000,"Under 3K",
Table1[[#This Row],[MonthlyIncome]]&lt;6000,"3K-6K",
Table1[[#This Row],[MonthlyIncome]]&lt;9000,"6K-9K",
Table1[[#This Row],[MonthlyIncome]]&lt;12000,"9K-12K",
TRUE,"12K+")</f>
        <v>12K+</v>
      </c>
      <c r="AN1447">
        <f>1</f>
        <v>1</v>
      </c>
      <c r="AO1447" t="str" cm="1">
        <f t="array" ref="AO1447">_xlfn.IFS(
Table1[[#This Row],[YearsAtCompany]]&lt;=2,"0-2 Years",
Table1[[#This Row],[YearsAtCompany]]&lt;=5,"3-5 Years",
Table1[[#This Row],[YearsAtCompany]]&lt;=10,"6-10 Years",
TRUE,"10+ Years")</f>
        <v>10+ Years</v>
      </c>
    </row>
    <row r="1448" spans="1:41"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tr">
        <f t="shared" si="44"/>
        <v>Sales</v>
      </c>
      <c r="AK1448">
        <f t="shared" si="45"/>
        <v>0</v>
      </c>
      <c r="AL1448">
        <f>IF(Table1[[#This Row],[Attrition]]="Yes", Table1[[#This Row],[MonthlyIncome]]*12*1.5, 0)</f>
        <v>0</v>
      </c>
      <c r="AM1448" t="str" cm="1">
        <f t="array" ref="AM1448">_xlfn.IFS(
Table1[[#This Row],[MonthlyIncome]]&lt;3000,"Under 3K",
Table1[[#This Row],[MonthlyIncome]]&lt;6000,"3K-6K",
Table1[[#This Row],[MonthlyIncome]]&lt;9000,"6K-9K",
Table1[[#This Row],[MonthlyIncome]]&lt;12000,"9K-12K",
TRUE,"12K+")</f>
        <v>6K-9K</v>
      </c>
      <c r="AN1448">
        <f>1</f>
        <v>1</v>
      </c>
      <c r="AO1448" t="str" cm="1">
        <f t="array" ref="AO1448">_xlfn.IFS(
Table1[[#This Row],[YearsAtCompany]]&lt;=2,"0-2 Years",
Table1[[#This Row],[YearsAtCompany]]&lt;=5,"3-5 Years",
Table1[[#This Row],[YearsAtCompany]]&lt;=10,"6-10 Years",
TRUE,"10+ Years")</f>
        <v>6-10 Years</v>
      </c>
    </row>
    <row r="1449" spans="1:41"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tr">
        <f t="shared" si="44"/>
        <v>Sales</v>
      </c>
      <c r="AK1449">
        <f t="shared" si="45"/>
        <v>0</v>
      </c>
      <c r="AL1449">
        <f>IF(Table1[[#This Row],[Attrition]]="Yes", Table1[[#This Row],[MonthlyIncome]]*12*1.5, 0)</f>
        <v>0</v>
      </c>
      <c r="AM1449" t="str" cm="1">
        <f t="array" ref="AM1449">_xlfn.IFS(
Table1[[#This Row],[MonthlyIncome]]&lt;3000,"Under 3K",
Table1[[#This Row],[MonthlyIncome]]&lt;6000,"3K-6K",
Table1[[#This Row],[MonthlyIncome]]&lt;9000,"6K-9K",
Table1[[#This Row],[MonthlyIncome]]&lt;12000,"9K-12K",
TRUE,"12K+")</f>
        <v>3K-6K</v>
      </c>
      <c r="AN1449">
        <f>1</f>
        <v>1</v>
      </c>
      <c r="AO1449" t="str" cm="1">
        <f t="array" ref="AO1449">_xlfn.IFS(
Table1[[#This Row],[YearsAtCompany]]&lt;=2,"0-2 Years",
Table1[[#This Row],[YearsAtCompany]]&lt;=5,"3-5 Years",
Table1[[#This Row],[YearsAtCompany]]&lt;=10,"6-10 Years",
TRUE,"10+ Years")</f>
        <v>10+ Years</v>
      </c>
    </row>
    <row r="1450" spans="1:41"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tr">
        <f t="shared" si="44"/>
        <v>Sales</v>
      </c>
      <c r="AK1450">
        <f t="shared" si="45"/>
        <v>0</v>
      </c>
      <c r="AL1450">
        <f>IF(Table1[[#This Row],[Attrition]]="Yes", Table1[[#This Row],[MonthlyIncome]]*12*1.5, 0)</f>
        <v>0</v>
      </c>
      <c r="AM1450" t="str" cm="1">
        <f t="array" ref="AM1450">_xlfn.IFS(
Table1[[#This Row],[MonthlyIncome]]&lt;3000,"Under 3K",
Table1[[#This Row],[MonthlyIncome]]&lt;6000,"3K-6K",
Table1[[#This Row],[MonthlyIncome]]&lt;9000,"6K-9K",
Table1[[#This Row],[MonthlyIncome]]&lt;12000,"9K-12K",
TRUE,"12K+")</f>
        <v>6K-9K</v>
      </c>
      <c r="AN1450">
        <f>1</f>
        <v>1</v>
      </c>
      <c r="AO1450" t="str" cm="1">
        <f t="array" ref="AO1450">_xlfn.IFS(
Table1[[#This Row],[YearsAtCompany]]&lt;=2,"0-2 Years",
Table1[[#This Row],[YearsAtCompany]]&lt;=5,"3-5 Years",
Table1[[#This Row],[YearsAtCompany]]&lt;=10,"6-10 Years",
TRUE,"10+ Years")</f>
        <v>3-5 Years</v>
      </c>
    </row>
    <row r="1451" spans="1:41"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tr">
        <f t="shared" si="44"/>
        <v>Research</v>
      </c>
      <c r="AK1451">
        <f t="shared" si="45"/>
        <v>0</v>
      </c>
      <c r="AL1451">
        <f>IF(Table1[[#This Row],[Attrition]]="Yes", Table1[[#This Row],[MonthlyIncome]]*12*1.5, 0)</f>
        <v>0</v>
      </c>
      <c r="AM1451" t="str" cm="1">
        <f t="array" ref="AM1451">_xlfn.IFS(
Table1[[#This Row],[MonthlyIncome]]&lt;3000,"Under 3K",
Table1[[#This Row],[MonthlyIncome]]&lt;6000,"3K-6K",
Table1[[#This Row],[MonthlyIncome]]&lt;9000,"6K-9K",
Table1[[#This Row],[MonthlyIncome]]&lt;12000,"9K-12K",
TRUE,"12K+")</f>
        <v>Under 3K</v>
      </c>
      <c r="AN1451">
        <f>1</f>
        <v>1</v>
      </c>
      <c r="AO1451" t="str" cm="1">
        <f t="array" ref="AO1451">_xlfn.IFS(
Table1[[#This Row],[YearsAtCompany]]&lt;=2,"0-2 Years",
Table1[[#This Row],[YearsAtCompany]]&lt;=5,"3-5 Years",
Table1[[#This Row],[YearsAtCompany]]&lt;=10,"6-10 Years",
TRUE,"10+ Years")</f>
        <v>3-5 Years</v>
      </c>
    </row>
    <row r="1452" spans="1:41"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tr">
        <f t="shared" si="44"/>
        <v>Human Resources</v>
      </c>
      <c r="AK1452">
        <f t="shared" si="45"/>
        <v>0</v>
      </c>
      <c r="AL1452">
        <f>IF(Table1[[#This Row],[Attrition]]="Yes", Table1[[#This Row],[MonthlyIncome]]*12*1.5, 0)</f>
        <v>0</v>
      </c>
      <c r="AM1452" t="str" cm="1">
        <f t="array" ref="AM1452">_xlfn.IFS(
Table1[[#This Row],[MonthlyIncome]]&lt;3000,"Under 3K",
Table1[[#This Row],[MonthlyIncome]]&lt;6000,"3K-6K",
Table1[[#This Row],[MonthlyIncome]]&lt;9000,"6K-9K",
Table1[[#This Row],[MonthlyIncome]]&lt;12000,"9K-12K",
TRUE,"12K+")</f>
        <v>6K-9K</v>
      </c>
      <c r="AN1452">
        <f>1</f>
        <v>1</v>
      </c>
      <c r="AO1452" t="str" cm="1">
        <f t="array" ref="AO1452">_xlfn.IFS(
Table1[[#This Row],[YearsAtCompany]]&lt;=2,"0-2 Years",
Table1[[#This Row],[YearsAtCompany]]&lt;=5,"3-5 Years",
Table1[[#This Row],[YearsAtCompany]]&lt;=10,"6-10 Years",
TRUE,"10+ Years")</f>
        <v>6-10 Years</v>
      </c>
    </row>
    <row r="1453" spans="1:41"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tr">
        <f t="shared" si="44"/>
        <v>Sales</v>
      </c>
      <c r="AK1453">
        <f t="shared" si="45"/>
        <v>0</v>
      </c>
      <c r="AL1453">
        <f>IF(Table1[[#This Row],[Attrition]]="Yes", Table1[[#This Row],[MonthlyIncome]]*12*1.5, 0)</f>
        <v>0</v>
      </c>
      <c r="AM1453" t="str" cm="1">
        <f t="array" ref="AM1453">_xlfn.IFS(
Table1[[#This Row],[MonthlyIncome]]&lt;3000,"Under 3K",
Table1[[#This Row],[MonthlyIncome]]&lt;6000,"3K-6K",
Table1[[#This Row],[MonthlyIncome]]&lt;9000,"6K-9K",
Table1[[#This Row],[MonthlyIncome]]&lt;12000,"9K-12K",
TRUE,"12K+")</f>
        <v>3K-6K</v>
      </c>
      <c r="AN1453">
        <f>1</f>
        <v>1</v>
      </c>
      <c r="AO1453" t="str" cm="1">
        <f t="array" ref="AO1453">_xlfn.IFS(
Table1[[#This Row],[YearsAtCompany]]&lt;=2,"0-2 Years",
Table1[[#This Row],[YearsAtCompany]]&lt;=5,"3-5 Years",
Table1[[#This Row],[YearsAtCompany]]&lt;=10,"6-10 Years",
TRUE,"10+ Years")</f>
        <v>6-10 Years</v>
      </c>
    </row>
    <row r="1454" spans="1:41"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tr">
        <f t="shared" si="44"/>
        <v>Sales</v>
      </c>
      <c r="AK1454">
        <f t="shared" si="45"/>
        <v>1</v>
      </c>
      <c r="AL1454">
        <f>IF(Table1[[#This Row],[Attrition]]="Yes", Table1[[#This Row],[MonthlyIncome]]*12*1.5, 0)</f>
        <v>121104</v>
      </c>
      <c r="AM1454" t="str" cm="1">
        <f t="array" ref="AM1454">_xlfn.IFS(
Table1[[#This Row],[MonthlyIncome]]&lt;3000,"Under 3K",
Table1[[#This Row],[MonthlyIncome]]&lt;6000,"3K-6K",
Table1[[#This Row],[MonthlyIncome]]&lt;9000,"6K-9K",
Table1[[#This Row],[MonthlyIncome]]&lt;12000,"9K-12K",
TRUE,"12K+")</f>
        <v>6K-9K</v>
      </c>
      <c r="AN1454">
        <f>1</f>
        <v>1</v>
      </c>
      <c r="AO1454" t="str" cm="1">
        <f t="array" ref="AO1454">_xlfn.IFS(
Table1[[#This Row],[YearsAtCompany]]&lt;=2,"0-2 Years",
Table1[[#This Row],[YearsAtCompany]]&lt;=5,"3-5 Years",
Table1[[#This Row],[YearsAtCompany]]&lt;=10,"6-10 Years",
TRUE,"10+ Years")</f>
        <v>6-10 Years</v>
      </c>
    </row>
    <row r="1455" spans="1:41"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tr">
        <f t="shared" si="44"/>
        <v>Sales</v>
      </c>
      <c r="AK1455">
        <f t="shared" si="45"/>
        <v>0</v>
      </c>
      <c r="AL1455">
        <f>IF(Table1[[#This Row],[Attrition]]="Yes", Table1[[#This Row],[MonthlyIncome]]*12*1.5, 0)</f>
        <v>0</v>
      </c>
      <c r="AM1455" t="str" cm="1">
        <f t="array" ref="AM1455">_xlfn.IFS(
Table1[[#This Row],[MonthlyIncome]]&lt;3000,"Under 3K",
Table1[[#This Row],[MonthlyIncome]]&lt;6000,"3K-6K",
Table1[[#This Row],[MonthlyIncome]]&lt;9000,"6K-9K",
Table1[[#This Row],[MonthlyIncome]]&lt;12000,"9K-12K",
TRUE,"12K+")</f>
        <v>6K-9K</v>
      </c>
      <c r="AN1455">
        <f>1</f>
        <v>1</v>
      </c>
      <c r="AO1455" t="str" cm="1">
        <f t="array" ref="AO1455">_xlfn.IFS(
Table1[[#This Row],[YearsAtCompany]]&lt;=2,"0-2 Years",
Table1[[#This Row],[YearsAtCompany]]&lt;=5,"3-5 Years",
Table1[[#This Row],[YearsAtCompany]]&lt;=10,"6-10 Years",
TRUE,"10+ Years")</f>
        <v>6-10 Years</v>
      </c>
    </row>
    <row r="1456" spans="1:41"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tr">
        <f t="shared" si="44"/>
        <v>Sales</v>
      </c>
      <c r="AK1456">
        <f t="shared" si="45"/>
        <v>0</v>
      </c>
      <c r="AL1456">
        <f>IF(Table1[[#This Row],[Attrition]]="Yes", Table1[[#This Row],[MonthlyIncome]]*12*1.5, 0)</f>
        <v>0</v>
      </c>
      <c r="AM1456" t="str" cm="1">
        <f t="array" ref="AM1456">_xlfn.IFS(
Table1[[#This Row],[MonthlyIncome]]&lt;3000,"Under 3K",
Table1[[#This Row],[MonthlyIncome]]&lt;6000,"3K-6K",
Table1[[#This Row],[MonthlyIncome]]&lt;9000,"6K-9K",
Table1[[#This Row],[MonthlyIncome]]&lt;12000,"9K-12K",
TRUE,"12K+")</f>
        <v>3K-6K</v>
      </c>
      <c r="AN1456">
        <f>1</f>
        <v>1</v>
      </c>
      <c r="AO1456" t="str" cm="1">
        <f t="array" ref="AO1456">_xlfn.IFS(
Table1[[#This Row],[YearsAtCompany]]&lt;=2,"0-2 Years",
Table1[[#This Row],[YearsAtCompany]]&lt;=5,"3-5 Years",
Table1[[#This Row],[YearsAtCompany]]&lt;=10,"6-10 Years",
TRUE,"10+ Years")</f>
        <v>3-5 Years</v>
      </c>
    </row>
    <row r="1457" spans="1:41"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tr">
        <f t="shared" si="44"/>
        <v>Research</v>
      </c>
      <c r="AK1457">
        <f t="shared" si="45"/>
        <v>0</v>
      </c>
      <c r="AL1457">
        <f>IF(Table1[[#This Row],[Attrition]]="Yes", Table1[[#This Row],[MonthlyIncome]]*12*1.5, 0)</f>
        <v>0</v>
      </c>
      <c r="AM1457" t="str" cm="1">
        <f t="array" ref="AM1457">_xlfn.IFS(
Table1[[#This Row],[MonthlyIncome]]&lt;3000,"Under 3K",
Table1[[#This Row],[MonthlyIncome]]&lt;6000,"3K-6K",
Table1[[#This Row],[MonthlyIncome]]&lt;9000,"6K-9K",
Table1[[#This Row],[MonthlyIncome]]&lt;12000,"9K-12K",
TRUE,"12K+")</f>
        <v>Under 3K</v>
      </c>
      <c r="AN1457">
        <f>1</f>
        <v>1</v>
      </c>
      <c r="AO1457" t="str" cm="1">
        <f t="array" ref="AO1457">_xlfn.IFS(
Table1[[#This Row],[YearsAtCompany]]&lt;=2,"0-2 Years",
Table1[[#This Row],[YearsAtCompany]]&lt;=5,"3-5 Years",
Table1[[#This Row],[YearsAtCompany]]&lt;=10,"6-10 Years",
TRUE,"10+ Years")</f>
        <v>0-2 Years</v>
      </c>
    </row>
    <row r="1458" spans="1:41"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tr">
        <f t="shared" si="44"/>
        <v>Healthcare</v>
      </c>
      <c r="AK1458">
        <f t="shared" si="45"/>
        <v>0</v>
      </c>
      <c r="AL1458">
        <f>IF(Table1[[#This Row],[Attrition]]="Yes", Table1[[#This Row],[MonthlyIncome]]*12*1.5, 0)</f>
        <v>0</v>
      </c>
      <c r="AM1458" t="str" cm="1">
        <f t="array" ref="AM1458">_xlfn.IFS(
Table1[[#This Row],[MonthlyIncome]]&lt;3000,"Under 3K",
Table1[[#This Row],[MonthlyIncome]]&lt;6000,"3K-6K",
Table1[[#This Row],[MonthlyIncome]]&lt;9000,"6K-9K",
Table1[[#This Row],[MonthlyIncome]]&lt;12000,"9K-12K",
TRUE,"12K+")</f>
        <v>3K-6K</v>
      </c>
      <c r="AN1458">
        <f>1</f>
        <v>1</v>
      </c>
      <c r="AO1458" t="str" cm="1">
        <f t="array" ref="AO1458">_xlfn.IFS(
Table1[[#This Row],[YearsAtCompany]]&lt;=2,"0-2 Years",
Table1[[#This Row],[YearsAtCompany]]&lt;=5,"3-5 Years",
Table1[[#This Row],[YearsAtCompany]]&lt;=10,"6-10 Years",
TRUE,"10+ Years")</f>
        <v>6-10 Years</v>
      </c>
    </row>
    <row r="1459" spans="1:41"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tr">
        <f t="shared" si="44"/>
        <v>Research</v>
      </c>
      <c r="AK1459">
        <f t="shared" si="45"/>
        <v>0</v>
      </c>
      <c r="AL1459">
        <f>IF(Table1[[#This Row],[Attrition]]="Yes", Table1[[#This Row],[MonthlyIncome]]*12*1.5, 0)</f>
        <v>0</v>
      </c>
      <c r="AM1459" t="str" cm="1">
        <f t="array" ref="AM1459">_xlfn.IFS(
Table1[[#This Row],[MonthlyIncome]]&lt;3000,"Under 3K",
Table1[[#This Row],[MonthlyIncome]]&lt;6000,"3K-6K",
Table1[[#This Row],[MonthlyIncome]]&lt;9000,"6K-9K",
Table1[[#This Row],[MonthlyIncome]]&lt;12000,"9K-12K",
TRUE,"12K+")</f>
        <v>Under 3K</v>
      </c>
      <c r="AN1459">
        <f>1</f>
        <v>1</v>
      </c>
      <c r="AO1459" t="str" cm="1">
        <f t="array" ref="AO1459">_xlfn.IFS(
Table1[[#This Row],[YearsAtCompany]]&lt;=2,"0-2 Years",
Table1[[#This Row],[YearsAtCompany]]&lt;=5,"3-5 Years",
Table1[[#This Row],[YearsAtCompany]]&lt;=10,"6-10 Years",
TRUE,"10+ Years")</f>
        <v>3-5 Years</v>
      </c>
    </row>
    <row r="1460" spans="1:41"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tr">
        <f t="shared" si="44"/>
        <v>Research</v>
      </c>
      <c r="AK1460">
        <f t="shared" si="45"/>
        <v>0</v>
      </c>
      <c r="AL1460">
        <f>IF(Table1[[#This Row],[Attrition]]="Yes", Table1[[#This Row],[MonthlyIncome]]*12*1.5, 0)</f>
        <v>0</v>
      </c>
      <c r="AM1460" t="str" cm="1">
        <f t="array" ref="AM1460">_xlfn.IFS(
Table1[[#This Row],[MonthlyIncome]]&lt;3000,"Under 3K",
Table1[[#This Row],[MonthlyIncome]]&lt;6000,"3K-6K",
Table1[[#This Row],[MonthlyIncome]]&lt;9000,"6K-9K",
Table1[[#This Row],[MonthlyIncome]]&lt;12000,"9K-12K",
TRUE,"12K+")</f>
        <v>Under 3K</v>
      </c>
      <c r="AN1460">
        <f>1</f>
        <v>1</v>
      </c>
      <c r="AO1460" t="str" cm="1">
        <f t="array" ref="AO1460">_xlfn.IFS(
Table1[[#This Row],[YearsAtCompany]]&lt;=2,"0-2 Years",
Table1[[#This Row],[YearsAtCompany]]&lt;=5,"3-5 Years",
Table1[[#This Row],[YearsAtCompany]]&lt;=10,"6-10 Years",
TRUE,"10+ Years")</f>
        <v>3-5 Years</v>
      </c>
    </row>
    <row r="1461" spans="1:41"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tr">
        <f t="shared" si="44"/>
        <v>Research</v>
      </c>
      <c r="AK1461">
        <f t="shared" si="45"/>
        <v>0</v>
      </c>
      <c r="AL1461">
        <f>IF(Table1[[#This Row],[Attrition]]="Yes", Table1[[#This Row],[MonthlyIncome]]*12*1.5, 0)</f>
        <v>0</v>
      </c>
      <c r="AM1461" t="str" cm="1">
        <f t="array" ref="AM1461">_xlfn.IFS(
Table1[[#This Row],[MonthlyIncome]]&lt;3000,"Under 3K",
Table1[[#This Row],[MonthlyIncome]]&lt;6000,"3K-6K",
Table1[[#This Row],[MonthlyIncome]]&lt;9000,"6K-9K",
Table1[[#This Row],[MonthlyIncome]]&lt;12000,"9K-12K",
TRUE,"12K+")</f>
        <v>3K-6K</v>
      </c>
      <c r="AN1461">
        <f>1</f>
        <v>1</v>
      </c>
      <c r="AO1461" t="str" cm="1">
        <f t="array" ref="AO1461">_xlfn.IFS(
Table1[[#This Row],[YearsAtCompany]]&lt;=2,"0-2 Years",
Table1[[#This Row],[YearsAtCompany]]&lt;=5,"3-5 Years",
Table1[[#This Row],[YearsAtCompany]]&lt;=10,"6-10 Years",
TRUE,"10+ Years")</f>
        <v>3-5 Years</v>
      </c>
    </row>
    <row r="1462" spans="1:41"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tr">
        <f t="shared" si="44"/>
        <v>Research</v>
      </c>
      <c r="AK1462">
        <f t="shared" si="45"/>
        <v>0</v>
      </c>
      <c r="AL1462">
        <f>IF(Table1[[#This Row],[Attrition]]="Yes", Table1[[#This Row],[MonthlyIncome]]*12*1.5, 0)</f>
        <v>0</v>
      </c>
      <c r="AM1462" t="str" cm="1">
        <f t="array" ref="AM1462">_xlfn.IFS(
Table1[[#This Row],[MonthlyIncome]]&lt;3000,"Under 3K",
Table1[[#This Row],[MonthlyIncome]]&lt;6000,"3K-6K",
Table1[[#This Row],[MonthlyIncome]]&lt;9000,"6K-9K",
Table1[[#This Row],[MonthlyIncome]]&lt;12000,"9K-12K",
TRUE,"12K+")</f>
        <v>3K-6K</v>
      </c>
      <c r="AN1462">
        <f>1</f>
        <v>1</v>
      </c>
      <c r="AO1462" t="str" cm="1">
        <f t="array" ref="AO1462">_xlfn.IFS(
Table1[[#This Row],[YearsAtCompany]]&lt;=2,"0-2 Years",
Table1[[#This Row],[YearsAtCompany]]&lt;=5,"3-5 Years",
Table1[[#This Row],[YearsAtCompany]]&lt;=10,"6-10 Years",
TRUE,"10+ Years")</f>
        <v>3-5 Years</v>
      </c>
    </row>
    <row r="1463" spans="1:41"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tr">
        <f t="shared" si="44"/>
        <v>Sales</v>
      </c>
      <c r="AK1463">
        <f t="shared" si="45"/>
        <v>1</v>
      </c>
      <c r="AL1463">
        <f>IF(Table1[[#This Row],[Attrition]]="Yes", Table1[[#This Row],[MonthlyIncome]]*12*1.5, 0)</f>
        <v>195372</v>
      </c>
      <c r="AM1463" t="str" cm="1">
        <f t="array" ref="AM1463">_xlfn.IFS(
Table1[[#This Row],[MonthlyIncome]]&lt;3000,"Under 3K",
Table1[[#This Row],[MonthlyIncome]]&lt;6000,"3K-6K",
Table1[[#This Row],[MonthlyIncome]]&lt;9000,"6K-9K",
Table1[[#This Row],[MonthlyIncome]]&lt;12000,"9K-12K",
TRUE,"12K+")</f>
        <v>9K-12K</v>
      </c>
      <c r="AN1463">
        <f>1</f>
        <v>1</v>
      </c>
      <c r="AO1463" t="str" cm="1">
        <f t="array" ref="AO1463">_xlfn.IFS(
Table1[[#This Row],[YearsAtCompany]]&lt;=2,"0-2 Years",
Table1[[#This Row],[YearsAtCompany]]&lt;=5,"3-5 Years",
Table1[[#This Row],[YearsAtCompany]]&lt;=10,"6-10 Years",
TRUE,"10+ Years")</f>
        <v>3-5 Years</v>
      </c>
    </row>
    <row r="1464" spans="1:41"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tr">
        <f t="shared" si="44"/>
        <v>Sales</v>
      </c>
      <c r="AK1464">
        <f t="shared" si="45"/>
        <v>0</v>
      </c>
      <c r="AL1464">
        <f>IF(Table1[[#This Row],[Attrition]]="Yes", Table1[[#This Row],[MonthlyIncome]]*12*1.5, 0)</f>
        <v>0</v>
      </c>
      <c r="AM1464" t="str" cm="1">
        <f t="array" ref="AM1464">_xlfn.IFS(
Table1[[#This Row],[MonthlyIncome]]&lt;3000,"Under 3K",
Table1[[#This Row],[MonthlyIncome]]&lt;6000,"3K-6K",
Table1[[#This Row],[MonthlyIncome]]&lt;9000,"6K-9K",
Table1[[#This Row],[MonthlyIncome]]&lt;12000,"9K-12K",
TRUE,"12K+")</f>
        <v>12K+</v>
      </c>
      <c r="AN1464">
        <f>1</f>
        <v>1</v>
      </c>
      <c r="AO1464" t="str" cm="1">
        <f t="array" ref="AO1464">_xlfn.IFS(
Table1[[#This Row],[YearsAtCompany]]&lt;=2,"0-2 Years",
Table1[[#This Row],[YearsAtCompany]]&lt;=5,"3-5 Years",
Table1[[#This Row],[YearsAtCompany]]&lt;=10,"6-10 Years",
TRUE,"10+ Years")</f>
        <v>10+ Years</v>
      </c>
    </row>
    <row r="1465" spans="1:41"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tr">
        <f t="shared" si="44"/>
        <v>Operations</v>
      </c>
      <c r="AK1465">
        <f t="shared" si="45"/>
        <v>0</v>
      </c>
      <c r="AL1465">
        <f>IF(Table1[[#This Row],[Attrition]]="Yes", Table1[[#This Row],[MonthlyIncome]]*12*1.5, 0)</f>
        <v>0</v>
      </c>
      <c r="AM1465" t="str" cm="1">
        <f t="array" ref="AM1465">_xlfn.IFS(
Table1[[#This Row],[MonthlyIncome]]&lt;3000,"Under 3K",
Table1[[#This Row],[MonthlyIncome]]&lt;6000,"3K-6K",
Table1[[#This Row],[MonthlyIncome]]&lt;9000,"6K-9K",
Table1[[#This Row],[MonthlyIncome]]&lt;12000,"9K-12K",
TRUE,"12K+")</f>
        <v>9K-12K</v>
      </c>
      <c r="AN1465">
        <f>1</f>
        <v>1</v>
      </c>
      <c r="AO1465" t="str" cm="1">
        <f t="array" ref="AO1465">_xlfn.IFS(
Table1[[#This Row],[YearsAtCompany]]&lt;=2,"0-2 Years",
Table1[[#This Row],[YearsAtCompany]]&lt;=5,"3-5 Years",
Table1[[#This Row],[YearsAtCompany]]&lt;=10,"6-10 Years",
TRUE,"10+ Years")</f>
        <v>6-10 Years</v>
      </c>
    </row>
    <row r="1466" spans="1:41"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tr">
        <f t="shared" si="44"/>
        <v>Sales</v>
      </c>
      <c r="AK1466">
        <f t="shared" si="45"/>
        <v>0</v>
      </c>
      <c r="AL1466">
        <f>IF(Table1[[#This Row],[Attrition]]="Yes", Table1[[#This Row],[MonthlyIncome]]*12*1.5, 0)</f>
        <v>0</v>
      </c>
      <c r="AM1466" t="str" cm="1">
        <f t="array" ref="AM1466">_xlfn.IFS(
Table1[[#This Row],[MonthlyIncome]]&lt;3000,"Under 3K",
Table1[[#This Row],[MonthlyIncome]]&lt;6000,"3K-6K",
Table1[[#This Row],[MonthlyIncome]]&lt;9000,"6K-9K",
Table1[[#This Row],[MonthlyIncome]]&lt;12000,"9K-12K",
TRUE,"12K+")</f>
        <v>Under 3K</v>
      </c>
      <c r="AN1466">
        <f>1</f>
        <v>1</v>
      </c>
      <c r="AO1466" t="str" cm="1">
        <f t="array" ref="AO1466">_xlfn.IFS(
Table1[[#This Row],[YearsAtCompany]]&lt;=2,"0-2 Years",
Table1[[#This Row],[YearsAtCompany]]&lt;=5,"3-5 Years",
Table1[[#This Row],[YearsAtCompany]]&lt;=10,"6-10 Years",
TRUE,"10+ Years")</f>
        <v>3-5 Years</v>
      </c>
    </row>
    <row r="1467" spans="1:41"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tr">
        <f t="shared" si="44"/>
        <v>Research</v>
      </c>
      <c r="AK1467">
        <f t="shared" si="45"/>
        <v>0</v>
      </c>
      <c r="AL1467">
        <f>IF(Table1[[#This Row],[Attrition]]="Yes", Table1[[#This Row],[MonthlyIncome]]*12*1.5, 0)</f>
        <v>0</v>
      </c>
      <c r="AM1467" t="str" cm="1">
        <f t="array" ref="AM1467">_xlfn.IFS(
Table1[[#This Row],[MonthlyIncome]]&lt;3000,"Under 3K",
Table1[[#This Row],[MonthlyIncome]]&lt;6000,"3K-6K",
Table1[[#This Row],[MonthlyIncome]]&lt;9000,"6K-9K",
Table1[[#This Row],[MonthlyIncome]]&lt;12000,"9K-12K",
TRUE,"12K+")</f>
        <v>Under 3K</v>
      </c>
      <c r="AN1467">
        <f>1</f>
        <v>1</v>
      </c>
      <c r="AO1467" t="str" cm="1">
        <f t="array" ref="AO1467">_xlfn.IFS(
Table1[[#This Row],[YearsAtCompany]]&lt;=2,"0-2 Years",
Table1[[#This Row],[YearsAtCompany]]&lt;=5,"3-5 Years",
Table1[[#This Row],[YearsAtCompany]]&lt;=10,"6-10 Years",
TRUE,"10+ Years")</f>
        <v>3-5 Years</v>
      </c>
    </row>
    <row r="1468" spans="1:41"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tr">
        <f t="shared" si="44"/>
        <v>Healthcare</v>
      </c>
      <c r="AK1468">
        <f t="shared" si="45"/>
        <v>0</v>
      </c>
      <c r="AL1468">
        <f>IF(Table1[[#This Row],[Attrition]]="Yes", Table1[[#This Row],[MonthlyIncome]]*12*1.5, 0)</f>
        <v>0</v>
      </c>
      <c r="AM1468" t="str" cm="1">
        <f t="array" ref="AM1468">_xlfn.IFS(
Table1[[#This Row],[MonthlyIncome]]&lt;3000,"Under 3K",
Table1[[#This Row],[MonthlyIncome]]&lt;6000,"3K-6K",
Table1[[#This Row],[MonthlyIncome]]&lt;9000,"6K-9K",
Table1[[#This Row],[MonthlyIncome]]&lt;12000,"9K-12K",
TRUE,"12K+")</f>
        <v>9K-12K</v>
      </c>
      <c r="AN1468">
        <f>1</f>
        <v>1</v>
      </c>
      <c r="AO1468" t="str" cm="1">
        <f t="array" ref="AO1468">_xlfn.IFS(
Table1[[#This Row],[YearsAtCompany]]&lt;=2,"0-2 Years",
Table1[[#This Row],[YearsAtCompany]]&lt;=5,"3-5 Years",
Table1[[#This Row],[YearsAtCompany]]&lt;=10,"6-10 Years",
TRUE,"10+ Years")</f>
        <v>6-10 Years</v>
      </c>
    </row>
    <row r="1469" spans="1:41"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tr">
        <f t="shared" si="44"/>
        <v>Operations</v>
      </c>
      <c r="AK1469">
        <f t="shared" si="45"/>
        <v>0</v>
      </c>
      <c r="AL1469">
        <f>IF(Table1[[#This Row],[Attrition]]="Yes", Table1[[#This Row],[MonthlyIncome]]*12*1.5, 0)</f>
        <v>0</v>
      </c>
      <c r="AM1469" t="str" cm="1">
        <f t="array" ref="AM1469">_xlfn.IFS(
Table1[[#This Row],[MonthlyIncome]]&lt;3000,"Under 3K",
Table1[[#This Row],[MonthlyIncome]]&lt;6000,"3K-6K",
Table1[[#This Row],[MonthlyIncome]]&lt;9000,"6K-9K",
Table1[[#This Row],[MonthlyIncome]]&lt;12000,"9K-12K",
TRUE,"12K+")</f>
        <v>6K-9K</v>
      </c>
      <c r="AN1469">
        <f>1</f>
        <v>1</v>
      </c>
      <c r="AO1469" t="str" cm="1">
        <f t="array" ref="AO1469">_xlfn.IFS(
Table1[[#This Row],[YearsAtCompany]]&lt;=2,"0-2 Years",
Table1[[#This Row],[YearsAtCompany]]&lt;=5,"3-5 Years",
Table1[[#This Row],[YearsAtCompany]]&lt;=10,"6-10 Years",
TRUE,"10+ Years")</f>
        <v>6-10 Years</v>
      </c>
    </row>
    <row r="1470" spans="1:41"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tr">
        <f t="shared" si="44"/>
        <v>Sales</v>
      </c>
      <c r="AK1470">
        <f t="shared" si="45"/>
        <v>0</v>
      </c>
      <c r="AL1470">
        <f>IF(Table1[[#This Row],[Attrition]]="Yes", Table1[[#This Row],[MonthlyIncome]]*12*1.5, 0)</f>
        <v>0</v>
      </c>
      <c r="AM1470" t="str" cm="1">
        <f t="array" ref="AM1470">_xlfn.IFS(
Table1[[#This Row],[MonthlyIncome]]&lt;3000,"Under 3K",
Table1[[#This Row],[MonthlyIncome]]&lt;6000,"3K-6K",
Table1[[#This Row],[MonthlyIncome]]&lt;9000,"6K-9K",
Table1[[#This Row],[MonthlyIncome]]&lt;12000,"9K-12K",
TRUE,"12K+")</f>
        <v>3K-6K</v>
      </c>
      <c r="AN1470">
        <f>1</f>
        <v>1</v>
      </c>
      <c r="AO1470" t="str" cm="1">
        <f t="array" ref="AO1470">_xlfn.IFS(
Table1[[#This Row],[YearsAtCompany]]&lt;=2,"0-2 Years",
Table1[[#This Row],[YearsAtCompany]]&lt;=5,"3-5 Years",
Table1[[#This Row],[YearsAtCompany]]&lt;=10,"6-10 Years",
TRUE,"10+ Years")</f>
        <v>6-10 Years</v>
      </c>
    </row>
    <row r="1471" spans="1:41"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tr">
        <f t="shared" si="44"/>
        <v>Research</v>
      </c>
      <c r="AK1471">
        <f t="shared" si="45"/>
        <v>0</v>
      </c>
      <c r="AL1471">
        <f>IF(Table1[[#This Row],[Attrition]]="Yes", Table1[[#This Row],[MonthlyIncome]]*12*1.5, 0)</f>
        <v>0</v>
      </c>
      <c r="AM1471" t="str" cm="1">
        <f t="array" ref="AM1471">_xlfn.IFS(
Table1[[#This Row],[MonthlyIncome]]&lt;3000,"Under 3K",
Table1[[#This Row],[MonthlyIncome]]&lt;6000,"3K-6K",
Table1[[#This Row],[MonthlyIncome]]&lt;9000,"6K-9K",
Table1[[#This Row],[MonthlyIncome]]&lt;12000,"9K-12K",
TRUE,"12K+")</f>
        <v>3K-6K</v>
      </c>
      <c r="AN1471">
        <f>1</f>
        <v>1</v>
      </c>
      <c r="AO1471" t="str" cm="1">
        <f t="array" ref="AO1471">_xlfn.IFS(
Table1[[#This Row],[YearsAtCompany]]&lt;=2,"0-2 Years",
Table1[[#This Row],[YearsAtCompany]]&lt;=5,"3-5 Years",
Table1[[#This Row],[YearsAtCompany]]&lt;=10,"6-10 Years",
TRUE,"10+ Years")</f>
        <v>3-5 Years</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Report Sheet</vt:lpstr>
      <vt:lpstr>Attrition Rate</vt:lpstr>
      <vt:lpstr>Estimated Cost of Attrition</vt:lpstr>
      <vt:lpstr>Attrition rate by Job Role</vt:lpstr>
      <vt:lpstr>Attrition by Monthly Income</vt:lpstr>
      <vt:lpstr>WA_Fn-UseC_-HR-Employee-Attriti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Adamu Justin</cp:lastModifiedBy>
  <dcterms:created xsi:type="dcterms:W3CDTF">2026-07-06T15:08:33Z</dcterms:created>
  <dcterms:modified xsi:type="dcterms:W3CDTF">2026-07-13T09:12:07Z</dcterms:modified>
</cp:coreProperties>
</file>